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AL" sheetId="1" r:id="rId5"/>
    <sheet state="visible" name="UNCLEAR" sheetId="2" r:id="rId6"/>
    <sheet state="visible" name="% VALUE ONLY" sheetId="3" r:id="rId7"/>
    <sheet state="visible" name="NO DATA" sheetId="4" r:id="rId8"/>
    <sheet state="visible" name="FINANCE DEPT." sheetId="5" r:id="rId9"/>
  </sheets>
  <definedNames/>
  <calcPr/>
</workbook>
</file>

<file path=xl/sharedStrings.xml><?xml version="1.0" encoding="utf-8"?>
<sst xmlns="http://schemas.openxmlformats.org/spreadsheetml/2006/main" count="286" uniqueCount="151">
  <si>
    <t>-&gt;</t>
  </si>
  <si>
    <t>KPI</t>
  </si>
  <si>
    <t>UoM</t>
  </si>
  <si>
    <t>ACTUAL</t>
  </si>
  <si>
    <t>TARGET/BUDGET</t>
  </si>
  <si>
    <t>ACHIEVEMENT RATE</t>
  </si>
  <si>
    <t>LOGIC</t>
  </si>
  <si>
    <t>Volume produced (MT) Actual</t>
  </si>
  <si>
    <t>MT</t>
  </si>
  <si>
    <t>Volume Produced</t>
  </si>
  <si>
    <t>Volume produced (MT) Target</t>
  </si>
  <si>
    <t>Volume produced %</t>
  </si>
  <si>
    <t>%</t>
  </si>
  <si>
    <t>Operational Cost</t>
  </si>
  <si>
    <t>Php</t>
  </si>
  <si>
    <t xml:space="preserve">       Actual</t>
  </si>
  <si>
    <t xml:space="preserve">       Budget</t>
  </si>
  <si>
    <t xml:space="preserve">       Operational Cost %</t>
  </si>
  <si>
    <t>Capital Expenditures</t>
  </si>
  <si>
    <t xml:space="preserve">      Capital Expenditure %</t>
  </si>
  <si>
    <t>Savings (Actual)</t>
  </si>
  <si>
    <t>Savings</t>
  </si>
  <si>
    <t>Savings (Target)</t>
  </si>
  <si>
    <t>Savings (%)</t>
  </si>
  <si>
    <t>Conversion Cost (SC only)</t>
  </si>
  <si>
    <t>PHP/KG</t>
  </si>
  <si>
    <t>Conversion Cost (Overall)</t>
  </si>
  <si>
    <t>Conversion Cost (SC only) vs Target</t>
  </si>
  <si>
    <t>Output vs Target (planned)</t>
  </si>
  <si>
    <t xml:space="preserve">        Output Actual</t>
  </si>
  <si>
    <t xml:space="preserve">        Output Target</t>
  </si>
  <si>
    <t xml:space="preserve">       DIO</t>
  </si>
  <si>
    <t>days</t>
  </si>
  <si>
    <t>Absenteeism</t>
  </si>
  <si>
    <t># of Manpower</t>
  </si>
  <si>
    <t>count</t>
  </si>
  <si>
    <t># of Absences</t>
  </si>
  <si>
    <t># of Working days</t>
  </si>
  <si>
    <t>L06 - EPOXY</t>
  </si>
  <si>
    <t>L04B - ELASTO</t>
  </si>
  <si>
    <t>L03 - CYANO TUBE</t>
  </si>
  <si>
    <t>L01 - COATINGS</t>
  </si>
  <si>
    <t>L07 - EPOXY TUBE</t>
  </si>
  <si>
    <t>LINE 9 - EPS</t>
  </si>
  <si>
    <t>L10 - CONTACT BOND</t>
  </si>
  <si>
    <t>GIP L11 - SILICONE</t>
  </si>
  <si>
    <t>L12 - SPECIAL - EPOXY BASED</t>
  </si>
  <si>
    <t>L13 - SPECIAL</t>
  </si>
  <si>
    <t>LINE 14</t>
  </si>
  <si>
    <t>L02 - CYNO BOTTLE / L05- EPOXY CLAY</t>
  </si>
  <si>
    <t>LABELING LINE</t>
  </si>
  <si>
    <t>Achievement (Value)</t>
  </si>
  <si>
    <t>OTIF Rate</t>
  </si>
  <si>
    <t>Downtime Analysis</t>
  </si>
  <si>
    <t xml:space="preserve">       Change Over Time</t>
  </si>
  <si>
    <t xml:space="preserve">       Meeting</t>
  </si>
  <si>
    <t xml:space="preserve">       Sanitation Time</t>
  </si>
  <si>
    <t xml:space="preserve">       Start-up Time/Setup</t>
  </si>
  <si>
    <t xml:space="preserve">       Testing Time</t>
  </si>
  <si>
    <t xml:space="preserve">       Breaktime</t>
  </si>
  <si>
    <t xml:space="preserve">       Breakdown</t>
  </si>
  <si>
    <t xml:space="preserve">       Idle time</t>
  </si>
  <si>
    <t xml:space="preserve">       Preventive Maintenance</t>
  </si>
  <si>
    <t>Productive Time</t>
  </si>
  <si>
    <t>Machine Utilization</t>
  </si>
  <si>
    <t>Inventory Accuracy</t>
  </si>
  <si>
    <t xml:space="preserve">       Inventory Accuracy FG</t>
  </si>
  <si>
    <t xml:space="preserve">       Inventory Accuracy RMPM</t>
  </si>
  <si>
    <t xml:space="preserve">       Inventory Accuracy Production</t>
  </si>
  <si>
    <t>Warehouse Utlization</t>
  </si>
  <si>
    <t xml:space="preserve">       Warehouse Utlization FG</t>
  </si>
  <si>
    <t xml:space="preserve">       Warehouse Utlization RMPM</t>
  </si>
  <si>
    <t>Demand vs supply alignment</t>
  </si>
  <si>
    <t>Forecast Accuracy</t>
  </si>
  <si>
    <t>EPOXY (MARINE + CONSTRUCTION)</t>
  </si>
  <si>
    <t>ELASTOSEAL</t>
  </si>
  <si>
    <t>MIGHTY BOND</t>
  </si>
  <si>
    <t>PRO-EPOXY</t>
  </si>
  <si>
    <t>BUILDERS BOND</t>
  </si>
  <si>
    <t>COATING MARINE</t>
  </si>
  <si>
    <t>TRASPORTATION</t>
  </si>
  <si>
    <t>OTHER CONSUMER</t>
  </si>
  <si>
    <t>PRO-SEALANT</t>
  </si>
  <si>
    <t>PRO-WATERPROOFING</t>
  </si>
  <si>
    <t>PRO-PAINTING</t>
  </si>
  <si>
    <t>PRO-ADHESIVES</t>
  </si>
  <si>
    <t>MINING</t>
  </si>
  <si>
    <t>OTHERS</t>
  </si>
  <si>
    <t>Forecast Accuracy Location</t>
  </si>
  <si>
    <t xml:space="preserve">       LOCAL PHILIPPINES</t>
  </si>
  <si>
    <t xml:space="preserve">             GMA</t>
  </si>
  <si>
    <t xml:space="preserve">             NORTH LUZON</t>
  </si>
  <si>
    <t xml:space="preserve">             SOUTH LUZON</t>
  </si>
  <si>
    <t xml:space="preserve">             VISAYAS</t>
  </si>
  <si>
    <t xml:space="preserve">             MINDANAO</t>
  </si>
  <si>
    <t xml:space="preserve">             MODERN TRADE</t>
  </si>
  <si>
    <t xml:space="preserve">             PSBSI</t>
  </si>
  <si>
    <t xml:space="preserve">      EXPORT</t>
  </si>
  <si>
    <t xml:space="preserve">             INDONESIA</t>
  </si>
  <si>
    <t xml:space="preserve">             INDIA</t>
  </si>
  <si>
    <t xml:space="preserve">             DIRECT EXPORT</t>
  </si>
  <si>
    <t>Variance Analysis</t>
  </si>
  <si>
    <t>Efficiency Ratio</t>
  </si>
  <si>
    <t>Progress on Strategic Initiatives</t>
  </si>
  <si>
    <t>Risk Assessment</t>
  </si>
  <si>
    <t>Resource Allocation</t>
  </si>
  <si>
    <t>Material Usage (Yield Rate)</t>
  </si>
  <si>
    <t>Internal Rejection</t>
  </si>
  <si>
    <t>Scrap</t>
  </si>
  <si>
    <t xml:space="preserve">       Safety Stocks FG</t>
  </si>
  <si>
    <t xml:space="preserve">       Safety Stocks RM</t>
  </si>
  <si>
    <t xml:space="preserve">       Safety Stocks PM</t>
  </si>
  <si>
    <t>Turnover rates</t>
  </si>
  <si>
    <t>Aging Inventory FG</t>
  </si>
  <si>
    <t xml:space="preserve">       Fast Moving (GOOD) Class A&amp;B</t>
  </si>
  <si>
    <t xml:space="preserve">       Fast Moving (NTE) Class A&amp;B</t>
  </si>
  <si>
    <t xml:space="preserve">       Slow Moving /NTE Class C</t>
  </si>
  <si>
    <t xml:space="preserve">       No Movement Class C</t>
  </si>
  <si>
    <t xml:space="preserve">       Expired Stocks</t>
  </si>
  <si>
    <t xml:space="preserve">      Total Inventory</t>
  </si>
  <si>
    <t>Aging Inventory RM</t>
  </si>
  <si>
    <t>Aging Inventory PM</t>
  </si>
  <si>
    <t>Supply Chain and Logistics Reports</t>
  </si>
  <si>
    <t>Supplier Performance</t>
  </si>
  <si>
    <t>Lead Times</t>
  </si>
  <si>
    <t>Freight Costs</t>
  </si>
  <si>
    <t>Training and compliance</t>
  </si>
  <si>
    <t>2026 ABP</t>
  </si>
  <si>
    <t>OCT</t>
  </si>
  <si>
    <t>2026 ACTUAL</t>
  </si>
  <si>
    <t>BUSINESS GOALS:</t>
  </si>
  <si>
    <t>FINANCIALS</t>
  </si>
  <si>
    <t>Conversion Cost</t>
  </si>
  <si>
    <t xml:space="preserve">     Conversion Cost (SC only)</t>
  </si>
  <si>
    <t xml:space="preserve">     Conversion Cost (Overall)</t>
  </si>
  <si>
    <t xml:space="preserve">    Actual</t>
  </si>
  <si>
    <t xml:space="preserve">    Budget</t>
  </si>
  <si>
    <t>Operational Cost %</t>
  </si>
  <si>
    <t>Capital Expenditures %</t>
  </si>
  <si>
    <t>Variance Analysis (Expense)</t>
  </si>
  <si>
    <t>Variance Analysis (Expense) %</t>
  </si>
  <si>
    <t>Workforce &amp; Labor Reports</t>
  </si>
  <si>
    <t>Labor productivity</t>
  </si>
  <si>
    <t>Regular hours</t>
  </si>
  <si>
    <t>hrs</t>
  </si>
  <si>
    <t>Overtime hours</t>
  </si>
  <si>
    <t xml:space="preserve">       Overtime %</t>
  </si>
  <si>
    <t>Regular hours DL</t>
  </si>
  <si>
    <t>Overtime hours DL</t>
  </si>
  <si>
    <t>Regular hours IL</t>
  </si>
  <si>
    <t>Overtime hours 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</si>
</sst>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_(* #,##0_);_(* \(#,##0\);_(* &quot;-&quot;??_);_(@_)"/>
    <numFmt numFmtId="166" formatCode="0.0%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21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quotePrefix="1"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4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1" numFmtId="0" xfId="0" applyBorder="1" applyFont="1"/>
    <xf borderId="0" fillId="0" fontId="4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1" fillId="0" fontId="4" numFmtId="0" xfId="0" applyAlignment="1" applyBorder="1" applyFont="1">
      <alignment horizontal="left"/>
    </xf>
    <xf borderId="2" fillId="0" fontId="4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2" fillId="0" fontId="6" numFmtId="0" xfId="0" applyAlignment="1" applyBorder="1" applyFont="1">
      <alignment vertical="bottom"/>
    </xf>
    <xf quotePrefix="1" borderId="3" fillId="0" fontId="4" numFmtId="0" xfId="0" applyAlignment="1" applyBorder="1" applyFont="1">
      <alignment vertical="bottom"/>
    </xf>
    <xf borderId="1" fillId="0" fontId="4" numFmtId="164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vertical="bottom"/>
    </xf>
    <xf borderId="1" fillId="0" fontId="6" numFmtId="164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1" fillId="0" fontId="6" numFmtId="165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horizontal="right" vertical="bottom"/>
    </xf>
    <xf borderId="1" fillId="0" fontId="6" numFmtId="166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1" fillId="0" fontId="4" numFmtId="10" xfId="0" applyAlignment="1" applyBorder="1" applyFont="1" applyNumberFormat="1">
      <alignment vertical="bottom"/>
    </xf>
    <xf borderId="1" fillId="0" fontId="4" numFmtId="3" xfId="0" applyAlignment="1" applyBorder="1" applyFont="1" applyNumberFormat="1">
      <alignment horizontal="right" vertical="bottom"/>
    </xf>
    <xf borderId="1" fillId="0" fontId="4" numFmtId="1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  <col customWidth="1" min="3" max="3" width="7.88"/>
    <col customWidth="1" min="4" max="4" width="9.38"/>
    <col customWidth="1" min="5" max="5" width="18.75"/>
    <col customWidth="1" min="6" max="6" width="7.25"/>
    <col customWidth="1" min="7" max="7" width="13.0"/>
    <col customWidth="1" min="8" max="8" width="24.13"/>
    <col customWidth="1" min="9" max="9" width="20.5"/>
    <col customWidth="1" min="10" max="10" width="26.75"/>
  </cols>
  <sheetData>
    <row r="1">
      <c r="A1" s="1"/>
      <c r="B1" s="1"/>
      <c r="C1" s="1"/>
      <c r="D1" s="2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4" t="s">
        <v>7</v>
      </c>
      <c r="C2" s="5" t="s">
        <v>8</v>
      </c>
      <c r="E2" s="6" t="s">
        <v>9</v>
      </c>
      <c r="F2" s="6" t="s">
        <v>8</v>
      </c>
      <c r="G2" s="6">
        <v>0.0</v>
      </c>
      <c r="H2" s="6">
        <v>0.0</v>
      </c>
      <c r="I2" s="6">
        <v>0.0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4" t="s">
        <v>10</v>
      </c>
      <c r="C3" s="5" t="s">
        <v>8</v>
      </c>
      <c r="E3" s="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4" t="s">
        <v>11</v>
      </c>
      <c r="C4" s="5" t="s">
        <v>12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8"/>
      <c r="B5" s="8"/>
      <c r="C5" s="8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1"/>
      <c r="B6" s="5" t="s">
        <v>13</v>
      </c>
      <c r="C6" s="5"/>
      <c r="D6" s="2" t="s">
        <v>0</v>
      </c>
      <c r="E6" s="6" t="s">
        <v>13</v>
      </c>
      <c r="F6" s="6" t="s">
        <v>14</v>
      </c>
      <c r="G6" s="6">
        <v>0.0</v>
      </c>
      <c r="H6" s="6">
        <v>0.0</v>
      </c>
      <c r="I6" s="6">
        <v>0.0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5" t="s">
        <v>15</v>
      </c>
      <c r="C7" s="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5" t="s">
        <v>16</v>
      </c>
      <c r="C8" s="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5" t="s">
        <v>17</v>
      </c>
      <c r="C9" s="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8"/>
      <c r="B10" s="8"/>
      <c r="C10" s="8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1"/>
      <c r="B11" s="5" t="s">
        <v>18</v>
      </c>
      <c r="C11" s="1"/>
      <c r="D11" s="2" t="s">
        <v>0</v>
      </c>
      <c r="E11" s="6" t="s">
        <v>18</v>
      </c>
      <c r="F11" s="6" t="s">
        <v>14</v>
      </c>
      <c r="G11" s="6">
        <v>0.0</v>
      </c>
      <c r="H11" s="6">
        <v>0.0</v>
      </c>
      <c r="I11" s="6">
        <v>0.0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5" t="s">
        <v>15</v>
      </c>
      <c r="C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5" t="s">
        <v>16</v>
      </c>
      <c r="C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5" t="s">
        <v>19</v>
      </c>
      <c r="C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8"/>
      <c r="B15" s="8"/>
      <c r="C15" s="8"/>
      <c r="D15" s="9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1"/>
      <c r="B16" s="5" t="s">
        <v>20</v>
      </c>
      <c r="C16" s="5" t="s">
        <v>14</v>
      </c>
      <c r="D16" s="2" t="s">
        <v>0</v>
      </c>
      <c r="E16" s="6" t="s">
        <v>21</v>
      </c>
      <c r="F16" s="6" t="s">
        <v>14</v>
      </c>
      <c r="G16" s="6">
        <v>0.0</v>
      </c>
      <c r="H16" s="6">
        <v>0.0</v>
      </c>
      <c r="I16" s="6">
        <v>0.0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5" t="s">
        <v>22</v>
      </c>
      <c r="C17" s="5" t="s">
        <v>14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5" t="s">
        <v>23</v>
      </c>
      <c r="C18" s="5" t="s">
        <v>12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9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9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9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9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9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9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9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9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9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9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9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9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9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9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9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9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9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9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9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9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9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9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9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9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9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9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9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9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9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9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9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9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9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9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9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9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9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9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9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9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9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9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9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9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9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9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9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9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9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9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9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9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9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9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9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9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9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9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9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9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9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9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9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9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9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9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9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9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9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9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9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9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9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9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9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9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9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9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9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9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9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9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9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9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9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9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9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9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9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9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9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9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9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9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9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9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9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9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9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9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9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9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9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9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9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9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9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9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9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9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9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9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9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9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9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9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9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9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9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9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9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9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9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9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9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9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9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9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9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9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9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9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9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9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9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9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9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9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9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9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9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9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9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9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9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9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9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9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9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9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9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9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9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9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9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9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9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9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9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9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9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9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9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9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9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9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9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9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9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9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9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9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9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9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9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9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9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9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9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9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9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9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9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9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9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9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9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9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9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9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9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9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9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9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9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9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9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9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9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9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9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9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9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9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9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9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9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9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9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9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9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9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9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9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9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9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9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9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9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9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9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9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9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9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9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9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9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9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9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9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9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9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9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9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9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9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9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9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9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9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9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9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9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9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9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9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9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9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9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9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9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9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9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9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9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9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9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9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9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9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9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9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9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9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9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9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9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9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9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9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9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9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9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9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9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9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9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9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9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9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9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9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9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9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9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9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9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9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9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9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9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9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9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9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9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9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9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9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9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9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9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9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9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9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9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9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9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9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9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9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9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9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9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9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9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9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9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9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9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9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9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9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9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9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9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9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9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9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9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9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9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9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9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9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9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9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9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9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9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9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9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9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9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9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9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9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9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9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9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9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9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9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9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9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9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9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9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9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9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9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9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9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9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9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9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9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9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9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9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9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9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9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9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9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9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9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9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9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9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9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9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9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9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9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9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9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9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9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9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9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9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9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9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9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9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9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9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9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9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9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9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9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9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9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9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9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9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9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9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9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9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9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9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9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9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9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9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9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9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9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9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9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9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9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9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9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9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9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9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9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9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9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9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9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9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9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9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9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9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9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9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9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9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9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9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9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9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9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9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9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9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9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9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9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9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9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9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9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9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9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9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9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9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9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9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9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9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9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9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9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9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9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9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9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9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9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9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9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9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9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9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9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9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9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9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9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9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9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9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9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9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9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9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9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9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9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9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9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9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9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9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9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9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9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9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9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9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9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9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9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9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9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9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9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9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9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9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9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9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9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9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9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9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9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9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9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9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9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9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9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9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9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9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9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9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9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9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9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9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9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9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9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9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9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9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9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9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9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9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9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9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9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9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9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9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9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9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9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9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9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9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9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9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9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9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9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9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9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9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9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9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9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9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9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9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9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9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9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9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9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9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9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9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9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9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9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9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9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9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9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9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9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9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9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9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9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9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9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9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9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9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9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9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9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9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9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9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9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9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9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9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9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9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9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9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9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9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9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9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9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9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9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9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9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9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9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9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9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9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9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9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9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9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9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9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9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9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9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9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9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9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9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9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9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9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9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9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9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9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9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9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9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9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9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9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9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9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9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9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9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9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9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9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9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9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9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9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9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9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9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9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9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9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9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9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9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9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9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9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9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9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9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9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9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9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9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9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9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9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9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9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9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9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9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9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9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9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9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9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9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9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9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9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9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9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9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9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9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9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9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9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9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9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9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9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9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9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9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9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9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9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9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9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9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9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9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9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9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9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9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9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9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9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9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9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9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9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9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9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9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9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9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9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9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9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9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9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9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9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9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9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9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9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9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9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9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9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9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9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9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9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9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9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9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9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9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9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9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9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9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9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9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9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9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9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9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9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9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9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9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9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9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9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9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9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9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9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9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9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9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9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9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9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9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9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9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9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9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9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9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9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9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9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9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9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9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9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9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9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9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9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9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9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9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9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9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9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9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9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9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9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9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9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9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9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9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9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9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9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9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9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9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9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9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9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9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9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9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9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9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9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9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9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9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9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9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9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9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9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9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9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9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9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9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9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9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9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9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9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9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9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9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9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9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9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9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9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9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9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9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9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9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9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9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9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9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9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9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9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9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9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9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9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9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9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9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9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9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9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9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9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9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9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9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9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9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9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9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9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9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9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9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9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9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9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9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9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9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9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9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9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9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9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9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9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9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9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9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9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9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9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9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9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9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9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9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9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9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4">
    <mergeCell ref="D1:D4"/>
    <mergeCell ref="D6:D9"/>
    <mergeCell ref="D11:D14"/>
    <mergeCell ref="D16:D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</cols>
  <sheetData>
    <row r="2">
      <c r="B2" s="10" t="s">
        <v>24</v>
      </c>
      <c r="C2" s="11" t="s">
        <v>25</v>
      </c>
    </row>
    <row r="3">
      <c r="B3" s="10" t="s">
        <v>26</v>
      </c>
      <c r="C3" s="11" t="s">
        <v>25</v>
      </c>
    </row>
    <row r="4">
      <c r="B4" s="10" t="s">
        <v>27</v>
      </c>
      <c r="C4" s="11" t="s">
        <v>12</v>
      </c>
    </row>
    <row r="6">
      <c r="B6" s="11" t="s">
        <v>28</v>
      </c>
      <c r="C6" s="11" t="s">
        <v>12</v>
      </c>
    </row>
    <row r="7">
      <c r="B7" s="11" t="s">
        <v>29</v>
      </c>
      <c r="C7" s="11" t="s">
        <v>8</v>
      </c>
    </row>
    <row r="8">
      <c r="B8" s="11" t="s">
        <v>30</v>
      </c>
      <c r="C8" s="11" t="s">
        <v>8</v>
      </c>
    </row>
    <row r="10">
      <c r="B10" s="11" t="s">
        <v>31</v>
      </c>
      <c r="C10" s="11" t="s">
        <v>32</v>
      </c>
    </row>
    <row r="12">
      <c r="B12" s="11" t="s">
        <v>33</v>
      </c>
      <c r="C12" s="11" t="s">
        <v>12</v>
      </c>
    </row>
    <row r="13">
      <c r="B13" s="11" t="s">
        <v>34</v>
      </c>
      <c r="C13" s="11" t="s">
        <v>35</v>
      </c>
    </row>
    <row r="14">
      <c r="B14" s="11" t="s">
        <v>36</v>
      </c>
      <c r="C14" s="11" t="s">
        <v>35</v>
      </c>
    </row>
    <row r="15">
      <c r="B15" s="11" t="s">
        <v>37</v>
      </c>
      <c r="C15" s="11" t="s">
        <v>35</v>
      </c>
    </row>
    <row r="16">
      <c r="B16" s="11" t="s">
        <v>38</v>
      </c>
      <c r="C16" s="11" t="s">
        <v>12</v>
      </c>
    </row>
    <row r="17">
      <c r="B17" s="11" t="s">
        <v>39</v>
      </c>
      <c r="C17" s="11" t="s">
        <v>12</v>
      </c>
    </row>
    <row r="18">
      <c r="B18" s="11" t="s">
        <v>40</v>
      </c>
      <c r="C18" s="11" t="s">
        <v>12</v>
      </c>
    </row>
    <row r="19">
      <c r="B19" s="11" t="s">
        <v>41</v>
      </c>
      <c r="C19" s="11" t="s">
        <v>12</v>
      </c>
    </row>
    <row r="20">
      <c r="B20" s="11" t="s">
        <v>42</v>
      </c>
      <c r="C20" s="11" t="s">
        <v>12</v>
      </c>
    </row>
    <row r="21">
      <c r="B21" s="11" t="s">
        <v>43</v>
      </c>
      <c r="C21" s="11" t="s">
        <v>12</v>
      </c>
    </row>
    <row r="22">
      <c r="B22" s="11" t="s">
        <v>44</v>
      </c>
      <c r="C22" s="11" t="s">
        <v>12</v>
      </c>
    </row>
    <row r="23">
      <c r="B23" s="11" t="s">
        <v>45</v>
      </c>
      <c r="C23" s="11" t="s">
        <v>12</v>
      </c>
    </row>
    <row r="24">
      <c r="B24" s="11" t="s">
        <v>46</v>
      </c>
      <c r="C24" s="11" t="s">
        <v>12</v>
      </c>
    </row>
    <row r="25">
      <c r="B25" s="11" t="s">
        <v>47</v>
      </c>
      <c r="C25" s="11" t="s">
        <v>12</v>
      </c>
    </row>
    <row r="26">
      <c r="B26" s="11" t="s">
        <v>48</v>
      </c>
      <c r="C26" s="11" t="s">
        <v>12</v>
      </c>
    </row>
    <row r="27">
      <c r="B27" s="11" t="s">
        <v>49</v>
      </c>
      <c r="C27" s="11" t="s">
        <v>12</v>
      </c>
    </row>
    <row r="28">
      <c r="B28" s="11" t="s">
        <v>50</v>
      </c>
      <c r="C28" s="11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</cols>
  <sheetData>
    <row r="2">
      <c r="B2" s="11" t="s">
        <v>51</v>
      </c>
      <c r="C2" s="11" t="s">
        <v>12</v>
      </c>
    </row>
    <row r="3">
      <c r="B3" s="11" t="s">
        <v>52</v>
      </c>
      <c r="C3" s="11" t="s">
        <v>12</v>
      </c>
    </row>
    <row r="5">
      <c r="B5" s="11" t="s">
        <v>53</v>
      </c>
      <c r="C5" s="11" t="s">
        <v>12</v>
      </c>
    </row>
    <row r="6">
      <c r="B6" s="11" t="s">
        <v>54</v>
      </c>
      <c r="C6" s="11" t="s">
        <v>12</v>
      </c>
    </row>
    <row r="7">
      <c r="B7" s="11" t="s">
        <v>55</v>
      </c>
      <c r="C7" s="11" t="s">
        <v>12</v>
      </c>
    </row>
    <row r="8">
      <c r="B8" s="11" t="s">
        <v>56</v>
      </c>
      <c r="C8" s="11" t="s">
        <v>12</v>
      </c>
    </row>
    <row r="9">
      <c r="B9" s="11" t="s">
        <v>57</v>
      </c>
      <c r="C9" s="11" t="s">
        <v>12</v>
      </c>
    </row>
    <row r="10">
      <c r="B10" s="11" t="s">
        <v>58</v>
      </c>
      <c r="C10" s="11" t="s">
        <v>12</v>
      </c>
    </row>
    <row r="11">
      <c r="B11" s="11" t="s">
        <v>59</v>
      </c>
      <c r="C11" s="11" t="s">
        <v>12</v>
      </c>
    </row>
    <row r="12">
      <c r="B12" s="11" t="s">
        <v>60</v>
      </c>
      <c r="C12" s="11" t="s">
        <v>12</v>
      </c>
    </row>
    <row r="13">
      <c r="B13" s="11" t="s">
        <v>61</v>
      </c>
      <c r="C13" s="11" t="s">
        <v>12</v>
      </c>
    </row>
    <row r="14">
      <c r="B14" s="11" t="s">
        <v>62</v>
      </c>
      <c r="C14" s="11" t="s">
        <v>12</v>
      </c>
    </row>
    <row r="15">
      <c r="B15" s="11" t="s">
        <v>63</v>
      </c>
      <c r="C15" s="11" t="s">
        <v>12</v>
      </c>
    </row>
    <row r="16">
      <c r="B16" s="11" t="s">
        <v>64</v>
      </c>
      <c r="C16" s="11" t="s">
        <v>12</v>
      </c>
    </row>
    <row r="18">
      <c r="B18" s="11" t="s">
        <v>65</v>
      </c>
      <c r="C18" s="11"/>
    </row>
    <row r="19">
      <c r="B19" s="11" t="s">
        <v>66</v>
      </c>
      <c r="C19" s="11" t="s">
        <v>12</v>
      </c>
    </row>
    <row r="20">
      <c r="B20" s="11" t="s">
        <v>67</v>
      </c>
      <c r="C20" s="11" t="s">
        <v>12</v>
      </c>
    </row>
    <row r="21">
      <c r="B21" s="11" t="s">
        <v>68</v>
      </c>
      <c r="C21" s="11" t="s">
        <v>12</v>
      </c>
    </row>
    <row r="23">
      <c r="B23" s="11" t="s">
        <v>69</v>
      </c>
      <c r="C23" s="11"/>
    </row>
    <row r="24">
      <c r="B24" s="11" t="s">
        <v>70</v>
      </c>
      <c r="C24" s="11" t="s">
        <v>12</v>
      </c>
    </row>
    <row r="25">
      <c r="B25" s="11" t="s">
        <v>71</v>
      </c>
      <c r="C25" s="11" t="s">
        <v>12</v>
      </c>
    </row>
    <row r="27">
      <c r="B27" s="11" t="s">
        <v>72</v>
      </c>
      <c r="C27" s="11"/>
    </row>
    <row r="28">
      <c r="B28" s="11" t="s">
        <v>73</v>
      </c>
      <c r="C28" s="11" t="s">
        <v>12</v>
      </c>
    </row>
    <row r="29">
      <c r="B29" s="11" t="s">
        <v>74</v>
      </c>
      <c r="C29" s="11" t="s">
        <v>12</v>
      </c>
    </row>
    <row r="30">
      <c r="B30" s="11" t="s">
        <v>75</v>
      </c>
      <c r="C30" s="11" t="s">
        <v>12</v>
      </c>
    </row>
    <row r="31">
      <c r="B31" s="11" t="s">
        <v>76</v>
      </c>
      <c r="C31" s="11" t="s">
        <v>12</v>
      </c>
    </row>
    <row r="32">
      <c r="B32" s="11" t="s">
        <v>77</v>
      </c>
      <c r="C32" s="11" t="s">
        <v>12</v>
      </c>
    </row>
    <row r="33">
      <c r="B33" s="11" t="s">
        <v>78</v>
      </c>
      <c r="C33" s="11" t="s">
        <v>12</v>
      </c>
    </row>
    <row r="34">
      <c r="B34" s="11" t="s">
        <v>79</v>
      </c>
      <c r="C34" s="11" t="s">
        <v>12</v>
      </c>
    </row>
    <row r="35">
      <c r="B35" s="11" t="s">
        <v>80</v>
      </c>
      <c r="C35" s="11" t="s">
        <v>12</v>
      </c>
    </row>
    <row r="36">
      <c r="B36" s="11" t="s">
        <v>81</v>
      </c>
      <c r="C36" s="11" t="s">
        <v>12</v>
      </c>
    </row>
    <row r="37">
      <c r="B37" s="11" t="s">
        <v>82</v>
      </c>
      <c r="C37" s="11" t="s">
        <v>12</v>
      </c>
    </row>
    <row r="38">
      <c r="B38" s="11" t="s">
        <v>83</v>
      </c>
      <c r="C38" s="11" t="s">
        <v>12</v>
      </c>
    </row>
    <row r="39">
      <c r="B39" s="11" t="s">
        <v>84</v>
      </c>
      <c r="C39" s="11" t="s">
        <v>12</v>
      </c>
    </row>
    <row r="40">
      <c r="B40" s="11" t="s">
        <v>85</v>
      </c>
      <c r="C40" s="11" t="s">
        <v>12</v>
      </c>
    </row>
    <row r="41">
      <c r="B41" s="11" t="s">
        <v>86</v>
      </c>
      <c r="C41" s="11" t="s">
        <v>12</v>
      </c>
    </row>
    <row r="42">
      <c r="B42" s="11" t="s">
        <v>87</v>
      </c>
      <c r="C42" s="11" t="s">
        <v>12</v>
      </c>
    </row>
    <row r="44">
      <c r="B44" s="12" t="s">
        <v>88</v>
      </c>
      <c r="C44" s="11" t="s">
        <v>12</v>
      </c>
    </row>
    <row r="45">
      <c r="B45" s="11" t="s">
        <v>89</v>
      </c>
      <c r="C45" s="11" t="s">
        <v>12</v>
      </c>
    </row>
    <row r="46">
      <c r="B46" s="11" t="s">
        <v>90</v>
      </c>
      <c r="C46" s="11" t="s">
        <v>12</v>
      </c>
    </row>
    <row r="47">
      <c r="B47" s="11" t="s">
        <v>91</v>
      </c>
      <c r="C47" s="11" t="s">
        <v>12</v>
      </c>
    </row>
    <row r="48">
      <c r="B48" s="11" t="s">
        <v>92</v>
      </c>
      <c r="C48" s="11" t="s">
        <v>12</v>
      </c>
    </row>
    <row r="49">
      <c r="B49" s="11" t="s">
        <v>93</v>
      </c>
      <c r="C49" s="11" t="s">
        <v>12</v>
      </c>
    </row>
    <row r="50">
      <c r="B50" s="11" t="s">
        <v>94</v>
      </c>
      <c r="C50" s="11" t="s">
        <v>12</v>
      </c>
    </row>
    <row r="51">
      <c r="B51" s="11" t="s">
        <v>95</v>
      </c>
      <c r="C51" s="11" t="s">
        <v>12</v>
      </c>
    </row>
    <row r="52">
      <c r="B52" s="11" t="s">
        <v>96</v>
      </c>
      <c r="C52" s="11" t="s">
        <v>12</v>
      </c>
    </row>
    <row r="53">
      <c r="B53" s="11" t="s">
        <v>97</v>
      </c>
      <c r="C53" s="11" t="s">
        <v>12</v>
      </c>
    </row>
    <row r="54">
      <c r="B54" s="11" t="s">
        <v>98</v>
      </c>
      <c r="C54" s="11" t="s">
        <v>12</v>
      </c>
    </row>
    <row r="55">
      <c r="B55" s="11" t="s">
        <v>99</v>
      </c>
      <c r="C55" s="11" t="s">
        <v>12</v>
      </c>
    </row>
    <row r="56">
      <c r="B56" s="11" t="s">
        <v>100</v>
      </c>
      <c r="C56" s="11" t="s">
        <v>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5"/>
  </cols>
  <sheetData>
    <row r="2">
      <c r="B2" s="11" t="s">
        <v>101</v>
      </c>
    </row>
    <row r="3">
      <c r="B3" s="11" t="s">
        <v>102</v>
      </c>
    </row>
    <row r="5">
      <c r="B5" s="11" t="s">
        <v>103</v>
      </c>
    </row>
    <row r="6">
      <c r="B6" s="11" t="s">
        <v>104</v>
      </c>
    </row>
    <row r="7">
      <c r="B7" s="11" t="s">
        <v>105</v>
      </c>
    </row>
    <row r="9">
      <c r="B9" s="11" t="s">
        <v>106</v>
      </c>
    </row>
    <row r="10">
      <c r="B10" s="11" t="s">
        <v>107</v>
      </c>
    </row>
    <row r="11">
      <c r="B11" s="11" t="s">
        <v>108</v>
      </c>
    </row>
    <row r="13">
      <c r="B13" s="11" t="s">
        <v>109</v>
      </c>
      <c r="C13" s="11" t="s">
        <v>32</v>
      </c>
    </row>
    <row r="14">
      <c r="B14" s="11" t="s">
        <v>110</v>
      </c>
      <c r="C14" s="11" t="s">
        <v>32</v>
      </c>
    </row>
    <row r="15">
      <c r="B15" s="11" t="s">
        <v>111</v>
      </c>
      <c r="C15" s="11" t="s">
        <v>32</v>
      </c>
    </row>
    <row r="17">
      <c r="B17" s="11" t="s">
        <v>112</v>
      </c>
      <c r="C17" s="13"/>
    </row>
    <row r="18">
      <c r="B18" s="14"/>
    </row>
    <row r="19">
      <c r="B19" s="11" t="s">
        <v>113</v>
      </c>
      <c r="C19" s="13"/>
    </row>
    <row r="20">
      <c r="B20" s="11" t="s">
        <v>114</v>
      </c>
      <c r="C20" s="13"/>
    </row>
    <row r="21">
      <c r="B21" s="11" t="s">
        <v>115</v>
      </c>
      <c r="C21" s="13"/>
    </row>
    <row r="22">
      <c r="B22" s="11" t="s">
        <v>116</v>
      </c>
      <c r="C22" s="13"/>
    </row>
    <row r="23">
      <c r="B23" s="11" t="s">
        <v>117</v>
      </c>
      <c r="C23" s="13"/>
    </row>
    <row r="24">
      <c r="B24" s="11" t="s">
        <v>118</v>
      </c>
      <c r="C24" s="13"/>
    </row>
    <row r="25">
      <c r="B25" s="11" t="s">
        <v>119</v>
      </c>
      <c r="C25" s="13"/>
    </row>
    <row r="26">
      <c r="B26" s="14"/>
    </row>
    <row r="27">
      <c r="B27" s="11" t="s">
        <v>120</v>
      </c>
      <c r="C27" s="13"/>
    </row>
    <row r="28">
      <c r="B28" s="11" t="s">
        <v>114</v>
      </c>
      <c r="C28" s="13"/>
    </row>
    <row r="29">
      <c r="B29" s="11" t="s">
        <v>115</v>
      </c>
      <c r="C29" s="13"/>
    </row>
    <row r="30">
      <c r="B30" s="11" t="s">
        <v>116</v>
      </c>
      <c r="C30" s="13"/>
    </row>
    <row r="31">
      <c r="B31" s="11" t="s">
        <v>117</v>
      </c>
      <c r="C31" s="13"/>
    </row>
    <row r="32">
      <c r="B32" s="11" t="s">
        <v>118</v>
      </c>
      <c r="C32" s="13"/>
    </row>
    <row r="33">
      <c r="B33" s="11" t="s">
        <v>119</v>
      </c>
      <c r="C33" s="13"/>
    </row>
    <row r="34">
      <c r="B34" s="14"/>
    </row>
    <row r="35">
      <c r="B35" s="11" t="s">
        <v>121</v>
      </c>
      <c r="C35" s="13"/>
    </row>
    <row r="36">
      <c r="B36" s="11" t="s">
        <v>114</v>
      </c>
      <c r="C36" s="13"/>
    </row>
    <row r="37">
      <c r="B37" s="11" t="s">
        <v>115</v>
      </c>
      <c r="C37" s="13"/>
    </row>
    <row r="38">
      <c r="B38" s="11" t="s">
        <v>116</v>
      </c>
      <c r="C38" s="13"/>
    </row>
    <row r="39">
      <c r="B39" s="11" t="s">
        <v>117</v>
      </c>
      <c r="C39" s="13"/>
    </row>
    <row r="40">
      <c r="B40" s="11" t="s">
        <v>118</v>
      </c>
      <c r="C40" s="13"/>
    </row>
    <row r="41">
      <c r="B41" s="11" t="s">
        <v>119</v>
      </c>
      <c r="C41" s="13"/>
    </row>
    <row r="43">
      <c r="B43" s="15" t="s">
        <v>122</v>
      </c>
      <c r="C43" s="11"/>
    </row>
    <row r="44">
      <c r="B44" s="11" t="s">
        <v>123</v>
      </c>
      <c r="C44" s="11"/>
    </row>
    <row r="45">
      <c r="B45" s="11" t="s">
        <v>124</v>
      </c>
      <c r="C45" s="11"/>
    </row>
    <row r="46">
      <c r="B46" s="11" t="s">
        <v>125</v>
      </c>
      <c r="C46" s="11"/>
    </row>
    <row r="48">
      <c r="B48" s="16" t="s">
        <v>126</v>
      </c>
      <c r="C48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6.38"/>
    <col customWidth="1" min="3" max="3" width="7.88"/>
    <col customWidth="1" min="4" max="4" width="9.5"/>
    <col customWidth="1" min="5" max="5" width="11.38"/>
    <col customWidth="1" min="6" max="6" width="13.13"/>
  </cols>
  <sheetData>
    <row r="1">
      <c r="A1" s="17"/>
      <c r="B1" s="18" t="s">
        <v>1</v>
      </c>
      <c r="C1" s="15" t="s">
        <v>2</v>
      </c>
      <c r="D1" s="15" t="s">
        <v>127</v>
      </c>
      <c r="E1" s="15" t="s">
        <v>128</v>
      </c>
      <c r="F1" s="15" t="s">
        <v>129</v>
      </c>
    </row>
    <row r="2">
      <c r="A2" s="19" t="s">
        <v>130</v>
      </c>
      <c r="B2" s="14"/>
      <c r="C2" s="14"/>
      <c r="D2" s="14"/>
      <c r="E2" s="14"/>
      <c r="F2" s="14"/>
    </row>
    <row r="3">
      <c r="A3" s="20" t="str">
        <f>MAX($A2:A$3)+1</f>
        <v>#REF!</v>
      </c>
      <c r="B3" s="18" t="s">
        <v>131</v>
      </c>
      <c r="C3" s="11"/>
      <c r="D3" s="11"/>
      <c r="E3" s="11"/>
      <c r="F3" s="11"/>
    </row>
    <row r="4">
      <c r="A4" s="17"/>
      <c r="B4" s="21" t="s">
        <v>132</v>
      </c>
      <c r="C4" s="11" t="s">
        <v>25</v>
      </c>
      <c r="D4" s="22"/>
      <c r="E4" s="23"/>
      <c r="F4" s="23"/>
    </row>
    <row r="5">
      <c r="A5" s="17"/>
      <c r="B5" s="21" t="s">
        <v>133</v>
      </c>
      <c r="C5" s="11" t="s">
        <v>25</v>
      </c>
      <c r="D5" s="24">
        <v>11.0</v>
      </c>
      <c r="E5" s="25">
        <v>10.929592243145253</v>
      </c>
      <c r="F5" s="22"/>
    </row>
    <row r="6">
      <c r="A6" s="17"/>
      <c r="B6" s="21" t="s">
        <v>134</v>
      </c>
      <c r="C6" s="11" t="s">
        <v>25</v>
      </c>
      <c r="D6" s="24">
        <v>15.0</v>
      </c>
      <c r="E6" s="25">
        <v>18.577244544821546</v>
      </c>
      <c r="F6" s="22"/>
    </row>
    <row r="7">
      <c r="A7" s="17"/>
      <c r="B7" s="21" t="s">
        <v>7</v>
      </c>
      <c r="C7" s="11" t="s">
        <v>8</v>
      </c>
      <c r="D7" s="26">
        <f>F7</f>
        <v>1235.077205</v>
      </c>
      <c r="E7" s="27">
        <v>1235.0772050500002</v>
      </c>
      <c r="F7" s="26">
        <f t="shared" ref="F7:F8" si="1">SUM(E7)</f>
        <v>1235.077205</v>
      </c>
    </row>
    <row r="8">
      <c r="A8" s="17"/>
      <c r="B8" s="21" t="s">
        <v>10</v>
      </c>
      <c r="C8" s="11" t="s">
        <v>8</v>
      </c>
      <c r="D8" s="26">
        <v>18814.0</v>
      </c>
      <c r="E8" s="27">
        <v>1221.8655974719993</v>
      </c>
      <c r="F8" s="26">
        <f t="shared" si="1"/>
        <v>1221.865597</v>
      </c>
    </row>
    <row r="9">
      <c r="A9" s="17"/>
      <c r="B9" s="21" t="s">
        <v>11</v>
      </c>
      <c r="C9" s="11" t="s">
        <v>12</v>
      </c>
      <c r="D9" s="28">
        <f t="shared" ref="D9:F9" si="2">IFERROR(D7/D8,0)</f>
        <v>0.06564671017</v>
      </c>
      <c r="E9" s="29">
        <f t="shared" si="2"/>
        <v>1.010812652</v>
      </c>
      <c r="F9" s="29">
        <f t="shared" si="2"/>
        <v>1.010812652</v>
      </c>
    </row>
    <row r="10">
      <c r="A10" s="14"/>
      <c r="B10" s="14"/>
      <c r="C10" s="14"/>
      <c r="D10" s="14"/>
      <c r="E10" s="14"/>
      <c r="F10" s="14"/>
    </row>
    <row r="11">
      <c r="A11" s="20" t="str">
        <f>MAX($A$3:A10)+1</f>
        <v>#REF!</v>
      </c>
      <c r="B11" s="18" t="s">
        <v>131</v>
      </c>
      <c r="C11" s="11"/>
      <c r="D11" s="11"/>
      <c r="E11" s="11"/>
      <c r="F11" s="11"/>
    </row>
    <row r="12">
      <c r="A12" s="17"/>
      <c r="B12" s="21" t="s">
        <v>13</v>
      </c>
      <c r="C12" s="11"/>
      <c r="D12" s="22"/>
      <c r="E12" s="23"/>
      <c r="F12" s="23"/>
    </row>
    <row r="13">
      <c r="A13" s="17"/>
      <c r="B13" s="21" t="s">
        <v>135</v>
      </c>
      <c r="C13" s="11" t="s">
        <v>14</v>
      </c>
      <c r="D13" s="22"/>
      <c r="E13" s="27">
        <v>1.3498890240000002E7</v>
      </c>
      <c r="F13" s="23"/>
    </row>
    <row r="14">
      <c r="A14" s="17"/>
      <c r="B14" s="21" t="s">
        <v>136</v>
      </c>
      <c r="C14" s="11" t="s">
        <v>14</v>
      </c>
      <c r="D14" s="22"/>
      <c r="E14" s="27">
        <v>1.6189431264843034E7</v>
      </c>
      <c r="F14" s="23"/>
    </row>
    <row r="15">
      <c r="A15" s="17"/>
      <c r="B15" s="21" t="s">
        <v>137</v>
      </c>
      <c r="C15" s="11" t="s">
        <v>12</v>
      </c>
      <c r="D15" s="22"/>
      <c r="E15" s="29">
        <f>IFERROR(E13/E14,0)</f>
        <v>0.833808799</v>
      </c>
      <c r="F15" s="23"/>
    </row>
    <row r="16">
      <c r="A16" s="17"/>
      <c r="B16" s="30"/>
      <c r="C16" s="11"/>
      <c r="D16" s="22"/>
      <c r="E16" s="23"/>
      <c r="F16" s="23"/>
    </row>
    <row r="17">
      <c r="A17" s="17"/>
      <c r="B17" s="21" t="s">
        <v>18</v>
      </c>
      <c r="C17" s="11"/>
      <c r="D17" s="22"/>
      <c r="E17" s="22"/>
      <c r="F17" s="22"/>
    </row>
    <row r="18">
      <c r="A18" s="17"/>
      <c r="B18" s="21" t="s">
        <v>135</v>
      </c>
      <c r="C18" s="11" t="s">
        <v>14</v>
      </c>
      <c r="D18" s="22"/>
      <c r="E18" s="27">
        <f>2042.36*1000</f>
        <v>2042360</v>
      </c>
      <c r="F18" s="22"/>
    </row>
    <row r="19">
      <c r="A19" s="17"/>
      <c r="B19" s="21" t="s">
        <v>136</v>
      </c>
      <c r="C19" s="11" t="s">
        <v>14</v>
      </c>
      <c r="D19" s="22"/>
      <c r="E19" s="27">
        <f>1946.8*1000</f>
        <v>1946800</v>
      </c>
      <c r="F19" s="22"/>
    </row>
    <row r="20">
      <c r="A20" s="17"/>
      <c r="B20" s="21" t="s">
        <v>138</v>
      </c>
      <c r="C20" s="11" t="s">
        <v>12</v>
      </c>
      <c r="D20" s="22"/>
      <c r="E20" s="29">
        <f>IFERROR(E18/E19,0)</f>
        <v>1.049085679</v>
      </c>
      <c r="F20" s="22"/>
    </row>
    <row r="21">
      <c r="A21" s="17"/>
      <c r="B21" s="30"/>
      <c r="C21" s="11"/>
      <c r="D21" s="22"/>
      <c r="E21" s="22"/>
      <c r="F21" s="22"/>
    </row>
    <row r="22">
      <c r="A22" s="17"/>
      <c r="B22" s="21" t="s">
        <v>139</v>
      </c>
      <c r="C22" s="11"/>
      <c r="D22" s="22"/>
      <c r="E22" s="22"/>
      <c r="F22" s="22"/>
    </row>
    <row r="23">
      <c r="A23" s="17"/>
      <c r="B23" s="21" t="s">
        <v>135</v>
      </c>
      <c r="C23" s="11" t="s">
        <v>14</v>
      </c>
      <c r="D23" s="22"/>
      <c r="E23" s="27">
        <f>675.11*1000</f>
        <v>675110</v>
      </c>
      <c r="F23" s="22"/>
    </row>
    <row r="24">
      <c r="A24" s="17"/>
      <c r="B24" s="21" t="s">
        <v>136</v>
      </c>
      <c r="C24" s="11" t="s">
        <v>14</v>
      </c>
      <c r="D24" s="22"/>
      <c r="E24" s="27">
        <f>602.1*1000</f>
        <v>602100</v>
      </c>
      <c r="F24" s="22"/>
    </row>
    <row r="25">
      <c r="A25" s="17"/>
      <c r="B25" s="21" t="s">
        <v>140</v>
      </c>
      <c r="C25" s="11" t="s">
        <v>12</v>
      </c>
      <c r="D25" s="22"/>
      <c r="E25" s="29">
        <f>IFERROR(E23/E24,0)</f>
        <v>1.121258927</v>
      </c>
      <c r="F25" s="26">
        <f>SUM(E25)</f>
        <v>1.121258927</v>
      </c>
    </row>
    <row r="26">
      <c r="A26" s="14"/>
      <c r="B26" s="14"/>
      <c r="C26" s="14"/>
      <c r="D26" s="14"/>
      <c r="E26" s="14"/>
      <c r="F26" s="14"/>
    </row>
    <row r="27">
      <c r="A27" s="20" t="str">
        <f>MAX($A26:A$40)+1</f>
        <v>#REF!</v>
      </c>
      <c r="B27" s="18" t="s">
        <v>141</v>
      </c>
      <c r="C27" s="11"/>
      <c r="D27" s="31"/>
      <c r="E27" s="31"/>
      <c r="F27" s="31"/>
    </row>
    <row r="28">
      <c r="A28" s="17"/>
      <c r="B28" s="30" t="s">
        <v>142</v>
      </c>
      <c r="C28" s="11"/>
      <c r="D28" s="31"/>
      <c r="E28" s="31"/>
      <c r="F28" s="31"/>
    </row>
    <row r="29">
      <c r="A29" s="17"/>
      <c r="B29" s="30" t="s">
        <v>143</v>
      </c>
      <c r="C29" s="11" t="s">
        <v>144</v>
      </c>
      <c r="D29" s="31"/>
      <c r="E29" s="32">
        <f t="shared" ref="E29:E30" si="3">E32+E35</f>
        <v>36650.84</v>
      </c>
      <c r="F29" s="32">
        <f t="shared" ref="F29:F30" si="4">SUM(E29)</f>
        <v>36650.84</v>
      </c>
    </row>
    <row r="30">
      <c r="A30" s="17"/>
      <c r="B30" s="30" t="s">
        <v>145</v>
      </c>
      <c r="C30" s="11" t="s">
        <v>144</v>
      </c>
      <c r="D30" s="31"/>
      <c r="E30" s="32">
        <f t="shared" si="3"/>
        <v>9705</v>
      </c>
      <c r="F30" s="32">
        <f t="shared" si="4"/>
        <v>9705</v>
      </c>
    </row>
    <row r="31">
      <c r="A31" s="17"/>
      <c r="B31" s="30" t="s">
        <v>146</v>
      </c>
      <c r="C31" s="11" t="s">
        <v>12</v>
      </c>
      <c r="D31" s="31"/>
      <c r="E31" s="33">
        <f t="shared" ref="E31:F31" si="5">IFERROR(E30/E29,0)</f>
        <v>0.2647961138</v>
      </c>
      <c r="F31" s="33">
        <f t="shared" si="5"/>
        <v>0.2647961138</v>
      </c>
    </row>
    <row r="32">
      <c r="A32" s="17"/>
      <c r="B32" s="30" t="s">
        <v>147</v>
      </c>
      <c r="C32" s="11" t="s">
        <v>144</v>
      </c>
      <c r="D32" s="31"/>
      <c r="E32" s="32">
        <v>30584.01</v>
      </c>
      <c r="F32" s="32">
        <f t="shared" ref="F32:F33" si="6">SUM(E32)</f>
        <v>30584.01</v>
      </c>
    </row>
    <row r="33">
      <c r="A33" s="17"/>
      <c r="B33" s="30" t="s">
        <v>148</v>
      </c>
      <c r="C33" s="11" t="s">
        <v>144</v>
      </c>
      <c r="D33" s="31"/>
      <c r="E33" s="32">
        <v>7548.5</v>
      </c>
      <c r="F33" s="32">
        <f t="shared" si="6"/>
        <v>7548.5</v>
      </c>
    </row>
    <row r="34">
      <c r="A34" s="17"/>
      <c r="B34" s="30" t="s">
        <v>146</v>
      </c>
      <c r="C34" s="11" t="s">
        <v>12</v>
      </c>
      <c r="D34" s="31"/>
      <c r="E34" s="33">
        <f t="shared" ref="E34:F34" si="7">IFERROR(E33/E32,0)</f>
        <v>0.2468119779</v>
      </c>
      <c r="F34" s="33">
        <f t="shared" si="7"/>
        <v>0.2468119779</v>
      </c>
    </row>
    <row r="35">
      <c r="A35" s="17"/>
      <c r="B35" s="30" t="s">
        <v>149</v>
      </c>
      <c r="C35" s="11" t="s">
        <v>144</v>
      </c>
      <c r="D35" s="31"/>
      <c r="E35" s="32">
        <v>6066.83</v>
      </c>
      <c r="F35" s="32">
        <f t="shared" ref="F35:F36" si="8">SUM(E35)</f>
        <v>6066.83</v>
      </c>
    </row>
    <row r="36">
      <c r="A36" s="17"/>
      <c r="B36" s="30" t="s">
        <v>150</v>
      </c>
      <c r="C36" s="11" t="s">
        <v>144</v>
      </c>
      <c r="D36" s="31"/>
      <c r="E36" s="32">
        <v>2156.5</v>
      </c>
      <c r="F36" s="32">
        <f t="shared" si="8"/>
        <v>2156.5</v>
      </c>
    </row>
    <row r="37">
      <c r="A37" s="17"/>
      <c r="B37" s="30" t="s">
        <v>146</v>
      </c>
      <c r="C37" s="11" t="s">
        <v>12</v>
      </c>
      <c r="D37" s="31"/>
      <c r="E37" s="33">
        <f t="shared" ref="E37:F37" si="9">IFERROR(E36/E35,0)</f>
        <v>0.355457463</v>
      </c>
      <c r="F37" s="33">
        <f t="shared" si="9"/>
        <v>0.355457463</v>
      </c>
    </row>
    <row r="38">
      <c r="A38" s="17"/>
      <c r="B38" s="30" t="s">
        <v>33</v>
      </c>
      <c r="C38" s="11"/>
      <c r="D38" s="31"/>
      <c r="E38" s="31"/>
      <c r="F38" s="31"/>
    </row>
  </sheetData>
  <drawing r:id="rId1"/>
</worksheet>
</file>