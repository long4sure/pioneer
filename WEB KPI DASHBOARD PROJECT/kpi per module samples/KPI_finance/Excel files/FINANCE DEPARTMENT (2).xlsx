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 DEPT.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<sst xmlns="http://schemas.openxmlformats.org/spreadsheetml/2006/main" count="62" uniqueCount="35">
  <si>
    <t>KPI</t>
  </si>
  <si>
    <t>UoM</t>
  </si>
  <si>
    <t>OCT</t>
  </si>
  <si>
    <t>FINANCIALS</t>
  </si>
  <si>
    <t>Conversion Cost</t>
  </si>
  <si>
    <t>PHP/KG</t>
  </si>
  <si>
    <t xml:space="preserve">     Conversion Cost (SC only)</t>
  </si>
  <si>
    <t>target?</t>
  </si>
  <si>
    <t xml:space="preserve">     Conversion Cost (Overall)</t>
  </si>
  <si>
    <t>Volume produced (MT) Actual</t>
  </si>
  <si>
    <t>MT</t>
  </si>
  <si>
    <t>Volume produced (MT) Target</t>
  </si>
  <si>
    <t>Volume produced %</t>
  </si>
  <si>
    <t>%</t>
  </si>
  <si>
    <t>Operational Cost</t>
  </si>
  <si>
    <t xml:space="preserve">    Actual</t>
  </si>
  <si>
    <t>Php</t>
  </si>
  <si>
    <t xml:space="preserve">    Budget</t>
  </si>
  <si>
    <t>Operational Cost %</t>
  </si>
  <si>
    <t>Capital Expenditures</t>
  </si>
  <si>
    <t>Capital Expenditures %</t>
  </si>
  <si>
    <t>Variance Analysis (Expense)</t>
  </si>
  <si>
    <t>Variance Analysis (Expense) %</t>
  </si>
  <si>
    <t>Workforce &amp; Labor Reports</t>
  </si>
  <si>
    <t>Labor productivity</t>
  </si>
  <si>
    <t>Regular hours</t>
  </si>
  <si>
    <t>hrs</t>
  </si>
  <si>
    <t>Overtime hours</t>
  </si>
  <si>
    <t xml:space="preserve">       Overtime %</t>
  </si>
  <si>
    <t>Regular hours DL</t>
  </si>
  <si>
    <t>Overtime hours DL</t>
  </si>
  <si>
    <t>Regular hours IL</t>
  </si>
  <si>
    <t>Overtime hours IL</t>
  </si>
  <si>
    <t>Absenteeism</t>
  </si>
  <si>
    <t>???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</si>
</sst>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0.0%"/>
  </numFmts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quotePrefix="1" borderId="1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quotePrefix="1" borderId="1" fillId="2" fontId="2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2" fillId="2" fontId="2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center"/>
    </xf>
    <xf borderId="2" fillId="2" fontId="2" numFmtId="166" xfId="0" applyAlignment="1" applyBorder="1" applyFont="1" applyNumberFormat="1">
      <alignment horizontal="right" vertical="bottom"/>
    </xf>
    <xf borderId="2" fillId="2" fontId="2" numFmtId="164" xfId="0" applyAlignment="1" applyBorder="1" applyFont="1" applyNumberFormat="1">
      <alignment vertical="bottom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ont="1">
      <alignment vertical="bottom"/>
    </xf>
    <xf borderId="2" fillId="3" fontId="2" numFmtId="166" xfId="0" applyAlignment="1" applyBorder="1" applyFont="1" applyNumberFormat="1">
      <alignment horizontal="right" vertical="bottom"/>
    </xf>
    <xf borderId="0" fillId="3" fontId="3" numFmtId="0" xfId="0" applyFont="1"/>
    <xf borderId="2" fillId="2" fontId="2" numFmtId="165" xfId="0" applyAlignment="1" applyBorder="1" applyFont="1" applyNumberFormat="1">
      <alignment vertical="bottom"/>
    </xf>
    <xf borderId="2" fillId="3" fontId="2" numFmtId="165" xfId="0" applyAlignment="1" applyBorder="1" applyFont="1" applyNumberFormat="1">
      <alignment vertical="bottom"/>
    </xf>
    <xf borderId="2" fillId="0" fontId="2" numFmtId="10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2" fillId="2" fontId="2" numFmtId="10" xfId="0" applyAlignment="1" applyBorder="1" applyFont="1" applyNumberFormat="1">
      <alignment vertical="bottom"/>
    </xf>
    <xf borderId="2" fillId="2" fontId="2" numFmtId="3" xfId="0" applyAlignment="1" applyBorder="1" applyFont="1" applyNumberFormat="1">
      <alignment horizontal="right" vertical="bottom"/>
    </xf>
    <xf borderId="2" fillId="2" fontId="2" numFmtId="10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7.88"/>
    <col customWidth="1" min="3" max="3" width="11.3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3"/>
      <c r="C2" s="3"/>
    </row>
    <row r="3">
      <c r="A3" s="4" t="s">
        <v>4</v>
      </c>
      <c r="B3" s="3" t="s">
        <v>5</v>
      </c>
      <c r="C3" s="5"/>
    </row>
    <row r="4">
      <c r="A4" s="4" t="s">
        <v>6</v>
      </c>
      <c r="B4" s="3" t="s">
        <v>5</v>
      </c>
      <c r="C4" s="6">
        <v>10.929592243145253</v>
      </c>
      <c r="D4" s="7" t="s">
        <v>7</v>
      </c>
    </row>
    <row r="5">
      <c r="A5" s="4" t="s">
        <v>8</v>
      </c>
      <c r="B5" s="3" t="s">
        <v>5</v>
      </c>
      <c r="C5" s="6">
        <v>18.577244544821546</v>
      </c>
      <c r="D5" s="7" t="s">
        <v>7</v>
      </c>
    </row>
    <row r="6">
      <c r="A6" s="8" t="s">
        <v>9</v>
      </c>
      <c r="B6" s="9" t="s">
        <v>10</v>
      </c>
      <c r="C6" s="10">
        <v>1235.0772050500002</v>
      </c>
      <c r="D6" s="11"/>
    </row>
    <row r="7">
      <c r="A7" s="8" t="s">
        <v>11</v>
      </c>
      <c r="B7" s="9" t="s">
        <v>10</v>
      </c>
      <c r="C7" s="10">
        <v>1221.8655974719993</v>
      </c>
    </row>
    <row r="8">
      <c r="A8" s="8" t="s">
        <v>12</v>
      </c>
      <c r="B8" s="9" t="s">
        <v>13</v>
      </c>
      <c r="C8" s="12">
        <f>IFERROR(C6/C7,0)</f>
        <v>1.010812652</v>
      </c>
    </row>
    <row r="9">
      <c r="A9" s="1" t="s">
        <v>3</v>
      </c>
      <c r="B9" s="3"/>
      <c r="C9" s="3"/>
    </row>
    <row r="10">
      <c r="A10" s="8" t="s">
        <v>14</v>
      </c>
      <c r="B10" s="9"/>
      <c r="C10" s="13"/>
    </row>
    <row r="11">
      <c r="A11" s="8" t="s">
        <v>15</v>
      </c>
      <c r="B11" s="9" t="s">
        <v>16</v>
      </c>
      <c r="C11" s="10">
        <v>1.3498890240000002E7</v>
      </c>
    </row>
    <row r="12">
      <c r="A12" s="8" t="s">
        <v>17</v>
      </c>
      <c r="B12" s="9" t="s">
        <v>16</v>
      </c>
      <c r="C12" s="10">
        <v>1.6189431264843034E7</v>
      </c>
    </row>
    <row r="13">
      <c r="A13" s="8" t="s">
        <v>18</v>
      </c>
      <c r="B13" s="9" t="s">
        <v>13</v>
      </c>
      <c r="C13" s="12">
        <f>IFERROR(C11/C12,0)</f>
        <v>0.833808799</v>
      </c>
    </row>
    <row r="14">
      <c r="A14" s="14"/>
      <c r="B14" s="15"/>
      <c r="C14" s="16"/>
      <c r="D14" s="17"/>
      <c r="E14" s="17"/>
      <c r="F14" s="17"/>
      <c r="G14" s="17"/>
      <c r="H14" s="17"/>
    </row>
    <row r="15">
      <c r="A15" s="8" t="s">
        <v>19</v>
      </c>
      <c r="B15" s="9"/>
      <c r="C15" s="18"/>
    </row>
    <row r="16">
      <c r="A16" s="8" t="s">
        <v>15</v>
      </c>
      <c r="B16" s="9" t="s">
        <v>16</v>
      </c>
      <c r="C16" s="10">
        <f>2042.36*1000</f>
        <v>2042360</v>
      </c>
    </row>
    <row r="17">
      <c r="A17" s="8" t="s">
        <v>17</v>
      </c>
      <c r="B17" s="9" t="s">
        <v>16</v>
      </c>
      <c r="C17" s="10">
        <f>1946.8*1000</f>
        <v>1946800</v>
      </c>
    </row>
    <row r="18">
      <c r="A18" s="8" t="s">
        <v>20</v>
      </c>
      <c r="B18" s="9" t="s">
        <v>13</v>
      </c>
      <c r="C18" s="12">
        <f>IFERROR(C16/C17,0)</f>
        <v>1.049085679</v>
      </c>
    </row>
    <row r="19">
      <c r="A19" s="14"/>
      <c r="B19" s="15"/>
      <c r="C19" s="19"/>
      <c r="D19" s="17"/>
      <c r="E19" s="17"/>
      <c r="F19" s="17"/>
      <c r="G19" s="17"/>
      <c r="H19" s="17"/>
    </row>
    <row r="20">
      <c r="A20" s="8" t="s">
        <v>21</v>
      </c>
      <c r="B20" s="9"/>
      <c r="C20" s="18"/>
    </row>
    <row r="21">
      <c r="A21" s="8" t="s">
        <v>15</v>
      </c>
      <c r="B21" s="9" t="s">
        <v>16</v>
      </c>
      <c r="C21" s="10">
        <f>675.11*1000</f>
        <v>675110</v>
      </c>
    </row>
    <row r="22">
      <c r="A22" s="8" t="s">
        <v>17</v>
      </c>
      <c r="B22" s="9" t="s">
        <v>16</v>
      </c>
      <c r="C22" s="10">
        <f>602.1*1000</f>
        <v>602100</v>
      </c>
    </row>
    <row r="23">
      <c r="A23" s="8" t="s">
        <v>22</v>
      </c>
      <c r="B23" s="9" t="s">
        <v>13</v>
      </c>
      <c r="C23" s="12">
        <f>IFERROR(C21/C22,0)</f>
        <v>1.121258927</v>
      </c>
    </row>
    <row r="24">
      <c r="A24" s="1" t="s">
        <v>23</v>
      </c>
      <c r="B24" s="3"/>
      <c r="C24" s="20"/>
    </row>
    <row r="25">
      <c r="A25" s="21" t="s">
        <v>24</v>
      </c>
      <c r="B25" s="9"/>
      <c r="C25" s="22"/>
    </row>
    <row r="26">
      <c r="A26" s="21" t="s">
        <v>25</v>
      </c>
      <c r="B26" s="9" t="s">
        <v>26</v>
      </c>
      <c r="C26" s="23">
        <f t="shared" ref="C26:C27" si="1">C29+C32</f>
        <v>36650.84</v>
      </c>
    </row>
    <row r="27">
      <c r="A27" s="21" t="s">
        <v>27</v>
      </c>
      <c r="B27" s="9" t="s">
        <v>26</v>
      </c>
      <c r="C27" s="23">
        <f t="shared" si="1"/>
        <v>9705</v>
      </c>
    </row>
    <row r="28">
      <c r="A28" s="21" t="s">
        <v>28</v>
      </c>
      <c r="B28" s="9" t="s">
        <v>13</v>
      </c>
      <c r="C28" s="24">
        <f>IFERROR(C27/C26,0)</f>
        <v>0.2647961138</v>
      </c>
    </row>
    <row r="29">
      <c r="A29" s="21" t="s">
        <v>29</v>
      </c>
      <c r="B29" s="9" t="s">
        <v>26</v>
      </c>
      <c r="C29" s="23">
        <v>30584.01</v>
      </c>
    </row>
    <row r="30">
      <c r="A30" s="21" t="s">
        <v>30</v>
      </c>
      <c r="B30" s="9" t="s">
        <v>26</v>
      </c>
      <c r="C30" s="23">
        <v>7548.5</v>
      </c>
    </row>
    <row r="31">
      <c r="A31" s="21" t="s">
        <v>28</v>
      </c>
      <c r="B31" s="9" t="s">
        <v>13</v>
      </c>
      <c r="C31" s="24">
        <f>IFERROR(C30/C29,0)</f>
        <v>0.2468119779</v>
      </c>
    </row>
    <row r="32">
      <c r="A32" s="21" t="s">
        <v>31</v>
      </c>
      <c r="B32" s="9" t="s">
        <v>26</v>
      </c>
      <c r="C32" s="23">
        <v>6066.83</v>
      </c>
    </row>
    <row r="33">
      <c r="A33" s="21" t="s">
        <v>32</v>
      </c>
      <c r="B33" s="9" t="s">
        <v>26</v>
      </c>
      <c r="C33" s="23">
        <v>2156.5</v>
      </c>
    </row>
    <row r="34">
      <c r="A34" s="21" t="s">
        <v>28</v>
      </c>
      <c r="B34" s="9" t="s">
        <v>13</v>
      </c>
      <c r="C34" s="24">
        <f>IFERROR(C33/C32,0)</f>
        <v>0.355457463</v>
      </c>
    </row>
    <row r="35">
      <c r="A35" s="25" t="s">
        <v>33</v>
      </c>
      <c r="B35" s="3"/>
      <c r="C35" s="20"/>
      <c r="D35" s="7" t="s">
        <v>34</v>
      </c>
    </row>
  </sheetData>
  <mergeCells count="2">
    <mergeCell ref="D6:D7"/>
    <mergeCell ref="D25:F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