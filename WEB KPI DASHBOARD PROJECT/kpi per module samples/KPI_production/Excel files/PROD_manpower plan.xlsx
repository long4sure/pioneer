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power plan" sheetId="1" r:id="rId5"/>
  </sheets>
  <definedNames/>
  <calcPr/>
</workbook>
</file>

<file path=xl/sharedStrings.xml><?xml version="1.0" encoding="utf-8"?>
<sst xmlns="http://schemas.openxmlformats.org/spreadsheetml/2006/main" count="94" uniqueCount="23">
  <si>
    <t>G.</t>
  </si>
  <si>
    <t>MANPOWER PLAN</t>
  </si>
  <si>
    <t>SUMMARY OF ALL LINE</t>
  </si>
  <si>
    <t>Headcount</t>
  </si>
  <si>
    <t>Regular</t>
  </si>
  <si>
    <t>count</t>
  </si>
  <si>
    <t>Agency</t>
  </si>
  <si>
    <t>TOTAL HEADCOUNT</t>
  </si>
  <si>
    <t>Resigned Employee</t>
  </si>
  <si>
    <t>Attrition Rate</t>
  </si>
  <si>
    <t>%</t>
  </si>
  <si>
    <t>Manhours</t>
  </si>
  <si>
    <t>HRS</t>
  </si>
  <si>
    <t>TOTAL MANHOURS</t>
  </si>
  <si>
    <t>Overtime Hours</t>
  </si>
  <si>
    <t>Overtime Rate</t>
  </si>
  <si>
    <t>Absences</t>
  </si>
  <si>
    <t># of Absences</t>
  </si>
  <si>
    <t># of Required working days</t>
  </si>
  <si>
    <t>Absenteeism Rate</t>
  </si>
  <si>
    <t>line</t>
  </si>
  <si>
    <t>L06 - EPOXY</t>
  </si>
  <si>
    <t>L04B - ELASTO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</si>
</sst>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0.0%"/>
    <numFmt numFmtId="166" formatCode="_-* #,##0.00_-;\-* #,##0.00_-;_-* &quot;-&quot;??_-;_-@"/>
  </numFmts>
  <fonts count="8">
    <font>
      <sz val="10.0"/>
      <color rgb="FF000000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color theme="1"/>
      <name val="Arial"/>
      <scheme val="minor"/>
    </font>
    <font>
      <b/>
      <sz val="11.0"/>
      <color rgb="FF434343"/>
      <name val="Arial"/>
    </font>
    <font>
      <sz val="11.0"/>
      <color theme="1"/>
      <name val="Arial"/>
    </font>
    <font>
      <b/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0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quotePrefix="1"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2" fontId="1" numFmtId="0" xfId="0" applyAlignment="1" applyFont="1">
      <alignment horizontal="right" vertical="bottom"/>
    </xf>
    <xf borderId="0" fillId="2" fontId="4" numFmtId="0" xfId="0" applyAlignment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2" fillId="0" fontId="6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16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horizontal="right" vertical="bottom"/>
    </xf>
    <xf borderId="10" fillId="0" fontId="6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12" fillId="0" fontId="6" numFmtId="164" xfId="0" applyAlignment="1" applyBorder="1" applyFont="1" applyNumberFormat="1">
      <alignment horizontal="right" vertical="bottom"/>
    </xf>
    <xf borderId="13" fillId="3" fontId="7" numFmtId="0" xfId="0" applyAlignment="1" applyBorder="1" applyFill="1" applyFont="1">
      <alignment vertical="bottom"/>
    </xf>
    <xf borderId="14" fillId="3" fontId="7" numFmtId="0" xfId="0" applyAlignment="1" applyBorder="1" applyFont="1">
      <alignment vertical="bottom"/>
    </xf>
    <xf borderId="7" fillId="3" fontId="7" numFmtId="0" xfId="0" applyAlignment="1" applyBorder="1" applyFont="1">
      <alignment vertical="bottom"/>
    </xf>
    <xf borderId="8" fillId="3" fontId="7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10" xfId="0" applyAlignment="1" applyBorder="1" applyFont="1" applyNumberFormat="1">
      <alignment horizontal="right" vertical="bottom"/>
    </xf>
    <xf borderId="11" fillId="0" fontId="7" numFmtId="0" xfId="0" applyAlignment="1" applyBorder="1" applyFont="1">
      <alignment vertical="bottom"/>
    </xf>
    <xf borderId="12" fillId="0" fontId="7" numFmtId="164" xfId="0" applyAlignment="1" applyBorder="1" applyFont="1" applyNumberFormat="1">
      <alignment vertical="bottom"/>
    </xf>
    <xf borderId="15" fillId="0" fontId="5" numFmtId="0" xfId="0" applyAlignment="1" applyBorder="1" applyFont="1">
      <alignment horizontal="right"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165" xfId="0" applyAlignment="1" applyBorder="1" applyFont="1" applyNumberFormat="1">
      <alignment horizontal="right" vertical="bottom"/>
    </xf>
    <xf borderId="0" fillId="2" fontId="5" numFmtId="0" xfId="0" applyAlignment="1" applyFont="1">
      <alignment readingOrder="0" vertical="bottom"/>
    </xf>
    <xf borderId="19" fillId="2" fontId="6" numFmtId="0" xfId="0" applyAlignment="1" applyBorder="1" applyFont="1">
      <alignment vertical="bottom"/>
    </xf>
    <xf borderId="1" fillId="2" fontId="5" numFmtId="0" xfId="0" applyAlignment="1" applyBorder="1" applyFont="1">
      <alignment readingOrder="0" vertical="bottom"/>
    </xf>
    <xf borderId="2" fillId="2" fontId="6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164" xfId="0" applyAlignment="1" applyBorder="1" applyFont="1" applyNumberFormat="1">
      <alignment vertical="bottom"/>
    </xf>
    <xf borderId="5" fillId="2" fontId="5" numFmtId="0" xfId="0" applyAlignment="1" applyBorder="1" applyFont="1">
      <alignment readingOrder="0" vertical="bottom"/>
    </xf>
    <xf borderId="6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2" fontId="2" numFmtId="164" xfId="0" applyAlignment="1" applyBorder="1" applyFont="1" applyNumberFormat="1">
      <alignment horizontal="right" vertical="bottom"/>
    </xf>
    <xf borderId="9" fillId="2" fontId="5" numFmtId="0" xfId="0" applyAlignment="1" applyBorder="1" applyFont="1">
      <alignment readingOrder="0" vertical="bottom"/>
    </xf>
    <xf borderId="10" fillId="2" fontId="6" numFmtId="0" xfId="0" applyAlignment="1" applyBorder="1" applyFont="1">
      <alignment vertical="bottom"/>
    </xf>
    <xf borderId="11" fillId="2" fontId="6" numFmtId="0" xfId="0" applyAlignment="1" applyBorder="1" applyFont="1">
      <alignment vertical="bottom"/>
    </xf>
    <xf borderId="12" fillId="2" fontId="6" numFmtId="164" xfId="0" applyAlignment="1" applyBorder="1" applyFont="1" applyNumberFormat="1">
      <alignment horizontal="right" vertical="bottom"/>
    </xf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8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10" xfId="0" applyAlignment="1" applyBorder="1" applyFont="1" applyNumberFormat="1">
      <alignment horizontal="right" vertical="bottom"/>
    </xf>
    <xf borderId="12" fillId="2" fontId="2" numFmtId="164" xfId="0" applyAlignment="1" applyBorder="1" applyFont="1" applyNumberFormat="1">
      <alignment vertical="bottom"/>
    </xf>
    <xf borderId="12" fillId="2" fontId="2" numFmtId="164" xfId="0" applyAlignment="1" applyBorder="1" applyFont="1" applyNumberFormat="1">
      <alignment horizontal="right" vertical="bottom"/>
    </xf>
    <xf borderId="15" fillId="2" fontId="5" numFmtId="0" xfId="0" applyAlignment="1" applyBorder="1" applyFont="1">
      <alignment readingOrder="0" vertical="bottom"/>
    </xf>
    <xf borderId="16" fillId="2" fontId="2" numFmtId="0" xfId="0" applyAlignment="1" applyBorder="1" applyFont="1">
      <alignment vertical="bottom"/>
    </xf>
    <xf borderId="17" fillId="2" fontId="2" numFmtId="0" xfId="0" applyAlignment="1" applyBorder="1" applyFont="1">
      <alignment vertical="bottom"/>
    </xf>
    <xf borderId="18" fillId="2" fontId="2" numFmtId="165" xfId="0" applyAlignment="1" applyBorder="1" applyFont="1" applyNumberFormat="1">
      <alignment horizontal="right" vertical="bottom"/>
    </xf>
    <xf borderId="0" fillId="2" fontId="2" numFmtId="166" xfId="0" applyAlignment="1" applyFont="1" applyNumberFormat="1">
      <alignment vertical="bottom"/>
    </xf>
    <xf borderId="18" fillId="2" fontId="2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8.75"/>
    <col customWidth="1" min="3" max="3" width="14.25"/>
    <col customWidth="1" min="4" max="4" width="19.0"/>
    <col customWidth="1" min="5" max="26" width="59.88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2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1.0</v>
      </c>
      <c r="B3" s="8" t="s">
        <v>3</v>
      </c>
      <c r="C3" s="9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2.0</v>
      </c>
      <c r="B4" s="12" t="s">
        <v>4</v>
      </c>
      <c r="C4" s="13" t="s">
        <v>5</v>
      </c>
      <c r="D4" s="14">
        <f t="shared" ref="D4:D5" si="1">D26+D48+D70+D92+D114+D136+D158+D180+D202+D224+D246+D268+D290+D312</f>
        <v>96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3.0</v>
      </c>
      <c r="B5" s="12" t="s">
        <v>6</v>
      </c>
      <c r="C5" s="13" t="s">
        <v>5</v>
      </c>
      <c r="D5" s="14">
        <f t="shared" si="1"/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>
        <v>4.0</v>
      </c>
      <c r="B6" s="16" t="s">
        <v>7</v>
      </c>
      <c r="C6" s="17" t="s">
        <v>5</v>
      </c>
      <c r="D6" s="18">
        <f>SUM(D4:D5)</f>
        <v>96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9"/>
      <c r="B7" s="20"/>
      <c r="C7" s="21"/>
      <c r="D7" s="2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>
        <v>5.0</v>
      </c>
      <c r="B8" s="23" t="s">
        <v>8</v>
      </c>
      <c r="C8" s="24" t="s">
        <v>5</v>
      </c>
      <c r="D8" s="14">
        <f>D30+D52+D74+D96+D118+D140+D162+D184+D206+D228+D250+D294+D272+D316</f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>
        <v>6.0</v>
      </c>
      <c r="B9" s="23" t="s">
        <v>9</v>
      </c>
      <c r="C9" s="24" t="s">
        <v>10</v>
      </c>
      <c r="D9" s="25">
        <f>IFERROR(D8/((D6+B6)/2),0)</f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/>
      <c r="B10" s="20"/>
      <c r="C10" s="21"/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>
        <v>7.0</v>
      </c>
      <c r="B11" s="16" t="s">
        <v>11</v>
      </c>
      <c r="C11" s="26"/>
      <c r="D11" s="2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>
        <v>8.0</v>
      </c>
      <c r="B12" s="12" t="s">
        <v>4</v>
      </c>
      <c r="C12" s="24" t="s">
        <v>12</v>
      </c>
      <c r="D12" s="14">
        <f t="shared" ref="D12:D13" si="2">D34+D56+D78+D100+D122+D144+D166+D188+D210+D232+D254+D298+D276+D320</f>
        <v>16845.21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>
        <v>9.0</v>
      </c>
      <c r="B13" s="12" t="s">
        <v>6</v>
      </c>
      <c r="C13" s="24" t="s">
        <v>12</v>
      </c>
      <c r="D13" s="14">
        <f t="shared" si="2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>
        <v>10.0</v>
      </c>
      <c r="B14" s="16" t="s">
        <v>13</v>
      </c>
      <c r="C14" s="17" t="s">
        <v>12</v>
      </c>
      <c r="D14" s="18">
        <f>SUM(D12:D13)</f>
        <v>16845.21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/>
      <c r="B15" s="20"/>
      <c r="C15" s="21"/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>
        <v>11.0</v>
      </c>
      <c r="B16" s="23" t="s">
        <v>14</v>
      </c>
      <c r="C16" s="24" t="s">
        <v>12</v>
      </c>
      <c r="D16" s="14">
        <f>D38+D60+D82+D104+D126+D148+D170+D192+D214+D236+D258+D302+D280+D324</f>
        <v>3937.5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>
        <v>12.0</v>
      </c>
      <c r="B17" s="23" t="s">
        <v>15</v>
      </c>
      <c r="C17" s="24" t="s">
        <v>10</v>
      </c>
      <c r="D17" s="25">
        <f>IFERROR(D16/D14,0)</f>
        <v>0.2337459729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/>
      <c r="B18" s="20"/>
      <c r="C18" s="21"/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>
        <v>13.0</v>
      </c>
      <c r="B19" s="16" t="s">
        <v>16</v>
      </c>
      <c r="C19" s="26"/>
      <c r="D19" s="2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>
        <v>14.0</v>
      </c>
      <c r="B20" s="23" t="s">
        <v>17</v>
      </c>
      <c r="C20" s="24" t="s">
        <v>5</v>
      </c>
      <c r="D20" s="14">
        <f>D42+D64+D86+D108+D130+D152+D174+D196+D218+D240+D262+D306+D284+D328</f>
        <v>333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>
        <v>15.0</v>
      </c>
      <c r="B21" s="23" t="s">
        <v>18</v>
      </c>
      <c r="C21" s="24" t="s">
        <v>5</v>
      </c>
      <c r="D21" s="14">
        <f>D43</f>
        <v>19.75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8">
        <v>16.0</v>
      </c>
      <c r="B22" s="29" t="s">
        <v>19</v>
      </c>
      <c r="C22" s="30" t="s">
        <v>10</v>
      </c>
      <c r="D22" s="31">
        <f>IFERROR(D20/(D4*D21)*100%,0)</f>
        <v>0.1756329114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/>
      <c r="B23" s="2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2" t="s">
        <v>20</v>
      </c>
      <c r="B24" s="33" t="s">
        <v>21</v>
      </c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4">
        <v>1.0</v>
      </c>
      <c r="B25" s="35" t="s">
        <v>3</v>
      </c>
      <c r="C25" s="36"/>
      <c r="D25" s="3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>
        <v>2.0</v>
      </c>
      <c r="B26" s="39" t="s">
        <v>4</v>
      </c>
      <c r="C26" s="40" t="s">
        <v>5</v>
      </c>
      <c r="D26" s="41">
        <v>57.0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8">
        <v>3.0</v>
      </c>
      <c r="B27" s="39" t="s">
        <v>6</v>
      </c>
      <c r="C27" s="40" t="s">
        <v>5</v>
      </c>
      <c r="D27" s="41">
        <v>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2">
        <v>4.0</v>
      </c>
      <c r="B28" s="43" t="s">
        <v>7</v>
      </c>
      <c r="C28" s="44" t="s">
        <v>5</v>
      </c>
      <c r="D28" s="45">
        <f>SUM(D26:D27)</f>
        <v>57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6"/>
      <c r="B29" s="47"/>
      <c r="C29" s="40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2">
        <v>5.0</v>
      </c>
      <c r="B30" s="49" t="s">
        <v>8</v>
      </c>
      <c r="C30" s="50" t="s">
        <v>5</v>
      </c>
      <c r="D30" s="41">
        <v>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2">
        <v>6.0</v>
      </c>
      <c r="B31" s="49" t="s">
        <v>9</v>
      </c>
      <c r="C31" s="50" t="s">
        <v>10</v>
      </c>
      <c r="D31" s="51">
        <f>IFERROR(D30/((D28+#REF!)/2),0)</f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6"/>
      <c r="B32" s="47"/>
      <c r="C32" s="40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2">
        <v>7.0</v>
      </c>
      <c r="B33" s="43" t="s">
        <v>11</v>
      </c>
      <c r="C33" s="50"/>
      <c r="D33" s="5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2">
        <v>8.0</v>
      </c>
      <c r="B34" s="39" t="s">
        <v>4</v>
      </c>
      <c r="C34" s="50" t="s">
        <v>12</v>
      </c>
      <c r="D34" s="53">
        <v>10038.61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2">
        <v>9.0</v>
      </c>
      <c r="B35" s="39" t="s">
        <v>6</v>
      </c>
      <c r="C35" s="50" t="s">
        <v>12</v>
      </c>
      <c r="D35" s="41">
        <v>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2">
        <v>10.0</v>
      </c>
      <c r="B36" s="43" t="s">
        <v>13</v>
      </c>
      <c r="C36" s="44" t="s">
        <v>12</v>
      </c>
      <c r="D36" s="45">
        <f>SUM(D34:D35)</f>
        <v>10038.61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6"/>
      <c r="B37" s="47"/>
      <c r="C37" s="40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2">
        <v>11.0</v>
      </c>
      <c r="B38" s="49" t="s">
        <v>14</v>
      </c>
      <c r="C38" s="50" t="s">
        <v>12</v>
      </c>
      <c r="D38" s="53">
        <v>2350.0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2">
        <v>12.0</v>
      </c>
      <c r="B39" s="49" t="s">
        <v>15</v>
      </c>
      <c r="C39" s="50" t="s">
        <v>10</v>
      </c>
      <c r="D39" s="51">
        <f>IFERROR(D38/D36,0)</f>
        <v>0.2340961547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6"/>
      <c r="B40" s="47"/>
      <c r="C40" s="40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2">
        <v>13.0</v>
      </c>
      <c r="B41" s="43" t="s">
        <v>16</v>
      </c>
      <c r="C41" s="50"/>
      <c r="D41" s="5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2">
        <v>14.0</v>
      </c>
      <c r="B42" s="49" t="s">
        <v>17</v>
      </c>
      <c r="C42" s="50" t="s">
        <v>5</v>
      </c>
      <c r="D42" s="53">
        <v>196.0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2">
        <v>15.0</v>
      </c>
      <c r="B43" s="49" t="s">
        <v>18</v>
      </c>
      <c r="C43" s="50" t="s">
        <v>5</v>
      </c>
      <c r="D43" s="53">
        <v>19.75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4">
        <v>16.0</v>
      </c>
      <c r="B44" s="55" t="s">
        <v>19</v>
      </c>
      <c r="C44" s="56" t="s">
        <v>10</v>
      </c>
      <c r="D44" s="57">
        <f>IFERROR(D42/(D26*D43)*100%,0)</f>
        <v>0.1741061515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/>
      <c r="B45" s="3"/>
      <c r="C45" s="3"/>
      <c r="D45" s="5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2" t="s">
        <v>20</v>
      </c>
      <c r="B46" s="33" t="s">
        <v>22</v>
      </c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4">
        <v>1.0</v>
      </c>
      <c r="B47" s="35" t="s">
        <v>3</v>
      </c>
      <c r="C47" s="36"/>
      <c r="D47" s="3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8">
        <v>2.0</v>
      </c>
      <c r="B48" s="39" t="s">
        <v>4</v>
      </c>
      <c r="C48" s="40" t="s">
        <v>5</v>
      </c>
      <c r="D48" s="41">
        <v>39.0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8">
        <v>3.0</v>
      </c>
      <c r="B49" s="39" t="s">
        <v>6</v>
      </c>
      <c r="C49" s="40" t="s">
        <v>5</v>
      </c>
      <c r="D49" s="41">
        <v>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2">
        <v>4.0</v>
      </c>
      <c r="B50" s="43" t="s">
        <v>7</v>
      </c>
      <c r="C50" s="44" t="s">
        <v>5</v>
      </c>
      <c r="D50" s="45">
        <f>SUM(D48:D49)</f>
        <v>39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6"/>
      <c r="B51" s="47"/>
      <c r="C51" s="40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2">
        <v>5.0</v>
      </c>
      <c r="B52" s="49" t="s">
        <v>8</v>
      </c>
      <c r="C52" s="50" t="s">
        <v>5</v>
      </c>
      <c r="D52" s="41">
        <v>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2">
        <v>6.0</v>
      </c>
      <c r="B53" s="49" t="s">
        <v>9</v>
      </c>
      <c r="C53" s="50" t="s">
        <v>10</v>
      </c>
      <c r="D53" s="51">
        <f>IFERROR(D52/((D50+#REF!)/2),0)</f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6"/>
      <c r="B54" s="47"/>
      <c r="C54" s="40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2">
        <v>7.0</v>
      </c>
      <c r="B55" s="43" t="s">
        <v>11</v>
      </c>
      <c r="C55" s="50"/>
      <c r="D55" s="5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2">
        <v>8.0</v>
      </c>
      <c r="B56" s="39" t="s">
        <v>4</v>
      </c>
      <c r="C56" s="50" t="s">
        <v>12</v>
      </c>
      <c r="D56" s="53">
        <v>6806.6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2">
        <v>9.0</v>
      </c>
      <c r="B57" s="39" t="s">
        <v>6</v>
      </c>
      <c r="C57" s="50" t="s">
        <v>12</v>
      </c>
      <c r="D57" s="41">
        <v>0.0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2">
        <v>10.0</v>
      </c>
      <c r="B58" s="43" t="s">
        <v>13</v>
      </c>
      <c r="C58" s="44" t="s">
        <v>12</v>
      </c>
      <c r="D58" s="45">
        <f>SUM(D56:D57)</f>
        <v>6806.6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6"/>
      <c r="B59" s="47"/>
      <c r="C59" s="40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2">
        <v>11.0</v>
      </c>
      <c r="B60" s="49" t="s">
        <v>14</v>
      </c>
      <c r="C60" s="50" t="s">
        <v>12</v>
      </c>
      <c r="D60" s="53">
        <v>1587.5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2">
        <v>12.0</v>
      </c>
      <c r="B61" s="49" t="s">
        <v>15</v>
      </c>
      <c r="C61" s="50" t="s">
        <v>10</v>
      </c>
      <c r="D61" s="51">
        <f>IFERROR(D60/D58,0)</f>
        <v>0.2332295125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6"/>
      <c r="B62" s="47"/>
      <c r="C62" s="40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2">
        <v>13.0</v>
      </c>
      <c r="B63" s="43" t="s">
        <v>16</v>
      </c>
      <c r="C63" s="50"/>
      <c r="D63" s="5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2">
        <v>14.0</v>
      </c>
      <c r="B64" s="49" t="s">
        <v>17</v>
      </c>
      <c r="C64" s="50" t="s">
        <v>5</v>
      </c>
      <c r="D64" s="53">
        <v>137.0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2">
        <v>15.0</v>
      </c>
      <c r="B65" s="49" t="s">
        <v>18</v>
      </c>
      <c r="C65" s="50" t="s">
        <v>5</v>
      </c>
      <c r="D65" s="53">
        <v>19.75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4">
        <v>16.0</v>
      </c>
      <c r="B66" s="55" t="s">
        <v>19</v>
      </c>
      <c r="C66" s="56" t="s">
        <v>10</v>
      </c>
      <c r="D66" s="57">
        <f>IFERROR(D64/(D48*D65)*100%,0)</f>
        <v>0.1778643298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/>
      <c r="B67" s="3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2"/>
      <c r="B68" s="33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4"/>
      <c r="B69" s="35"/>
      <c r="C69" s="36"/>
      <c r="D69" s="3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8"/>
      <c r="B70" s="39"/>
      <c r="C70" s="40"/>
      <c r="D70" s="4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8"/>
      <c r="B71" s="39"/>
      <c r="C71" s="40"/>
      <c r="D71" s="4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2"/>
      <c r="B72" s="43"/>
      <c r="C72" s="44"/>
      <c r="D72" s="4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6"/>
      <c r="B73" s="47"/>
      <c r="C73" s="40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2"/>
      <c r="B74" s="49"/>
      <c r="C74" s="50"/>
      <c r="D74" s="4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2"/>
      <c r="B75" s="49"/>
      <c r="C75" s="50"/>
      <c r="D75" s="5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6"/>
      <c r="B76" s="47"/>
      <c r="C76" s="40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2"/>
      <c r="B77" s="43"/>
      <c r="C77" s="50"/>
      <c r="D77" s="5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2"/>
      <c r="B78" s="39"/>
      <c r="C78" s="50"/>
      <c r="D78" s="5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2"/>
      <c r="B79" s="39"/>
      <c r="C79" s="50"/>
      <c r="D79" s="4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2"/>
      <c r="B80" s="43"/>
      <c r="C80" s="44"/>
      <c r="D80" s="4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6"/>
      <c r="B81" s="47"/>
      <c r="C81" s="40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2"/>
      <c r="B82" s="49"/>
      <c r="C82" s="50"/>
      <c r="D82" s="5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2"/>
      <c r="B83" s="49"/>
      <c r="C83" s="50"/>
      <c r="D83" s="5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6"/>
      <c r="B84" s="47"/>
      <c r="C84" s="40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2"/>
      <c r="B85" s="43"/>
      <c r="C85" s="50"/>
      <c r="D85" s="5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2"/>
      <c r="B86" s="49"/>
      <c r="C86" s="50"/>
      <c r="D86" s="4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2"/>
      <c r="B87" s="49"/>
      <c r="C87" s="50"/>
      <c r="D87" s="5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4"/>
      <c r="B88" s="55"/>
      <c r="C88" s="56"/>
      <c r="D88" s="5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/>
      <c r="B89" s="3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2"/>
      <c r="B90" s="33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4"/>
      <c r="B91" s="35"/>
      <c r="C91" s="36"/>
      <c r="D91" s="3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8"/>
      <c r="B92" s="39"/>
      <c r="C92" s="40"/>
      <c r="D92" s="4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8"/>
      <c r="B93" s="39"/>
      <c r="C93" s="40"/>
      <c r="D93" s="4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2"/>
      <c r="B94" s="43"/>
      <c r="C94" s="44"/>
      <c r="D94" s="4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6"/>
      <c r="B95" s="47"/>
      <c r="C95" s="40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2"/>
      <c r="B96" s="49"/>
      <c r="C96" s="50"/>
      <c r="D96" s="4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2"/>
      <c r="B97" s="49"/>
      <c r="C97" s="50"/>
      <c r="D97" s="5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6"/>
      <c r="B98" s="47"/>
      <c r="C98" s="40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2"/>
      <c r="B99" s="43"/>
      <c r="C99" s="50"/>
      <c r="D99" s="5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2"/>
      <c r="B100" s="39"/>
      <c r="C100" s="50"/>
      <c r="D100" s="5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2"/>
      <c r="B101" s="39"/>
      <c r="C101" s="50"/>
      <c r="D101" s="4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2"/>
      <c r="B102" s="43"/>
      <c r="C102" s="44"/>
      <c r="D102" s="4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6"/>
      <c r="B103" s="47"/>
      <c r="C103" s="40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2"/>
      <c r="B104" s="49"/>
      <c r="C104" s="50"/>
      <c r="D104" s="5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2"/>
      <c r="B105" s="49"/>
      <c r="C105" s="50"/>
      <c r="D105" s="5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6"/>
      <c r="B106" s="47"/>
      <c r="C106" s="40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2"/>
      <c r="B107" s="43"/>
      <c r="C107" s="50"/>
      <c r="D107" s="5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2"/>
      <c r="B108" s="49"/>
      <c r="C108" s="50"/>
      <c r="D108" s="4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2"/>
      <c r="B109" s="49"/>
      <c r="C109" s="50"/>
      <c r="D109" s="5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4"/>
      <c r="B110" s="55"/>
      <c r="C110" s="56"/>
      <c r="D110" s="5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2"/>
      <c r="B112" s="33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4"/>
      <c r="B113" s="35"/>
      <c r="C113" s="36"/>
      <c r="D113" s="3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8"/>
      <c r="B114" s="39"/>
      <c r="C114" s="40"/>
      <c r="D114" s="4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8"/>
      <c r="B115" s="39"/>
      <c r="C115" s="40"/>
      <c r="D115" s="4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2"/>
      <c r="B116" s="43"/>
      <c r="C116" s="44"/>
      <c r="D116" s="4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6"/>
      <c r="B117" s="47"/>
      <c r="C117" s="40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2"/>
      <c r="B118" s="49"/>
      <c r="C118" s="50"/>
      <c r="D118" s="4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2"/>
      <c r="B119" s="49"/>
      <c r="C119" s="50"/>
      <c r="D119" s="5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6"/>
      <c r="B120" s="47"/>
      <c r="C120" s="40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2"/>
      <c r="B121" s="43"/>
      <c r="C121" s="50"/>
      <c r="D121" s="5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2"/>
      <c r="B122" s="39"/>
      <c r="C122" s="50"/>
      <c r="D122" s="5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2"/>
      <c r="B123" s="39"/>
      <c r="C123" s="50"/>
      <c r="D123" s="4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2"/>
      <c r="B124" s="43"/>
      <c r="C124" s="44"/>
      <c r="D124" s="4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6"/>
      <c r="B125" s="47"/>
      <c r="C125" s="40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2"/>
      <c r="B126" s="49"/>
      <c r="C126" s="50"/>
      <c r="D126" s="5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2"/>
      <c r="B127" s="49"/>
      <c r="C127" s="50"/>
      <c r="D127" s="5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6"/>
      <c r="B128" s="47"/>
      <c r="C128" s="40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2"/>
      <c r="B129" s="43"/>
      <c r="C129" s="50"/>
      <c r="D129" s="5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2"/>
      <c r="B130" s="49"/>
      <c r="C130" s="50"/>
      <c r="D130" s="5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2"/>
      <c r="B131" s="49"/>
      <c r="C131" s="50"/>
      <c r="D131" s="5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4"/>
      <c r="B132" s="55"/>
      <c r="C132" s="56"/>
      <c r="D132" s="5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2"/>
      <c r="B134" s="33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4"/>
      <c r="B135" s="35"/>
      <c r="C135" s="36"/>
      <c r="D135" s="3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8"/>
      <c r="B136" s="39"/>
      <c r="C136" s="40"/>
      <c r="D136" s="4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8"/>
      <c r="B137" s="39"/>
      <c r="C137" s="40"/>
      <c r="D137" s="4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2"/>
      <c r="B138" s="43"/>
      <c r="C138" s="44"/>
      <c r="D138" s="4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6"/>
      <c r="B139" s="47"/>
      <c r="C139" s="40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2"/>
      <c r="B140" s="49"/>
      <c r="C140" s="50"/>
      <c r="D140" s="4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2"/>
      <c r="B141" s="49"/>
      <c r="C141" s="50"/>
      <c r="D141" s="5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6"/>
      <c r="B142" s="47"/>
      <c r="C142" s="40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2"/>
      <c r="B143" s="43"/>
      <c r="C143" s="50"/>
      <c r="D143" s="5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2"/>
      <c r="B144" s="39"/>
      <c r="C144" s="50"/>
      <c r="D144" s="4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2"/>
      <c r="B145" s="39"/>
      <c r="C145" s="50"/>
      <c r="D145" s="4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2"/>
      <c r="B146" s="43"/>
      <c r="C146" s="44"/>
      <c r="D146" s="4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6"/>
      <c r="B147" s="47"/>
      <c r="C147" s="40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2"/>
      <c r="B148" s="49"/>
      <c r="C148" s="50"/>
      <c r="D148" s="5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2"/>
      <c r="B149" s="49"/>
      <c r="C149" s="50"/>
      <c r="D149" s="5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6"/>
      <c r="B150" s="47"/>
      <c r="C150" s="40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2"/>
      <c r="B151" s="43"/>
      <c r="C151" s="50"/>
      <c r="D151" s="5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2"/>
      <c r="B152" s="49"/>
      <c r="C152" s="50"/>
      <c r="D152" s="5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2"/>
      <c r="B153" s="49"/>
      <c r="C153" s="50"/>
      <c r="D153" s="5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4"/>
      <c r="B154" s="55"/>
      <c r="C154" s="56"/>
      <c r="D154" s="5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/>
      <c r="B155" s="3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2"/>
      <c r="B156" s="33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4"/>
      <c r="B157" s="35"/>
      <c r="C157" s="36"/>
      <c r="D157" s="3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8"/>
      <c r="B158" s="39"/>
      <c r="C158" s="40"/>
      <c r="D158" s="4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8"/>
      <c r="B159" s="39"/>
      <c r="C159" s="40"/>
      <c r="D159" s="4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2"/>
      <c r="B160" s="43"/>
      <c r="C160" s="44"/>
      <c r="D160" s="4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6"/>
      <c r="B161" s="47"/>
      <c r="C161" s="40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2"/>
      <c r="B162" s="49"/>
      <c r="C162" s="50"/>
      <c r="D162" s="4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2"/>
      <c r="B163" s="49"/>
      <c r="C163" s="50"/>
      <c r="D163" s="5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6"/>
      <c r="B164" s="47"/>
      <c r="C164" s="40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2"/>
      <c r="B165" s="43"/>
      <c r="C165" s="50"/>
      <c r="D165" s="5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2"/>
      <c r="B166" s="39"/>
      <c r="C166" s="50"/>
      <c r="D166" s="5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2"/>
      <c r="B167" s="39"/>
      <c r="C167" s="50"/>
      <c r="D167" s="4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2"/>
      <c r="B168" s="43"/>
      <c r="C168" s="44"/>
      <c r="D168" s="4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6"/>
      <c r="B169" s="47"/>
      <c r="C169" s="40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2"/>
      <c r="B170" s="49"/>
      <c r="C170" s="50"/>
      <c r="D170" s="5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2"/>
      <c r="B171" s="49"/>
      <c r="C171" s="50"/>
      <c r="D171" s="5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6"/>
      <c r="B172" s="47"/>
      <c r="C172" s="40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2"/>
      <c r="B173" s="43"/>
      <c r="C173" s="50"/>
      <c r="D173" s="5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2"/>
      <c r="B174" s="49"/>
      <c r="C174" s="50"/>
      <c r="D174" s="5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2"/>
      <c r="B175" s="49"/>
      <c r="C175" s="50"/>
      <c r="D175" s="5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4"/>
      <c r="B176" s="55"/>
      <c r="C176" s="56"/>
      <c r="D176" s="5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2"/>
      <c r="B178" s="33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4"/>
      <c r="B179" s="35"/>
      <c r="C179" s="36"/>
      <c r="D179" s="3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8"/>
      <c r="B180" s="39"/>
      <c r="C180" s="40"/>
      <c r="D180" s="4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8"/>
      <c r="B181" s="39"/>
      <c r="C181" s="40"/>
      <c r="D181" s="4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2"/>
      <c r="B182" s="43"/>
      <c r="C182" s="44"/>
      <c r="D182" s="4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6"/>
      <c r="B183" s="47"/>
      <c r="C183" s="40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2"/>
      <c r="B184" s="49"/>
      <c r="C184" s="50"/>
      <c r="D184" s="4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2"/>
      <c r="B185" s="49"/>
      <c r="C185" s="50"/>
      <c r="D185" s="5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6"/>
      <c r="B186" s="47"/>
      <c r="C186" s="40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2"/>
      <c r="B187" s="43"/>
      <c r="C187" s="50"/>
      <c r="D187" s="5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2"/>
      <c r="B188" s="39"/>
      <c r="C188" s="50"/>
      <c r="D188" s="4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2"/>
      <c r="B189" s="39"/>
      <c r="C189" s="50"/>
      <c r="D189" s="4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2"/>
      <c r="B190" s="43"/>
      <c r="C190" s="44"/>
      <c r="D190" s="4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6"/>
      <c r="B191" s="47"/>
      <c r="C191" s="40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2"/>
      <c r="B192" s="49"/>
      <c r="C192" s="50"/>
      <c r="D192" s="5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2"/>
      <c r="B193" s="49"/>
      <c r="C193" s="50"/>
      <c r="D193" s="5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6"/>
      <c r="B194" s="47"/>
      <c r="C194" s="40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2"/>
      <c r="B195" s="43"/>
      <c r="C195" s="50"/>
      <c r="D195" s="5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2"/>
      <c r="B196" s="49"/>
      <c r="C196" s="50"/>
      <c r="D196" s="5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2"/>
      <c r="B197" s="49"/>
      <c r="C197" s="50"/>
      <c r="D197" s="5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4"/>
      <c r="B198" s="55"/>
      <c r="C198" s="56"/>
      <c r="D198" s="5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2"/>
      <c r="B200" s="33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4"/>
      <c r="B201" s="35"/>
      <c r="C201" s="36"/>
      <c r="D201" s="3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8"/>
      <c r="B202" s="39"/>
      <c r="C202" s="40"/>
      <c r="D202" s="4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8"/>
      <c r="B203" s="39"/>
      <c r="C203" s="40"/>
      <c r="D203" s="4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2"/>
      <c r="B204" s="43"/>
      <c r="C204" s="44"/>
      <c r="D204" s="4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6"/>
      <c r="B205" s="47"/>
      <c r="C205" s="40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2"/>
      <c r="B206" s="49"/>
      <c r="C206" s="50"/>
      <c r="D206" s="4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2"/>
      <c r="B207" s="49"/>
      <c r="C207" s="50"/>
      <c r="D207" s="5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6"/>
      <c r="B208" s="47"/>
      <c r="C208" s="40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2"/>
      <c r="B209" s="43"/>
      <c r="C209" s="50"/>
      <c r="D209" s="5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2"/>
      <c r="B210" s="39"/>
      <c r="C210" s="50"/>
      <c r="D210" s="5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2"/>
      <c r="B211" s="39"/>
      <c r="C211" s="50"/>
      <c r="D211" s="4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2"/>
      <c r="B212" s="43"/>
      <c r="C212" s="44"/>
      <c r="D212" s="4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6"/>
      <c r="B213" s="47"/>
      <c r="C213" s="40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2"/>
      <c r="B214" s="49"/>
      <c r="C214" s="50"/>
      <c r="D214" s="5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2"/>
      <c r="B215" s="49"/>
      <c r="C215" s="50"/>
      <c r="D215" s="5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6"/>
      <c r="B216" s="47"/>
      <c r="C216" s="40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2"/>
      <c r="B217" s="43"/>
      <c r="C217" s="50"/>
      <c r="D217" s="5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2"/>
      <c r="B218" s="49"/>
      <c r="C218" s="50"/>
      <c r="D218" s="5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2"/>
      <c r="B219" s="49"/>
      <c r="C219" s="50"/>
      <c r="D219" s="5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4"/>
      <c r="B220" s="55"/>
      <c r="C220" s="56"/>
      <c r="D220" s="5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/>
      <c r="B221" s="3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2"/>
      <c r="B222" s="33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4"/>
      <c r="B223" s="35"/>
      <c r="C223" s="36"/>
      <c r="D223" s="3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8"/>
      <c r="B224" s="39"/>
      <c r="C224" s="40"/>
      <c r="D224" s="4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8"/>
      <c r="B225" s="39"/>
      <c r="C225" s="40"/>
      <c r="D225" s="4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2"/>
      <c r="B226" s="43"/>
      <c r="C226" s="44"/>
      <c r="D226" s="4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6"/>
      <c r="B227" s="47"/>
      <c r="C227" s="40"/>
      <c r="D227" s="4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2"/>
      <c r="B228" s="49"/>
      <c r="C228" s="50"/>
      <c r="D228" s="4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2"/>
      <c r="B229" s="49"/>
      <c r="C229" s="50"/>
      <c r="D229" s="5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6"/>
      <c r="B230" s="47"/>
      <c r="C230" s="40"/>
      <c r="D230" s="4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2"/>
      <c r="B231" s="43"/>
      <c r="C231" s="50"/>
      <c r="D231" s="5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2"/>
      <c r="B232" s="39"/>
      <c r="C232" s="50"/>
      <c r="D232" s="5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2"/>
      <c r="B233" s="39"/>
      <c r="C233" s="50"/>
      <c r="D233" s="4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2"/>
      <c r="B234" s="43"/>
      <c r="C234" s="44"/>
      <c r="D234" s="4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6"/>
      <c r="B235" s="47"/>
      <c r="C235" s="40"/>
      <c r="D235" s="4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2"/>
      <c r="B236" s="49"/>
      <c r="C236" s="50"/>
      <c r="D236" s="5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2"/>
      <c r="B237" s="49"/>
      <c r="C237" s="50"/>
      <c r="D237" s="5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6"/>
      <c r="B238" s="47"/>
      <c r="C238" s="40"/>
      <c r="D238" s="4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2"/>
      <c r="B239" s="43"/>
      <c r="C239" s="50"/>
      <c r="D239" s="5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2"/>
      <c r="B240" s="49"/>
      <c r="C240" s="50"/>
      <c r="D240" s="5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2"/>
      <c r="B241" s="49"/>
      <c r="C241" s="50"/>
      <c r="D241" s="5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4"/>
      <c r="B242" s="55"/>
      <c r="C242" s="56"/>
      <c r="D242" s="5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2"/>
      <c r="B244" s="33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4"/>
      <c r="B245" s="35"/>
      <c r="C245" s="36"/>
      <c r="D245" s="3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8"/>
      <c r="B246" s="39"/>
      <c r="C246" s="40"/>
      <c r="D246" s="4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8"/>
      <c r="B247" s="39"/>
      <c r="C247" s="40"/>
      <c r="D247" s="4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2"/>
      <c r="B248" s="43"/>
      <c r="C248" s="44"/>
      <c r="D248" s="4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6"/>
      <c r="B249" s="47"/>
      <c r="C249" s="40"/>
      <c r="D249" s="4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2"/>
      <c r="B250" s="49"/>
      <c r="C250" s="50"/>
      <c r="D250" s="4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2"/>
      <c r="B251" s="49"/>
      <c r="C251" s="50"/>
      <c r="D251" s="5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6"/>
      <c r="B252" s="47"/>
      <c r="C252" s="40"/>
      <c r="D252" s="4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2"/>
      <c r="B253" s="43"/>
      <c r="C253" s="50"/>
      <c r="D253" s="5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2"/>
      <c r="B254" s="39"/>
      <c r="C254" s="50"/>
      <c r="D254" s="5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2"/>
      <c r="B255" s="39"/>
      <c r="C255" s="50"/>
      <c r="D255" s="4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2"/>
      <c r="B256" s="43"/>
      <c r="C256" s="44"/>
      <c r="D256" s="4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6"/>
      <c r="B257" s="47"/>
      <c r="C257" s="40"/>
      <c r="D257" s="4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2"/>
      <c r="B258" s="49"/>
      <c r="C258" s="50"/>
      <c r="D258" s="5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2"/>
      <c r="B259" s="49"/>
      <c r="C259" s="50"/>
      <c r="D259" s="5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6"/>
      <c r="B260" s="47"/>
      <c r="C260" s="40"/>
      <c r="D260" s="4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2"/>
      <c r="B261" s="43"/>
      <c r="C261" s="50"/>
      <c r="D261" s="5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2"/>
      <c r="B262" s="49"/>
      <c r="C262" s="50"/>
      <c r="D262" s="5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2"/>
      <c r="B263" s="49"/>
      <c r="C263" s="50"/>
      <c r="D263" s="5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4"/>
      <c r="B264" s="55"/>
      <c r="C264" s="56"/>
      <c r="D264" s="5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/>
      <c r="B266" s="3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2"/>
      <c r="B267" s="33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4"/>
      <c r="B268" s="35"/>
      <c r="C268" s="36"/>
      <c r="D268" s="3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8"/>
      <c r="B269" s="39"/>
      <c r="C269" s="40"/>
      <c r="D269" s="4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8"/>
      <c r="B270" s="39"/>
      <c r="C270" s="40"/>
      <c r="D270" s="4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2"/>
      <c r="B271" s="43"/>
      <c r="C271" s="44"/>
      <c r="D271" s="4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6"/>
      <c r="B272" s="47"/>
      <c r="C272" s="40"/>
      <c r="D272" s="4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2"/>
      <c r="B273" s="49"/>
      <c r="C273" s="50"/>
      <c r="D273" s="5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2"/>
      <c r="B274" s="49"/>
      <c r="C274" s="50"/>
      <c r="D274" s="5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6"/>
      <c r="B275" s="47"/>
      <c r="C275" s="40"/>
      <c r="D275" s="4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2"/>
      <c r="B276" s="43"/>
      <c r="C276" s="50"/>
      <c r="D276" s="5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2"/>
      <c r="B277" s="39"/>
      <c r="C277" s="50"/>
      <c r="D277" s="5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2"/>
      <c r="B278" s="39"/>
      <c r="C278" s="50"/>
      <c r="D278" s="4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2"/>
      <c r="B279" s="43"/>
      <c r="C279" s="44"/>
      <c r="D279" s="4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6"/>
      <c r="B280" s="47"/>
      <c r="C280" s="40"/>
      <c r="D280" s="4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2"/>
      <c r="B281" s="49"/>
      <c r="C281" s="50"/>
      <c r="D281" s="5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2"/>
      <c r="B282" s="49"/>
      <c r="C282" s="50"/>
      <c r="D282" s="5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6"/>
      <c r="B283" s="47"/>
      <c r="C283" s="40"/>
      <c r="D283" s="4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2"/>
      <c r="B284" s="43"/>
      <c r="C284" s="50"/>
      <c r="D284" s="5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2"/>
      <c r="B285" s="49"/>
      <c r="C285" s="50"/>
      <c r="D285" s="5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2"/>
      <c r="B286" s="49"/>
      <c r="C286" s="50"/>
      <c r="D286" s="5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4"/>
      <c r="B287" s="55"/>
      <c r="C287" s="56"/>
      <c r="D287" s="5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2"/>
      <c r="B289" s="33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4"/>
      <c r="B290" s="35"/>
      <c r="C290" s="36"/>
      <c r="D290" s="3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8"/>
      <c r="B291" s="39"/>
      <c r="C291" s="40"/>
      <c r="D291" s="4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8"/>
      <c r="B292" s="39"/>
      <c r="C292" s="40"/>
      <c r="D292" s="4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2"/>
      <c r="B293" s="43"/>
      <c r="C293" s="44"/>
      <c r="D293" s="4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6"/>
      <c r="B294" s="47"/>
      <c r="C294" s="40"/>
      <c r="D294" s="4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2"/>
      <c r="B295" s="49"/>
      <c r="C295" s="50"/>
      <c r="D295" s="5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2"/>
      <c r="B296" s="49"/>
      <c r="C296" s="50"/>
      <c r="D296" s="5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6"/>
      <c r="B297" s="47"/>
      <c r="C297" s="40"/>
      <c r="D297" s="4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2"/>
      <c r="B298" s="43"/>
      <c r="C298" s="50"/>
      <c r="D298" s="5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2"/>
      <c r="B299" s="39"/>
      <c r="C299" s="50"/>
      <c r="D299" s="5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2"/>
      <c r="B300" s="39"/>
      <c r="C300" s="50"/>
      <c r="D300" s="5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2"/>
      <c r="B301" s="43"/>
      <c r="C301" s="44"/>
      <c r="D301" s="4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6"/>
      <c r="B302" s="47"/>
      <c r="C302" s="40"/>
      <c r="D302" s="4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2"/>
      <c r="B303" s="49"/>
      <c r="C303" s="50"/>
      <c r="D303" s="5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2"/>
      <c r="B304" s="49"/>
      <c r="C304" s="50"/>
      <c r="D304" s="5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6"/>
      <c r="B305" s="47"/>
      <c r="C305" s="40"/>
      <c r="D305" s="4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2"/>
      <c r="B306" s="43"/>
      <c r="C306" s="50"/>
      <c r="D306" s="5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2"/>
      <c r="B307" s="49"/>
      <c r="C307" s="50"/>
      <c r="D307" s="4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2"/>
      <c r="B308" s="49"/>
      <c r="C308" s="50"/>
      <c r="D308" s="5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4"/>
      <c r="B309" s="55"/>
      <c r="C309" s="56"/>
      <c r="D309" s="5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