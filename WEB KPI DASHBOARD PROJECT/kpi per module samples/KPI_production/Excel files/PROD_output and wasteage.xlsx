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tput and wasteage" sheetId="1" r:id="rId5"/>
  </sheets>
  <definedNames/>
  <calcPr/>
</workbook>
</file>

<file path=xl/sharedStrings.xml><?xml version="1.0" encoding="utf-8"?>
<sst xmlns="http://schemas.openxmlformats.org/spreadsheetml/2006/main" count="286" uniqueCount="31">
  <si>
    <t>B.</t>
  </si>
  <si>
    <t>OUTPUT AND WASTAGE</t>
  </si>
  <si>
    <t>LINES</t>
  </si>
  <si>
    <t>SUMMARY OF ALL LINE</t>
  </si>
  <si>
    <t>KGS</t>
  </si>
  <si>
    <t>FG Ouput</t>
  </si>
  <si>
    <t>Output from Reprocess</t>
  </si>
  <si>
    <t>Internal Rejection (Bad Stocks)</t>
  </si>
  <si>
    <t>Total Actual Output (NET)</t>
  </si>
  <si>
    <t>Daily Average Output</t>
  </si>
  <si>
    <t>Production Waste</t>
  </si>
  <si>
    <t>Total Waste</t>
  </si>
  <si>
    <t>%</t>
  </si>
  <si>
    <t>KG/MH</t>
  </si>
  <si>
    <t>KG/HRS</t>
  </si>
  <si>
    <t>L06 - EPOXY</t>
  </si>
  <si>
    <t>L04B - ELASTO</t>
  </si>
  <si>
    <t>L03 - CYANO TUBE</t>
  </si>
  <si>
    <t>L01 - COATINGS</t>
  </si>
  <si>
    <t>L07 - EPOXY TUBE</t>
  </si>
  <si>
    <t>LINE 9 - EPS</t>
  </si>
  <si>
    <t>L10 - CONTACT BOND</t>
  </si>
  <si>
    <t>L11 - SILICONE</t>
  </si>
  <si>
    <t>L12 - SPECIAL - EPOXY BASED</t>
  </si>
  <si>
    <t>L13 - SPECIAL WATER BASED</t>
  </si>
  <si>
    <t>LINE 14</t>
  </si>
  <si>
    <t>L05 - EPOXY CLAY</t>
  </si>
  <si>
    <t>L02 - CYNO BOTTLE</t>
  </si>
  <si>
    <t>LABELING LINE</t>
  </si>
  <si>
    <t>PCS</t>
  </si>
  <si>
    <t>PC/HRS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</si>
</sst>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.00_);_(* \(#,##0.00\);_(* &quot;-&quot;??_);_(@_)"/>
  </numFmts>
  <fonts count="6">
    <font>
      <sz val="10.0"/>
      <color rgb="FF000000"/>
      <name val="Arial"/>
      <scheme val="minor"/>
    </font>
    <font>
      <b/>
      <sz val="11.0"/>
      <color rgb="FFFF0000"/>
      <name val="Aptos Narrow"/>
    </font>
    <font>
      <sz val="11.0"/>
      <color theme="1"/>
      <name val="Aptos Narrow"/>
    </font>
    <font>
      <color theme="1"/>
      <name val="Arial"/>
      <scheme val="minor"/>
    </font>
    <font>
      <sz val="11.0"/>
      <color theme="1"/>
      <name val="Arial"/>
    </font>
    <font>
      <b/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8">
    <border/>
    <border>
      <left style="thin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bottom style="hair">
        <color rgb="FF000000"/>
      </bottom>
    </border>
    <border>
      <bottom style="hair">
        <color rgb="FF000000"/>
      </bottom>
    </border>
    <border>
      <left style="hair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left/>
      <right/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/>
      <right/>
      <top style="thin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quotePrefix="1" borderId="0" fillId="2" fontId="1" numFmtId="0" xfId="0" applyAlignment="1" applyFill="1" applyFont="1">
      <alignment horizontal="right" vertical="bottom"/>
    </xf>
    <xf borderId="0" fillId="2" fontId="1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2" fontId="2" numFmtId="9" xfId="0" applyAlignment="1" applyFont="1" applyNumberFormat="1">
      <alignment vertical="bottom"/>
    </xf>
    <xf borderId="0" fillId="2" fontId="3" numFmtId="0" xfId="0" applyFont="1"/>
    <xf borderId="1" fillId="2" fontId="4" numFmtId="0" xfId="0" applyAlignment="1" applyBorder="1" applyFont="1">
      <alignment readingOrder="0" vertical="bottom"/>
    </xf>
    <xf borderId="2" fillId="2" fontId="5" numFmtId="0" xfId="0" applyAlignment="1" applyBorder="1" applyFont="1">
      <alignment vertical="bottom"/>
    </xf>
    <xf borderId="3" fillId="2" fontId="2" numFmtId="0" xfId="0" applyAlignment="1" applyBorder="1" applyFont="1">
      <alignment vertical="bottom"/>
    </xf>
    <xf borderId="4" fillId="2" fontId="2" numFmtId="164" xfId="0" applyAlignment="1" applyBorder="1" applyFont="1" applyNumberFormat="1">
      <alignment vertical="bottom"/>
    </xf>
    <xf borderId="5" fillId="2" fontId="4" numFmtId="0" xfId="0" applyAlignment="1" applyBorder="1" applyFont="1">
      <alignment readingOrder="0" vertical="bottom"/>
    </xf>
    <xf borderId="6" fillId="2" fontId="2" numFmtId="0" xfId="0" applyAlignment="1" applyBorder="1" applyFont="1">
      <alignment vertical="bottom"/>
    </xf>
    <xf borderId="7" fillId="2" fontId="2" numFmtId="0" xfId="0" applyAlignment="1" applyBorder="1" applyFont="1">
      <alignment vertical="bottom"/>
    </xf>
    <xf borderId="8" fillId="2" fontId="2" numFmtId="164" xfId="0" applyAlignment="1" applyBorder="1" applyFont="1" applyNumberFormat="1">
      <alignment horizontal="right" vertical="bottom"/>
    </xf>
    <xf borderId="5" fillId="2" fontId="2" numFmtId="0" xfId="0" applyAlignment="1" applyBorder="1" applyFont="1">
      <alignment vertical="bottom"/>
    </xf>
    <xf borderId="6" fillId="2" fontId="5" numFmtId="0" xfId="0" applyAlignment="1" applyBorder="1" applyFont="1">
      <alignment vertical="bottom"/>
    </xf>
    <xf borderId="7" fillId="2" fontId="5" numFmtId="0" xfId="0" applyAlignment="1" applyBorder="1" applyFont="1">
      <alignment vertical="bottom"/>
    </xf>
    <xf borderId="8" fillId="2" fontId="5" numFmtId="164" xfId="0" applyAlignment="1" applyBorder="1" applyFont="1" applyNumberFormat="1">
      <alignment horizontal="right" vertical="bottom"/>
    </xf>
    <xf borderId="9" fillId="2" fontId="2" numFmtId="0" xfId="0" applyAlignment="1" applyBorder="1" applyFont="1">
      <alignment vertical="bottom"/>
    </xf>
    <xf borderId="10" fillId="2" fontId="2" numFmtId="0" xfId="0" applyAlignment="1" applyBorder="1" applyFont="1">
      <alignment vertical="bottom"/>
    </xf>
    <xf borderId="11" fillId="2" fontId="2" numFmtId="0" xfId="0" applyAlignment="1" applyBorder="1" applyFont="1">
      <alignment vertical="bottom"/>
    </xf>
    <xf borderId="12" fillId="2" fontId="2" numFmtId="0" xfId="0" applyAlignment="1" applyBorder="1" applyFont="1">
      <alignment vertical="bottom"/>
    </xf>
    <xf borderId="13" fillId="2" fontId="2" numFmtId="0" xfId="0" applyAlignment="1" applyBorder="1" applyFont="1">
      <alignment vertical="bottom"/>
    </xf>
    <xf borderId="14" fillId="2" fontId="5" numFmtId="0" xfId="0" applyAlignment="1" applyBorder="1" applyFont="1">
      <alignment vertical="bottom"/>
    </xf>
    <xf borderId="15" fillId="2" fontId="5" numFmtId="0" xfId="0" applyAlignment="1" applyBorder="1" applyFont="1">
      <alignment vertical="bottom"/>
    </xf>
    <xf borderId="16" fillId="2" fontId="5" numFmtId="10" xfId="0" applyAlignment="1" applyBorder="1" applyFont="1" applyNumberFormat="1">
      <alignment horizontal="right" vertical="bottom"/>
    </xf>
    <xf borderId="17" fillId="2" fontId="5" numFmtId="0" xfId="0" applyAlignment="1" applyBorder="1" applyFont="1">
      <alignment vertical="bottom"/>
    </xf>
    <xf borderId="8" fillId="2" fontId="2" numFmtId="164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49.5"/>
    <col customWidth="1" min="3" max="3" width="16.25"/>
    <col customWidth="1" min="4" max="4" width="16.75"/>
    <col customWidth="1" min="5" max="26" width="49.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2</v>
      </c>
      <c r="B2" s="7" t="s">
        <v>3</v>
      </c>
      <c r="C2" s="8" t="s">
        <v>4</v>
      </c>
      <c r="D2" s="9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0">
        <v>1.0</v>
      </c>
      <c r="B3" s="11" t="s">
        <v>5</v>
      </c>
      <c r="C3" s="12" t="s">
        <v>4</v>
      </c>
      <c r="D3" s="13">
        <f t="shared" ref="D3:D5" si="1">D14+D25+D36+D47+D58+D69+D80+D91+D102+D113+D124+D146+D135</f>
        <v>0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0">
        <v>2.0</v>
      </c>
      <c r="B4" s="11" t="s">
        <v>6</v>
      </c>
      <c r="C4" s="12" t="s">
        <v>4</v>
      </c>
      <c r="D4" s="13">
        <f t="shared" si="1"/>
        <v>50.4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0">
        <v>3.0</v>
      </c>
      <c r="B5" s="11" t="s">
        <v>7</v>
      </c>
      <c r="C5" s="12" t="s">
        <v>4</v>
      </c>
      <c r="D5" s="13">
        <f t="shared" si="1"/>
        <v>0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4"/>
      <c r="B6" s="15" t="s">
        <v>8</v>
      </c>
      <c r="C6" s="16" t="s">
        <v>4</v>
      </c>
      <c r="D6" s="17">
        <f>SUM(D3:D4)-D5</f>
        <v>50.4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4"/>
      <c r="B7" s="15" t="s">
        <v>9</v>
      </c>
      <c r="C7" s="16" t="s">
        <v>4</v>
      </c>
      <c r="D7" s="17">
        <f>IFERROR(D6/#REF!,0)</f>
        <v>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8"/>
      <c r="B8" s="19"/>
      <c r="C8" s="20"/>
      <c r="D8" s="21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4"/>
      <c r="B9" s="11" t="s">
        <v>10</v>
      </c>
      <c r="C9" s="12" t="s">
        <v>4</v>
      </c>
      <c r="D9" s="13">
        <f>D20+D31+D42+D53+D64+D75+D86+D97+D108+D119+D130+D152+D141</f>
        <v>152.4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22"/>
      <c r="B10" s="23" t="s">
        <v>11</v>
      </c>
      <c r="C10" s="24" t="s">
        <v>12</v>
      </c>
      <c r="D10" s="25">
        <f>IFERROR(D9/SUM(D6,D9),0)</f>
        <v>0.7514792899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4"/>
      <c r="B11" s="15" t="s">
        <v>13</v>
      </c>
      <c r="C11" s="16" t="s">
        <v>14</v>
      </c>
      <c r="D11" s="13">
        <f>IFERROR(D3/D435,0)</f>
        <v>0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"/>
      <c r="B12" s="3"/>
      <c r="C12" s="3"/>
      <c r="D12" s="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 t="s">
        <v>2</v>
      </c>
      <c r="B13" s="26" t="s">
        <v>15</v>
      </c>
      <c r="C13" s="8" t="s">
        <v>4</v>
      </c>
      <c r="D13" s="9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0">
        <v>1.0</v>
      </c>
      <c r="B14" s="11" t="s">
        <v>5</v>
      </c>
      <c r="C14" s="12" t="s">
        <v>4</v>
      </c>
      <c r="D14" s="13" t="str">
        <f>D287</f>
        <v/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0">
        <v>2.0</v>
      </c>
      <c r="B15" s="11" t="s">
        <v>6</v>
      </c>
      <c r="C15" s="12" t="s">
        <v>4</v>
      </c>
      <c r="D15" s="27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0">
        <v>3.0</v>
      </c>
      <c r="B16" s="11" t="s">
        <v>7</v>
      </c>
      <c r="C16" s="12" t="s">
        <v>4</v>
      </c>
      <c r="D16" s="27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4"/>
      <c r="B17" s="15" t="s">
        <v>8</v>
      </c>
      <c r="C17" s="16" t="s">
        <v>4</v>
      </c>
      <c r="D17" s="17">
        <f>SUM(D14:D15)-D16</f>
        <v>0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4"/>
      <c r="B18" s="15" t="s">
        <v>9</v>
      </c>
      <c r="C18" s="16" t="s">
        <v>4</v>
      </c>
      <c r="D18" s="17">
        <f>IFERROR(D17/#REF!,0)</f>
        <v>0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8"/>
      <c r="B19" s="19"/>
      <c r="C19" s="20"/>
      <c r="D19" s="21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4"/>
      <c r="B20" s="11" t="s">
        <v>10</v>
      </c>
      <c r="C20" s="12" t="s">
        <v>4</v>
      </c>
      <c r="D20" s="13">
        <v>152.4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22"/>
      <c r="B21" s="23" t="s">
        <v>11</v>
      </c>
      <c r="C21" s="24" t="s">
        <v>12</v>
      </c>
      <c r="D21" s="25">
        <f>IFERROR(D20/SUM(D17,D20),0)</f>
        <v>1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4"/>
      <c r="B22" s="15" t="s">
        <v>13</v>
      </c>
      <c r="C22" s="16" t="s">
        <v>14</v>
      </c>
      <c r="D22" s="13">
        <f>IFERROR(D14/D457,0)</f>
        <v>0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3"/>
      <c r="B23" s="3"/>
      <c r="C23" s="3"/>
      <c r="D23" s="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6" t="s">
        <v>2</v>
      </c>
      <c r="B24" s="26" t="s">
        <v>16</v>
      </c>
      <c r="C24" s="8" t="s">
        <v>4</v>
      </c>
      <c r="D24" s="9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0">
        <v>1.0</v>
      </c>
      <c r="B25" s="11" t="s">
        <v>5</v>
      </c>
      <c r="C25" s="12" t="s">
        <v>4</v>
      </c>
      <c r="D25" s="13" t="str">
        <f>D292</f>
        <v/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0">
        <v>2.0</v>
      </c>
      <c r="B26" s="11" t="s">
        <v>6</v>
      </c>
      <c r="C26" s="12" t="s">
        <v>4</v>
      </c>
      <c r="D26" s="27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0">
        <v>3.0</v>
      </c>
      <c r="B27" s="11" t="s">
        <v>7</v>
      </c>
      <c r="C27" s="12" t="s">
        <v>4</v>
      </c>
      <c r="D27" s="27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4"/>
      <c r="B28" s="15" t="s">
        <v>8</v>
      </c>
      <c r="C28" s="16" t="s">
        <v>4</v>
      </c>
      <c r="D28" s="17">
        <f>SUM(D25:D26)-D27</f>
        <v>0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4"/>
      <c r="B29" s="15" t="s">
        <v>9</v>
      </c>
      <c r="C29" s="16" t="s">
        <v>4</v>
      </c>
      <c r="D29" s="17">
        <f>IFERROR(D28/#REF!,0)</f>
        <v>0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8"/>
      <c r="B30" s="19"/>
      <c r="C30" s="20"/>
      <c r="D30" s="21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4"/>
      <c r="B31" s="11" t="s">
        <v>10</v>
      </c>
      <c r="C31" s="12" t="s">
        <v>4</v>
      </c>
      <c r="D31" s="27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22"/>
      <c r="B32" s="23" t="s">
        <v>11</v>
      </c>
      <c r="C32" s="24" t="s">
        <v>12</v>
      </c>
      <c r="D32" s="25">
        <f>IFERROR(D31/SUM(D28,D31),0)</f>
        <v>0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4"/>
      <c r="B33" s="15" t="s">
        <v>13</v>
      </c>
      <c r="C33" s="16" t="s">
        <v>14</v>
      </c>
      <c r="D33" s="13">
        <f>IFERROR(D25/D479,0)</f>
        <v>0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3"/>
      <c r="B34" s="3"/>
      <c r="C34" s="3"/>
      <c r="D34" s="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6" t="s">
        <v>2</v>
      </c>
      <c r="B35" s="26" t="s">
        <v>17</v>
      </c>
      <c r="C35" s="8" t="s">
        <v>4</v>
      </c>
      <c r="D35" s="9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10">
        <v>1.0</v>
      </c>
      <c r="B36" s="11" t="s">
        <v>5</v>
      </c>
      <c r="C36" s="12" t="s">
        <v>4</v>
      </c>
      <c r="D36" s="13" t="str">
        <f>D297</f>
        <v/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10">
        <v>2.0</v>
      </c>
      <c r="B37" s="11" t="s">
        <v>6</v>
      </c>
      <c r="C37" s="12" t="s">
        <v>4</v>
      </c>
      <c r="D37" s="13">
        <v>0.0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10">
        <v>3.0</v>
      </c>
      <c r="B38" s="11" t="s">
        <v>7</v>
      </c>
      <c r="C38" s="12" t="s">
        <v>4</v>
      </c>
      <c r="D38" s="27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14"/>
      <c r="B39" s="15" t="s">
        <v>8</v>
      </c>
      <c r="C39" s="16" t="s">
        <v>4</v>
      </c>
      <c r="D39" s="17">
        <f>SUM(D36:D37)-D38</f>
        <v>0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14"/>
      <c r="B40" s="15" t="s">
        <v>9</v>
      </c>
      <c r="C40" s="16" t="s">
        <v>4</v>
      </c>
      <c r="D40" s="17">
        <f>IFERROR(D39/#REF!,0)</f>
        <v>0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18"/>
      <c r="B41" s="19"/>
      <c r="C41" s="20"/>
      <c r="D41" s="21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14"/>
      <c r="B42" s="11" t="s">
        <v>10</v>
      </c>
      <c r="C42" s="12" t="s">
        <v>4</v>
      </c>
      <c r="D42" s="27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22"/>
      <c r="B43" s="23" t="s">
        <v>11</v>
      </c>
      <c r="C43" s="24" t="s">
        <v>12</v>
      </c>
      <c r="D43" s="25">
        <f>IFERROR(D42/SUM(D39,D42),0)</f>
        <v>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14"/>
      <c r="B44" s="15" t="s">
        <v>13</v>
      </c>
      <c r="C44" s="16" t="s">
        <v>14</v>
      </c>
      <c r="D44" s="13">
        <f>IFERROR(D36/D501,0)</f>
        <v>0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3"/>
      <c r="B45" s="3"/>
      <c r="C45" s="3"/>
      <c r="D45" s="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6" t="s">
        <v>2</v>
      </c>
      <c r="B46" s="26" t="s">
        <v>18</v>
      </c>
      <c r="C46" s="8" t="s">
        <v>4</v>
      </c>
      <c r="D46" s="9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10">
        <v>1.0</v>
      </c>
      <c r="B47" s="11" t="s">
        <v>5</v>
      </c>
      <c r="C47" s="12" t="s">
        <v>4</v>
      </c>
      <c r="D47" s="13" t="str">
        <f>D301</f>
        <v/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10">
        <v>2.0</v>
      </c>
      <c r="B48" s="11" t="s">
        <v>6</v>
      </c>
      <c r="C48" s="12" t="s">
        <v>4</v>
      </c>
      <c r="D48" s="13">
        <v>50.4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10">
        <v>3.0</v>
      </c>
      <c r="B49" s="11" t="s">
        <v>7</v>
      </c>
      <c r="C49" s="12" t="s">
        <v>4</v>
      </c>
      <c r="D49" s="13">
        <v>0.0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14"/>
      <c r="B50" s="15" t="s">
        <v>8</v>
      </c>
      <c r="C50" s="16" t="s">
        <v>4</v>
      </c>
      <c r="D50" s="17">
        <f>SUM(D47:D48)-D49</f>
        <v>50.4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14"/>
      <c r="B51" s="15" t="s">
        <v>9</v>
      </c>
      <c r="C51" s="16" t="s">
        <v>4</v>
      </c>
      <c r="D51" s="17">
        <f>IFERROR(D50/#REF!,0)</f>
        <v>0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18"/>
      <c r="B52" s="19"/>
      <c r="C52" s="20"/>
      <c r="D52" s="21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14"/>
      <c r="B53" s="11" t="s">
        <v>10</v>
      </c>
      <c r="C53" s="12" t="s">
        <v>4</v>
      </c>
      <c r="D53" s="27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22"/>
      <c r="B54" s="23" t="s">
        <v>11</v>
      </c>
      <c r="C54" s="24" t="s">
        <v>12</v>
      </c>
      <c r="D54" s="25">
        <f>IFERROR(D53/SUM(D50,D53),0)</f>
        <v>0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14"/>
      <c r="B55" s="15" t="s">
        <v>13</v>
      </c>
      <c r="C55" s="16" t="s">
        <v>14</v>
      </c>
      <c r="D55" s="13">
        <f>IFERROR(D47/D523,0)</f>
        <v>0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3"/>
      <c r="B56" s="3"/>
      <c r="C56" s="3"/>
      <c r="D56" s="3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6" t="s">
        <v>2</v>
      </c>
      <c r="B57" s="26" t="s">
        <v>19</v>
      </c>
      <c r="C57" s="8" t="s">
        <v>4</v>
      </c>
      <c r="D57" s="9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10">
        <v>1.0</v>
      </c>
      <c r="B58" s="11" t="s">
        <v>5</v>
      </c>
      <c r="C58" s="12" t="s">
        <v>4</v>
      </c>
      <c r="D58" s="13" t="str">
        <f>D306</f>
        <v/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10">
        <v>2.0</v>
      </c>
      <c r="B59" s="11" t="s">
        <v>6</v>
      </c>
      <c r="C59" s="12" t="s">
        <v>4</v>
      </c>
      <c r="D59" s="13">
        <v>0.0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10">
        <v>3.0</v>
      </c>
      <c r="B60" s="11" t="s">
        <v>7</v>
      </c>
      <c r="C60" s="12" t="s">
        <v>4</v>
      </c>
      <c r="D60" s="27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14"/>
      <c r="B61" s="15" t="s">
        <v>8</v>
      </c>
      <c r="C61" s="16" t="s">
        <v>4</v>
      </c>
      <c r="D61" s="17">
        <f>SUM(D58:D59)-D60</f>
        <v>0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14"/>
      <c r="B62" s="15" t="s">
        <v>9</v>
      </c>
      <c r="C62" s="16" t="s">
        <v>4</v>
      </c>
      <c r="D62" s="17">
        <f>IFERROR(D61/#REF!,0)</f>
        <v>0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18"/>
      <c r="B63" s="19"/>
      <c r="C63" s="20"/>
      <c r="D63" s="21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14"/>
      <c r="B64" s="11" t="s">
        <v>10</v>
      </c>
      <c r="C64" s="12" t="s">
        <v>4</v>
      </c>
      <c r="D64" s="27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22"/>
      <c r="B65" s="23" t="s">
        <v>11</v>
      </c>
      <c r="C65" s="24" t="s">
        <v>12</v>
      </c>
      <c r="D65" s="25">
        <f>IFERROR(D64/SUM(D61,D64),0)</f>
        <v>0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14"/>
      <c r="B66" s="15" t="s">
        <v>13</v>
      </c>
      <c r="C66" s="16" t="s">
        <v>14</v>
      </c>
      <c r="D66" s="13">
        <f>IFERROR(D58/D545,0)</f>
        <v>0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3"/>
      <c r="B67" s="3"/>
      <c r="C67" s="3"/>
      <c r="D67" s="3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6" t="s">
        <v>2</v>
      </c>
      <c r="B68" s="26" t="s">
        <v>20</v>
      </c>
      <c r="C68" s="8" t="s">
        <v>4</v>
      </c>
      <c r="D68" s="9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10">
        <v>1.0</v>
      </c>
      <c r="B69" s="11" t="s">
        <v>5</v>
      </c>
      <c r="C69" s="12" t="s">
        <v>4</v>
      </c>
      <c r="D69" s="13" t="str">
        <f>D311</f>
        <v/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10">
        <v>2.0</v>
      </c>
      <c r="B70" s="11" t="s">
        <v>6</v>
      </c>
      <c r="C70" s="12" t="s">
        <v>4</v>
      </c>
      <c r="D70" s="13">
        <v>0.0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10">
        <v>3.0</v>
      </c>
      <c r="B71" s="11" t="s">
        <v>7</v>
      </c>
      <c r="C71" s="12" t="s">
        <v>4</v>
      </c>
      <c r="D71" s="27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14"/>
      <c r="B72" s="15" t="s">
        <v>8</v>
      </c>
      <c r="C72" s="16" t="s">
        <v>4</v>
      </c>
      <c r="D72" s="17">
        <f>SUM(D69:D70)-D71</f>
        <v>0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14"/>
      <c r="B73" s="15" t="s">
        <v>9</v>
      </c>
      <c r="C73" s="16" t="s">
        <v>4</v>
      </c>
      <c r="D73" s="17">
        <f>IFERROR(D72/#REF!,0)</f>
        <v>0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18"/>
      <c r="B74" s="19"/>
      <c r="C74" s="20"/>
      <c r="D74" s="21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14"/>
      <c r="B75" s="11" t="s">
        <v>10</v>
      </c>
      <c r="C75" s="12" t="s">
        <v>4</v>
      </c>
      <c r="D75" s="27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22"/>
      <c r="B76" s="23" t="s">
        <v>11</v>
      </c>
      <c r="C76" s="24" t="s">
        <v>12</v>
      </c>
      <c r="D76" s="25">
        <f>IFERROR(D75/SUM(D72,D75),0)</f>
        <v>0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14"/>
      <c r="B77" s="15" t="s">
        <v>13</v>
      </c>
      <c r="C77" s="16" t="s">
        <v>14</v>
      </c>
      <c r="D77" s="13">
        <f>IFERROR(D69/D567,0)</f>
        <v>0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3"/>
      <c r="B78" s="3"/>
      <c r="C78" s="3"/>
      <c r="D78" s="3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6" t="s">
        <v>2</v>
      </c>
      <c r="B79" s="26" t="s">
        <v>21</v>
      </c>
      <c r="C79" s="8" t="s">
        <v>4</v>
      </c>
      <c r="D79" s="9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10">
        <v>1.0</v>
      </c>
      <c r="B80" s="11" t="s">
        <v>5</v>
      </c>
      <c r="C80" s="12" t="s">
        <v>4</v>
      </c>
      <c r="D80" s="13" t="str">
        <f>D315</f>
        <v/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10">
        <v>2.0</v>
      </c>
      <c r="B81" s="11" t="s">
        <v>6</v>
      </c>
      <c r="C81" s="12" t="s">
        <v>4</v>
      </c>
      <c r="D81" s="13">
        <v>0.0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10">
        <v>3.0</v>
      </c>
      <c r="B82" s="11" t="s">
        <v>7</v>
      </c>
      <c r="C82" s="12" t="s">
        <v>4</v>
      </c>
      <c r="D82" s="27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14"/>
      <c r="B83" s="15" t="s">
        <v>8</v>
      </c>
      <c r="C83" s="16" t="s">
        <v>4</v>
      </c>
      <c r="D83" s="17">
        <f>SUM(D80:D81)-D82</f>
        <v>0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14"/>
      <c r="B84" s="15" t="s">
        <v>9</v>
      </c>
      <c r="C84" s="16" t="s">
        <v>4</v>
      </c>
      <c r="D84" s="17">
        <f>IFERROR(D83/#REF!,0)</f>
        <v>0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18"/>
      <c r="B85" s="19"/>
      <c r="C85" s="20"/>
      <c r="D85" s="21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14"/>
      <c r="B86" s="11" t="s">
        <v>10</v>
      </c>
      <c r="C86" s="12" t="s">
        <v>4</v>
      </c>
      <c r="D86" s="27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22"/>
      <c r="B87" s="23" t="s">
        <v>11</v>
      </c>
      <c r="C87" s="24" t="s">
        <v>12</v>
      </c>
      <c r="D87" s="25">
        <f>IFERROR(D86/SUM(D83,D86),0)</f>
        <v>0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14"/>
      <c r="B88" s="15" t="s">
        <v>13</v>
      </c>
      <c r="C88" s="16" t="s">
        <v>14</v>
      </c>
      <c r="D88" s="13">
        <f>IFERROR(D80/D589,0)</f>
        <v>0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3"/>
      <c r="B89" s="3"/>
      <c r="C89" s="3"/>
      <c r="D89" s="3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6" t="s">
        <v>2</v>
      </c>
      <c r="B90" s="26" t="s">
        <v>22</v>
      </c>
      <c r="C90" s="8" t="s">
        <v>4</v>
      </c>
      <c r="D90" s="9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10">
        <v>1.0</v>
      </c>
      <c r="B91" s="11" t="s">
        <v>5</v>
      </c>
      <c r="C91" s="12" t="s">
        <v>4</v>
      </c>
      <c r="D91" s="13" t="str">
        <f>D320</f>
        <v/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10">
        <v>2.0</v>
      </c>
      <c r="B92" s="11" t="s">
        <v>6</v>
      </c>
      <c r="C92" s="12" t="s">
        <v>4</v>
      </c>
      <c r="D92" s="13">
        <v>0.0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10">
        <v>3.0</v>
      </c>
      <c r="B93" s="11" t="s">
        <v>7</v>
      </c>
      <c r="C93" s="12" t="s">
        <v>4</v>
      </c>
      <c r="D93" s="27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14"/>
      <c r="B94" s="15" t="s">
        <v>8</v>
      </c>
      <c r="C94" s="16" t="s">
        <v>4</v>
      </c>
      <c r="D94" s="17">
        <f>SUM(D91:D92)-D93</f>
        <v>0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14"/>
      <c r="B95" s="15" t="s">
        <v>9</v>
      </c>
      <c r="C95" s="16" t="s">
        <v>4</v>
      </c>
      <c r="D95" s="17">
        <f>IFERROR(D94/#REF!,0)</f>
        <v>0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18"/>
      <c r="B96" s="19"/>
      <c r="C96" s="20"/>
      <c r="D96" s="21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14"/>
      <c r="B97" s="11" t="s">
        <v>10</v>
      </c>
      <c r="C97" s="12" t="s">
        <v>4</v>
      </c>
      <c r="D97" s="27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22"/>
      <c r="B98" s="23" t="s">
        <v>11</v>
      </c>
      <c r="C98" s="24" t="s">
        <v>12</v>
      </c>
      <c r="D98" s="25">
        <f>IFERROR(D97/SUM(D94,D97),0)</f>
        <v>0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14"/>
      <c r="B99" s="15" t="s">
        <v>13</v>
      </c>
      <c r="C99" s="16" t="s">
        <v>14</v>
      </c>
      <c r="D99" s="13">
        <f>IFERROR(D91/D611,0)</f>
        <v>0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3"/>
      <c r="B100" s="3"/>
      <c r="C100" s="3"/>
      <c r="D100" s="3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6" t="s">
        <v>2</v>
      </c>
      <c r="B101" s="26" t="s">
        <v>23</v>
      </c>
      <c r="C101" s="8" t="s">
        <v>4</v>
      </c>
      <c r="D101" s="9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10">
        <v>1.0</v>
      </c>
      <c r="B102" s="11" t="s">
        <v>5</v>
      </c>
      <c r="C102" s="12" t="s">
        <v>4</v>
      </c>
      <c r="D102" s="13" t="str">
        <f>D325</f>
        <v/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10">
        <v>2.0</v>
      </c>
      <c r="B103" s="11" t="s">
        <v>6</v>
      </c>
      <c r="C103" s="12" t="s">
        <v>4</v>
      </c>
      <c r="D103" s="13">
        <v>0.0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10">
        <v>3.0</v>
      </c>
      <c r="B104" s="11" t="s">
        <v>7</v>
      </c>
      <c r="C104" s="12" t="s">
        <v>4</v>
      </c>
      <c r="D104" s="27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14"/>
      <c r="B105" s="15" t="s">
        <v>8</v>
      </c>
      <c r="C105" s="16" t="s">
        <v>4</v>
      </c>
      <c r="D105" s="17">
        <f>SUM(D102:D103)-D104</f>
        <v>0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14"/>
      <c r="B106" s="15" t="s">
        <v>9</v>
      </c>
      <c r="C106" s="16" t="s">
        <v>4</v>
      </c>
      <c r="D106" s="17">
        <f>IFERROR(D105/#REF!,0)</f>
        <v>0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18"/>
      <c r="B107" s="19"/>
      <c r="C107" s="20"/>
      <c r="D107" s="21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14"/>
      <c r="B108" s="11" t="s">
        <v>10</v>
      </c>
      <c r="C108" s="12" t="s">
        <v>4</v>
      </c>
      <c r="D108" s="27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22"/>
      <c r="B109" s="23" t="s">
        <v>11</v>
      </c>
      <c r="C109" s="24" t="s">
        <v>12</v>
      </c>
      <c r="D109" s="25">
        <f>IFERROR(D108/SUM(D105,D108),0)</f>
        <v>0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14"/>
      <c r="B110" s="15" t="s">
        <v>13</v>
      </c>
      <c r="C110" s="16" t="s">
        <v>14</v>
      </c>
      <c r="D110" s="13">
        <f>IFERROR(D102/D633,0)</f>
        <v>0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3"/>
      <c r="B111" s="3"/>
      <c r="C111" s="3"/>
      <c r="D111" s="3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6" t="s">
        <v>2</v>
      </c>
      <c r="B112" s="26" t="s">
        <v>24</v>
      </c>
      <c r="C112" s="8" t="s">
        <v>4</v>
      </c>
      <c r="D112" s="9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10">
        <v>1.0</v>
      </c>
      <c r="B113" s="11" t="s">
        <v>5</v>
      </c>
      <c r="C113" s="12" t="s">
        <v>4</v>
      </c>
      <c r="D113" s="13" t="str">
        <f>D329</f>
        <v/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10">
        <v>2.0</v>
      </c>
      <c r="B114" s="11" t="s">
        <v>6</v>
      </c>
      <c r="C114" s="12" t="s">
        <v>4</v>
      </c>
      <c r="D114" s="13">
        <v>0.0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10">
        <v>3.0</v>
      </c>
      <c r="B115" s="11" t="s">
        <v>7</v>
      </c>
      <c r="C115" s="12" t="s">
        <v>4</v>
      </c>
      <c r="D115" s="27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14"/>
      <c r="B116" s="15" t="s">
        <v>8</v>
      </c>
      <c r="C116" s="16" t="s">
        <v>4</v>
      </c>
      <c r="D116" s="17">
        <f>SUM(D113:D114)-D115</f>
        <v>0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14"/>
      <c r="B117" s="15" t="s">
        <v>9</v>
      </c>
      <c r="C117" s="16" t="s">
        <v>4</v>
      </c>
      <c r="D117" s="17">
        <f>IFERROR(D116/#REF!,0)</f>
        <v>0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18"/>
      <c r="B118" s="19"/>
      <c r="C118" s="20"/>
      <c r="D118" s="21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14"/>
      <c r="B119" s="11" t="s">
        <v>10</v>
      </c>
      <c r="C119" s="12" t="s">
        <v>4</v>
      </c>
      <c r="D119" s="27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22"/>
      <c r="B120" s="23" t="s">
        <v>11</v>
      </c>
      <c r="C120" s="24" t="s">
        <v>12</v>
      </c>
      <c r="D120" s="25">
        <f>IFERROR(D119/SUM(D116,D119),0)</f>
        <v>0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14"/>
      <c r="B121" s="15" t="s">
        <v>13</v>
      </c>
      <c r="C121" s="16" t="s">
        <v>14</v>
      </c>
      <c r="D121" s="13">
        <f>IFERROR(D113/D655,0)</f>
        <v>0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3"/>
      <c r="B122" s="3"/>
      <c r="C122" s="3"/>
      <c r="D122" s="3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6" t="s">
        <v>2</v>
      </c>
      <c r="B123" s="26" t="s">
        <v>25</v>
      </c>
      <c r="C123" s="8" t="s">
        <v>4</v>
      </c>
      <c r="D123" s="9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10">
        <v>1.0</v>
      </c>
      <c r="B124" s="11" t="s">
        <v>5</v>
      </c>
      <c r="C124" s="12" t="s">
        <v>4</v>
      </c>
      <c r="D124" s="13" t="str">
        <f>D334</f>
        <v/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10">
        <v>2.0</v>
      </c>
      <c r="B125" s="11" t="s">
        <v>6</v>
      </c>
      <c r="C125" s="12" t="s">
        <v>4</v>
      </c>
      <c r="D125" s="13">
        <v>0.0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10">
        <v>3.0</v>
      </c>
      <c r="B126" s="11" t="s">
        <v>7</v>
      </c>
      <c r="C126" s="12" t="s">
        <v>4</v>
      </c>
      <c r="D126" s="27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14"/>
      <c r="B127" s="15" t="s">
        <v>8</v>
      </c>
      <c r="C127" s="16" t="s">
        <v>4</v>
      </c>
      <c r="D127" s="17">
        <f>SUM(D124:D125)-D126</f>
        <v>0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14"/>
      <c r="B128" s="15" t="s">
        <v>9</v>
      </c>
      <c r="C128" s="16" t="s">
        <v>4</v>
      </c>
      <c r="D128" s="17">
        <f>IFERROR(D127/#REF!,0)</f>
        <v>0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18"/>
      <c r="B129" s="19"/>
      <c r="C129" s="20"/>
      <c r="D129" s="21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14"/>
      <c r="B130" s="11" t="s">
        <v>10</v>
      </c>
      <c r="C130" s="12" t="s">
        <v>4</v>
      </c>
      <c r="D130" s="27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22"/>
      <c r="B131" s="23" t="s">
        <v>11</v>
      </c>
      <c r="C131" s="24" t="s">
        <v>12</v>
      </c>
      <c r="D131" s="25">
        <f>IFERROR(D130/SUM(D127,D130),0)</f>
        <v>0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14"/>
      <c r="B132" s="15" t="s">
        <v>13</v>
      </c>
      <c r="C132" s="16" t="s">
        <v>14</v>
      </c>
      <c r="D132" s="13">
        <f>IFERROR(D124/D677,0)</f>
        <v>0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3"/>
      <c r="B133" s="3"/>
      <c r="C133" s="3"/>
      <c r="D133" s="3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6" t="s">
        <v>2</v>
      </c>
      <c r="B134" s="26" t="s">
        <v>26</v>
      </c>
      <c r="C134" s="8" t="s">
        <v>4</v>
      </c>
      <c r="D134" s="9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10">
        <v>1.0</v>
      </c>
      <c r="B135" s="11" t="s">
        <v>5</v>
      </c>
      <c r="C135" s="12" t="s">
        <v>4</v>
      </c>
      <c r="D135" s="13" t="str">
        <f>D339</f>
        <v/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10">
        <v>2.0</v>
      </c>
      <c r="B136" s="11" t="s">
        <v>6</v>
      </c>
      <c r="C136" s="12" t="s">
        <v>4</v>
      </c>
      <c r="D136" s="13">
        <v>0.0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10">
        <v>3.0</v>
      </c>
      <c r="B137" s="11" t="s">
        <v>7</v>
      </c>
      <c r="C137" s="12" t="s">
        <v>4</v>
      </c>
      <c r="D137" s="27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14"/>
      <c r="B138" s="15" t="s">
        <v>8</v>
      </c>
      <c r="C138" s="16" t="s">
        <v>4</v>
      </c>
      <c r="D138" s="17">
        <f>SUM(D135:D136)-D137</f>
        <v>0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14"/>
      <c r="B139" s="15" t="s">
        <v>9</v>
      </c>
      <c r="C139" s="16" t="s">
        <v>4</v>
      </c>
      <c r="D139" s="27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18"/>
      <c r="B140" s="19"/>
      <c r="C140" s="20"/>
      <c r="D140" s="21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14"/>
      <c r="B141" s="11" t="s">
        <v>10</v>
      </c>
      <c r="C141" s="12" t="s">
        <v>4</v>
      </c>
      <c r="D141" s="27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22"/>
      <c r="B142" s="23" t="s">
        <v>11</v>
      </c>
      <c r="C142" s="24" t="s">
        <v>12</v>
      </c>
      <c r="D142" s="25">
        <f>IFERROR(D141/SUM(D138,D141),0)</f>
        <v>0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14"/>
      <c r="B143" s="15" t="s">
        <v>13</v>
      </c>
      <c r="C143" s="16" t="s">
        <v>14</v>
      </c>
      <c r="D143" s="13">
        <f>IFERROR(D135/#REF!,0)</f>
        <v>0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3"/>
      <c r="B144" s="3"/>
      <c r="C144" s="3"/>
      <c r="D144" s="3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6" t="s">
        <v>2</v>
      </c>
      <c r="B145" s="26" t="s">
        <v>27</v>
      </c>
      <c r="C145" s="8" t="s">
        <v>4</v>
      </c>
      <c r="D145" s="9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10">
        <v>1.0</v>
      </c>
      <c r="B146" s="11" t="s">
        <v>5</v>
      </c>
      <c r="C146" s="12" t="s">
        <v>4</v>
      </c>
      <c r="D146" s="13" t="str">
        <f>D344</f>
        <v/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10">
        <v>2.0</v>
      </c>
      <c r="B147" s="11" t="s">
        <v>6</v>
      </c>
      <c r="C147" s="12" t="s">
        <v>4</v>
      </c>
      <c r="D147" s="13">
        <v>0.0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10">
        <v>3.0</v>
      </c>
      <c r="B148" s="11" t="s">
        <v>7</v>
      </c>
      <c r="C148" s="12" t="s">
        <v>4</v>
      </c>
      <c r="D148" s="27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14"/>
      <c r="B149" s="15" t="s">
        <v>8</v>
      </c>
      <c r="C149" s="16" t="s">
        <v>4</v>
      </c>
      <c r="D149" s="17">
        <f>SUM(D146:D147)-D148</f>
        <v>0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14"/>
      <c r="B150" s="15" t="s">
        <v>9</v>
      </c>
      <c r="C150" s="16" t="s">
        <v>4</v>
      </c>
      <c r="D150" s="27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18"/>
      <c r="B151" s="19"/>
      <c r="C151" s="20"/>
      <c r="D151" s="21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14"/>
      <c r="B152" s="11" t="s">
        <v>10</v>
      </c>
      <c r="C152" s="12" t="s">
        <v>4</v>
      </c>
      <c r="D152" s="27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22"/>
      <c r="B153" s="23" t="s">
        <v>11</v>
      </c>
      <c r="C153" s="24" t="s">
        <v>12</v>
      </c>
      <c r="D153" s="25">
        <f>IFERROR(D152/SUM(D149,D152),0)</f>
        <v>0</v>
      </c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14"/>
      <c r="B154" s="15" t="s">
        <v>13</v>
      </c>
      <c r="C154" s="16" t="s">
        <v>14</v>
      </c>
      <c r="D154" s="13">
        <f>IFERROR(D146/D700,0)</f>
        <v>0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3"/>
      <c r="B155" s="3"/>
      <c r="C155" s="3"/>
      <c r="D155" s="3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6" t="s">
        <v>2</v>
      </c>
      <c r="B156" s="26" t="s">
        <v>28</v>
      </c>
      <c r="C156" s="8"/>
      <c r="D156" s="9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10">
        <v>1.0</v>
      </c>
      <c r="B157" s="11" t="s">
        <v>5</v>
      </c>
      <c r="C157" s="12" t="s">
        <v>29</v>
      </c>
      <c r="D157" s="27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10">
        <v>2.0</v>
      </c>
      <c r="B158" s="11" t="s">
        <v>6</v>
      </c>
      <c r="C158" s="12" t="s">
        <v>29</v>
      </c>
      <c r="D158" s="27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10">
        <v>3.0</v>
      </c>
      <c r="B159" s="11" t="s">
        <v>7</v>
      </c>
      <c r="C159" s="12" t="s">
        <v>29</v>
      </c>
      <c r="D159" s="27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14"/>
      <c r="B160" s="15" t="s">
        <v>8</v>
      </c>
      <c r="C160" s="16" t="s">
        <v>29</v>
      </c>
      <c r="D160" s="17">
        <f>SUM(D157:D158)-D159</f>
        <v>0</v>
      </c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14"/>
      <c r="B161" s="15" t="s">
        <v>9</v>
      </c>
      <c r="C161" s="16" t="s">
        <v>29</v>
      </c>
      <c r="D161" s="27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18"/>
      <c r="B162" s="19"/>
      <c r="C162" s="20"/>
      <c r="D162" s="21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14"/>
      <c r="B163" s="11" t="s">
        <v>10</v>
      </c>
      <c r="C163" s="12" t="s">
        <v>29</v>
      </c>
      <c r="D163" s="27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22"/>
      <c r="B164" s="23" t="s">
        <v>11</v>
      </c>
      <c r="C164" s="24" t="s">
        <v>12</v>
      </c>
      <c r="D164" s="25">
        <f>IFERROR(D163/SUM(D160,D163),0)</f>
        <v>0</v>
      </c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14"/>
      <c r="B165" s="15" t="s">
        <v>13</v>
      </c>
      <c r="C165" s="16" t="s">
        <v>30</v>
      </c>
      <c r="D165" s="13">
        <f>IFERROR(D157/D722,0)</f>
        <v>0</v>
      </c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