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 utilization" sheetId="1" r:id="rId5"/>
  </sheets>
  <definedNames/>
  <calcPr/>
</workbook>
</file>

<file path=xl/sharedStrings.xml><?xml version="1.0" encoding="utf-8"?>
<sst xmlns="http://schemas.openxmlformats.org/spreadsheetml/2006/main" count="308" uniqueCount="36">
  <si>
    <t>A.</t>
  </si>
  <si>
    <t>MACHINE UTILIZATION - BY TIME</t>
  </si>
  <si>
    <t>LINES</t>
  </si>
  <si>
    <t>SUMMARY OF ALL LINE</t>
  </si>
  <si>
    <t>Actual Productive Time</t>
  </si>
  <si>
    <t>HRS</t>
  </si>
  <si>
    <t>No Production Plan</t>
  </si>
  <si>
    <t>No Head Count Allocation</t>
  </si>
  <si>
    <t>Change Over Time</t>
  </si>
  <si>
    <t>Meeting</t>
  </si>
  <si>
    <t>Sanitation Time</t>
  </si>
  <si>
    <t>Start-up Time/Setup</t>
  </si>
  <si>
    <t>Shutdown/cooldown</t>
  </si>
  <si>
    <t>Testing Time</t>
  </si>
  <si>
    <t>Breaktime</t>
  </si>
  <si>
    <t>Preventitve Maintenance</t>
  </si>
  <si>
    <t>Force Majeure</t>
  </si>
  <si>
    <t>Electrical Breakdown</t>
  </si>
  <si>
    <t>Mechanical Breakdown</t>
  </si>
  <si>
    <t xml:space="preserve">Materials Supply </t>
  </si>
  <si>
    <t>Sorting/Reworking</t>
  </si>
  <si>
    <t>Technical Downtime(QA &amp; RND)</t>
  </si>
  <si>
    <t>No Manpower</t>
  </si>
  <si>
    <t>UDT-Meeting</t>
  </si>
  <si>
    <t>No OT</t>
  </si>
  <si>
    <t>No Bulkmix/No Kettle</t>
  </si>
  <si>
    <t>Transfer</t>
  </si>
  <si>
    <t>Idle time</t>
  </si>
  <si>
    <t>TOTAL</t>
  </si>
  <si>
    <t>%</t>
  </si>
  <si>
    <t># of Machines available</t>
  </si>
  <si>
    <t># of Machines used</t>
  </si>
  <si>
    <t>Production Days</t>
  </si>
  <si>
    <t>% Utilization</t>
  </si>
  <si>
    <t>LINE 6- EPOXY LINE (FILLING)</t>
  </si>
  <si>
    <t>LINE 6- EPOXY LINE (MIXER)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</si>
</sst>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0.0"/>
      <color rgb="FF000000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</fills>
  <borders count="19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164" xfId="0" applyAlignment="1" applyBorder="1" applyFont="1" applyNumberFormat="1">
      <alignment horizontal="right" vertical="bottom"/>
    </xf>
    <xf borderId="9" fillId="2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4" numFmtId="164" xfId="0" applyAlignment="1" applyBorder="1" applyFont="1" applyNumberFormat="1">
      <alignment horizontal="right" vertical="bottom"/>
    </xf>
    <xf borderId="10" fillId="3" fontId="2" numFmtId="0" xfId="0" applyAlignment="1" applyBorder="1" applyFill="1" applyFont="1">
      <alignment vertical="bottom"/>
    </xf>
    <xf borderId="11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13" fillId="3" fontId="2" numFmtId="0" xfId="0" applyAlignment="1" applyBorder="1" applyFont="1">
      <alignment vertical="bottom"/>
    </xf>
    <xf borderId="8" fillId="0" fontId="2" numFmtId="10" xfId="0" applyAlignment="1" applyBorder="1" applyFont="1" applyNumberFormat="1">
      <alignment horizontal="right" vertical="bottom"/>
    </xf>
    <xf borderId="8" fillId="0" fontId="4" numFmtId="10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4" numFmtId="10" xfId="0" applyAlignment="1" applyBorder="1" applyFont="1" applyNumberFormat="1">
      <alignment horizontal="right" vertical="bottom"/>
    </xf>
    <xf borderId="18" fillId="4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4.38"/>
    <col customWidth="1" min="3" max="3" width="11.88"/>
    <col customWidth="1" min="4" max="4" width="18.0"/>
    <col customWidth="1" min="5" max="26" width="33.63"/>
  </cols>
  <sheetData>
    <row r="1">
      <c r="A1" s="1" t="s">
        <v>0</v>
      </c>
      <c r="B1" s="2" t="s">
        <v>1</v>
      </c>
      <c r="C1" s="3"/>
      <c r="D1" s="3"/>
    </row>
    <row r="2">
      <c r="A2" s="4" t="s">
        <v>2</v>
      </c>
      <c r="B2" s="5" t="s">
        <v>3</v>
      </c>
      <c r="C2" s="6"/>
      <c r="D2" s="7"/>
    </row>
    <row r="3">
      <c r="A3" s="8">
        <v>1.0</v>
      </c>
      <c r="B3" s="9" t="s">
        <v>4</v>
      </c>
      <c r="C3" s="10" t="s">
        <v>5</v>
      </c>
      <c r="D3" s="11" t="str">
        <f t="shared" ref="D3:D26" si="1">D58+D113+#REF!+#REF!+#REF!+#REF!+#REF!+#REF!+#REF!+#REF!+#REF!+#REF!+#REF!+#REF!+#REF!+#REF!</f>
        <v>#REF!</v>
      </c>
    </row>
    <row r="4">
      <c r="A4" s="8">
        <v>2.0</v>
      </c>
      <c r="B4" s="9" t="s">
        <v>6</v>
      </c>
      <c r="C4" s="10" t="s">
        <v>5</v>
      </c>
      <c r="D4" s="11" t="str">
        <f t="shared" si="1"/>
        <v>#REF!</v>
      </c>
    </row>
    <row r="5">
      <c r="A5" s="8">
        <v>3.0</v>
      </c>
      <c r="B5" s="12" t="s">
        <v>7</v>
      </c>
      <c r="C5" s="10" t="s">
        <v>5</v>
      </c>
      <c r="D5" s="11" t="str">
        <f t="shared" si="1"/>
        <v>#REF!</v>
      </c>
    </row>
    <row r="6">
      <c r="A6" s="8">
        <v>4.0</v>
      </c>
      <c r="B6" s="9" t="s">
        <v>8</v>
      </c>
      <c r="C6" s="10" t="s">
        <v>5</v>
      </c>
      <c r="D6" s="11" t="str">
        <f t="shared" si="1"/>
        <v>#REF!</v>
      </c>
    </row>
    <row r="7">
      <c r="A7" s="8">
        <v>5.0</v>
      </c>
      <c r="B7" s="9" t="s">
        <v>9</v>
      </c>
      <c r="C7" s="10" t="s">
        <v>5</v>
      </c>
      <c r="D7" s="11" t="str">
        <f t="shared" si="1"/>
        <v>#REF!</v>
      </c>
    </row>
    <row r="8">
      <c r="A8" s="8">
        <v>6.0</v>
      </c>
      <c r="B8" s="9" t="s">
        <v>10</v>
      </c>
      <c r="C8" s="10" t="s">
        <v>5</v>
      </c>
      <c r="D8" s="11" t="str">
        <f t="shared" si="1"/>
        <v>#REF!</v>
      </c>
    </row>
    <row r="9">
      <c r="A9" s="8">
        <v>7.0</v>
      </c>
      <c r="B9" s="9" t="s">
        <v>11</v>
      </c>
      <c r="C9" s="10" t="s">
        <v>5</v>
      </c>
      <c r="D9" s="11" t="str">
        <f t="shared" si="1"/>
        <v>#REF!</v>
      </c>
    </row>
    <row r="10">
      <c r="A10" s="8">
        <v>8.0</v>
      </c>
      <c r="B10" s="9" t="s">
        <v>12</v>
      </c>
      <c r="C10" s="10" t="s">
        <v>5</v>
      </c>
      <c r="D10" s="11" t="str">
        <f t="shared" si="1"/>
        <v>#REF!</v>
      </c>
    </row>
    <row r="11">
      <c r="A11" s="8">
        <v>9.0</v>
      </c>
      <c r="B11" s="9" t="s">
        <v>13</v>
      </c>
      <c r="C11" s="10" t="s">
        <v>5</v>
      </c>
      <c r="D11" s="11" t="str">
        <f t="shared" si="1"/>
        <v>#REF!</v>
      </c>
    </row>
    <row r="12">
      <c r="A12" s="8">
        <v>10.0</v>
      </c>
      <c r="B12" s="9" t="s">
        <v>14</v>
      </c>
      <c r="C12" s="10" t="s">
        <v>5</v>
      </c>
      <c r="D12" s="11" t="str">
        <f t="shared" si="1"/>
        <v>#REF!</v>
      </c>
    </row>
    <row r="13">
      <c r="A13" s="8">
        <v>11.0</v>
      </c>
      <c r="B13" s="9" t="s">
        <v>15</v>
      </c>
      <c r="C13" s="10" t="s">
        <v>5</v>
      </c>
      <c r="D13" s="11" t="str">
        <f t="shared" si="1"/>
        <v>#REF!</v>
      </c>
    </row>
    <row r="14">
      <c r="A14" s="8">
        <v>12.0</v>
      </c>
      <c r="B14" s="12" t="s">
        <v>16</v>
      </c>
      <c r="C14" s="10" t="s">
        <v>5</v>
      </c>
      <c r="D14" s="11" t="str">
        <f t="shared" si="1"/>
        <v>#REF!</v>
      </c>
    </row>
    <row r="15">
      <c r="A15" s="8">
        <v>13.0</v>
      </c>
      <c r="B15" s="9" t="s">
        <v>17</v>
      </c>
      <c r="C15" s="10" t="s">
        <v>5</v>
      </c>
      <c r="D15" s="11" t="str">
        <f t="shared" si="1"/>
        <v>#REF!</v>
      </c>
    </row>
    <row r="16">
      <c r="A16" s="8">
        <v>14.0</v>
      </c>
      <c r="B16" s="9" t="s">
        <v>18</v>
      </c>
      <c r="C16" s="10" t="s">
        <v>5</v>
      </c>
      <c r="D16" s="11" t="str">
        <f t="shared" si="1"/>
        <v>#REF!</v>
      </c>
    </row>
    <row r="17">
      <c r="A17" s="8">
        <v>15.0</v>
      </c>
      <c r="B17" s="9" t="s">
        <v>19</v>
      </c>
      <c r="C17" s="10" t="s">
        <v>5</v>
      </c>
      <c r="D17" s="11" t="str">
        <f t="shared" si="1"/>
        <v>#REF!</v>
      </c>
    </row>
    <row r="18">
      <c r="A18" s="8">
        <v>16.0</v>
      </c>
      <c r="B18" s="9" t="s">
        <v>20</v>
      </c>
      <c r="C18" s="10" t="s">
        <v>5</v>
      </c>
      <c r="D18" s="11" t="str">
        <f t="shared" si="1"/>
        <v>#REF!</v>
      </c>
    </row>
    <row r="19">
      <c r="A19" s="8">
        <v>17.0</v>
      </c>
      <c r="B19" s="12" t="s">
        <v>21</v>
      </c>
      <c r="C19" s="10" t="s">
        <v>5</v>
      </c>
      <c r="D19" s="11" t="str">
        <f t="shared" si="1"/>
        <v>#REF!</v>
      </c>
    </row>
    <row r="20">
      <c r="A20" s="8">
        <v>18.0</v>
      </c>
      <c r="B20" s="9" t="s">
        <v>22</v>
      </c>
      <c r="C20" s="10" t="s">
        <v>5</v>
      </c>
      <c r="D20" s="11" t="str">
        <f t="shared" si="1"/>
        <v>#REF!</v>
      </c>
    </row>
    <row r="21">
      <c r="A21" s="8">
        <v>19.0</v>
      </c>
      <c r="B21" s="12" t="s">
        <v>23</v>
      </c>
      <c r="C21" s="10" t="s">
        <v>5</v>
      </c>
      <c r="D21" s="11" t="str">
        <f t="shared" si="1"/>
        <v>#REF!</v>
      </c>
    </row>
    <row r="22">
      <c r="A22" s="8">
        <v>20.0</v>
      </c>
      <c r="B22" s="9" t="s">
        <v>24</v>
      </c>
      <c r="C22" s="10" t="s">
        <v>5</v>
      </c>
      <c r="D22" s="11" t="str">
        <f t="shared" si="1"/>
        <v>#REF!</v>
      </c>
    </row>
    <row r="23">
      <c r="A23" s="8">
        <v>21.0</v>
      </c>
      <c r="B23" s="9" t="s">
        <v>25</v>
      </c>
      <c r="C23" s="10" t="s">
        <v>5</v>
      </c>
      <c r="D23" s="11" t="str">
        <f t="shared" si="1"/>
        <v>#REF!</v>
      </c>
    </row>
    <row r="24">
      <c r="A24" s="8">
        <v>22.0</v>
      </c>
      <c r="B24" s="12" t="s">
        <v>26</v>
      </c>
      <c r="C24" s="10" t="s">
        <v>5</v>
      </c>
      <c r="D24" s="11" t="str">
        <f t="shared" si="1"/>
        <v>#REF!</v>
      </c>
    </row>
    <row r="25">
      <c r="A25" s="8">
        <v>23.0</v>
      </c>
      <c r="B25" s="9" t="s">
        <v>27</v>
      </c>
      <c r="C25" s="10" t="s">
        <v>5</v>
      </c>
      <c r="D25" s="11" t="str">
        <f t="shared" si="1"/>
        <v>#REF!</v>
      </c>
    </row>
    <row r="26">
      <c r="A26" s="13"/>
      <c r="B26" s="14" t="s">
        <v>28</v>
      </c>
      <c r="C26" s="15" t="s">
        <v>5</v>
      </c>
      <c r="D26" s="16" t="str">
        <f t="shared" si="1"/>
        <v>#REF!</v>
      </c>
    </row>
    <row r="27">
      <c r="A27" s="17"/>
      <c r="B27" s="18"/>
      <c r="C27" s="19"/>
      <c r="D27" s="20"/>
    </row>
    <row r="28">
      <c r="A28" s="8">
        <v>1.0</v>
      </c>
      <c r="B28" s="9" t="s">
        <v>4</v>
      </c>
      <c r="C28" s="10" t="s">
        <v>29</v>
      </c>
      <c r="D28" s="21">
        <f t="shared" ref="D28:D51" si="2">IFERROR(D3/D$27,0)</f>
        <v>0</v>
      </c>
    </row>
    <row r="29">
      <c r="A29" s="8">
        <v>2.0</v>
      </c>
      <c r="B29" s="9" t="s">
        <v>6</v>
      </c>
      <c r="C29" s="10" t="s">
        <v>29</v>
      </c>
      <c r="D29" s="21">
        <f t="shared" si="2"/>
        <v>0</v>
      </c>
    </row>
    <row r="30">
      <c r="A30" s="8">
        <v>3.0</v>
      </c>
      <c r="B30" s="12" t="s">
        <v>7</v>
      </c>
      <c r="C30" s="10" t="s">
        <v>29</v>
      </c>
      <c r="D30" s="21">
        <f t="shared" si="2"/>
        <v>0</v>
      </c>
    </row>
    <row r="31">
      <c r="A31" s="8">
        <v>4.0</v>
      </c>
      <c r="B31" s="9" t="s">
        <v>8</v>
      </c>
      <c r="C31" s="10" t="s">
        <v>29</v>
      </c>
      <c r="D31" s="21">
        <f t="shared" si="2"/>
        <v>0</v>
      </c>
    </row>
    <row r="32">
      <c r="A32" s="8">
        <v>5.0</v>
      </c>
      <c r="B32" s="9" t="s">
        <v>9</v>
      </c>
      <c r="C32" s="10" t="s">
        <v>29</v>
      </c>
      <c r="D32" s="21">
        <f t="shared" si="2"/>
        <v>0</v>
      </c>
    </row>
    <row r="33">
      <c r="A33" s="8">
        <v>6.0</v>
      </c>
      <c r="B33" s="9" t="s">
        <v>10</v>
      </c>
      <c r="C33" s="10" t="s">
        <v>29</v>
      </c>
      <c r="D33" s="21">
        <f t="shared" si="2"/>
        <v>0</v>
      </c>
    </row>
    <row r="34">
      <c r="A34" s="8">
        <v>7.0</v>
      </c>
      <c r="B34" s="9" t="s">
        <v>11</v>
      </c>
      <c r="C34" s="10" t="s">
        <v>29</v>
      </c>
      <c r="D34" s="21">
        <f t="shared" si="2"/>
        <v>0</v>
      </c>
    </row>
    <row r="35">
      <c r="A35" s="8">
        <v>8.0</v>
      </c>
      <c r="B35" s="9" t="s">
        <v>12</v>
      </c>
      <c r="C35" s="10" t="s">
        <v>29</v>
      </c>
      <c r="D35" s="21">
        <f t="shared" si="2"/>
        <v>0</v>
      </c>
    </row>
    <row r="36">
      <c r="A36" s="8">
        <v>9.0</v>
      </c>
      <c r="B36" s="9" t="s">
        <v>13</v>
      </c>
      <c r="C36" s="10" t="s">
        <v>29</v>
      </c>
      <c r="D36" s="21">
        <f t="shared" si="2"/>
        <v>0</v>
      </c>
    </row>
    <row r="37">
      <c r="A37" s="8">
        <v>10.0</v>
      </c>
      <c r="B37" s="9" t="s">
        <v>14</v>
      </c>
      <c r="C37" s="10" t="s">
        <v>29</v>
      </c>
      <c r="D37" s="21">
        <f t="shared" si="2"/>
        <v>0</v>
      </c>
    </row>
    <row r="38">
      <c r="A38" s="8">
        <v>11.0</v>
      </c>
      <c r="B38" s="9" t="s">
        <v>15</v>
      </c>
      <c r="C38" s="10" t="s">
        <v>29</v>
      </c>
      <c r="D38" s="21">
        <f t="shared" si="2"/>
        <v>0</v>
      </c>
    </row>
    <row r="39">
      <c r="A39" s="8">
        <v>12.0</v>
      </c>
      <c r="B39" s="12" t="s">
        <v>16</v>
      </c>
      <c r="C39" s="10" t="s">
        <v>29</v>
      </c>
      <c r="D39" s="21">
        <f t="shared" si="2"/>
        <v>0</v>
      </c>
    </row>
    <row r="40">
      <c r="A40" s="8">
        <v>13.0</v>
      </c>
      <c r="B40" s="9" t="s">
        <v>17</v>
      </c>
      <c r="C40" s="10" t="s">
        <v>29</v>
      </c>
      <c r="D40" s="21">
        <f t="shared" si="2"/>
        <v>0</v>
      </c>
    </row>
    <row r="41">
      <c r="A41" s="8">
        <v>14.0</v>
      </c>
      <c r="B41" s="9" t="s">
        <v>18</v>
      </c>
      <c r="C41" s="10" t="s">
        <v>29</v>
      </c>
      <c r="D41" s="21">
        <f t="shared" si="2"/>
        <v>0</v>
      </c>
    </row>
    <row r="42">
      <c r="A42" s="8">
        <v>15.0</v>
      </c>
      <c r="B42" s="9" t="s">
        <v>19</v>
      </c>
      <c r="C42" s="10" t="s">
        <v>29</v>
      </c>
      <c r="D42" s="21">
        <f t="shared" si="2"/>
        <v>0</v>
      </c>
    </row>
    <row r="43">
      <c r="A43" s="8">
        <v>16.0</v>
      </c>
      <c r="B43" s="9" t="s">
        <v>20</v>
      </c>
      <c r="C43" s="10" t="s">
        <v>29</v>
      </c>
      <c r="D43" s="21">
        <f t="shared" si="2"/>
        <v>0</v>
      </c>
    </row>
    <row r="44">
      <c r="A44" s="8">
        <v>17.0</v>
      </c>
      <c r="B44" s="12" t="s">
        <v>21</v>
      </c>
      <c r="C44" s="10" t="s">
        <v>29</v>
      </c>
      <c r="D44" s="21">
        <f t="shared" si="2"/>
        <v>0</v>
      </c>
    </row>
    <row r="45">
      <c r="A45" s="8">
        <v>18.0</v>
      </c>
      <c r="B45" s="9" t="s">
        <v>22</v>
      </c>
      <c r="C45" s="10" t="s">
        <v>29</v>
      </c>
      <c r="D45" s="21">
        <f t="shared" si="2"/>
        <v>0</v>
      </c>
    </row>
    <row r="46">
      <c r="A46" s="8">
        <v>19.0</v>
      </c>
      <c r="B46" s="12" t="s">
        <v>23</v>
      </c>
      <c r="C46" s="10" t="s">
        <v>29</v>
      </c>
      <c r="D46" s="21">
        <f t="shared" si="2"/>
        <v>0</v>
      </c>
    </row>
    <row r="47">
      <c r="A47" s="8">
        <v>20.0</v>
      </c>
      <c r="B47" s="9" t="s">
        <v>24</v>
      </c>
      <c r="C47" s="10" t="s">
        <v>29</v>
      </c>
      <c r="D47" s="21">
        <f t="shared" si="2"/>
        <v>0</v>
      </c>
    </row>
    <row r="48">
      <c r="A48" s="8">
        <v>21.0</v>
      </c>
      <c r="B48" s="9" t="s">
        <v>25</v>
      </c>
      <c r="C48" s="10" t="s">
        <v>29</v>
      </c>
      <c r="D48" s="21">
        <f t="shared" si="2"/>
        <v>0</v>
      </c>
    </row>
    <row r="49">
      <c r="A49" s="8">
        <v>22.0</v>
      </c>
      <c r="B49" s="12" t="s">
        <v>26</v>
      </c>
      <c r="C49" s="10" t="s">
        <v>29</v>
      </c>
      <c r="D49" s="21">
        <f t="shared" si="2"/>
        <v>0</v>
      </c>
    </row>
    <row r="50">
      <c r="A50" s="8">
        <v>23.0</v>
      </c>
      <c r="B50" s="9" t="s">
        <v>27</v>
      </c>
      <c r="C50" s="10" t="s">
        <v>29</v>
      </c>
      <c r="D50" s="21">
        <f t="shared" si="2"/>
        <v>0</v>
      </c>
    </row>
    <row r="51">
      <c r="A51" s="13"/>
      <c r="B51" s="14" t="s">
        <v>28</v>
      </c>
      <c r="C51" s="15" t="s">
        <v>29</v>
      </c>
      <c r="D51" s="22">
        <f t="shared" si="2"/>
        <v>0</v>
      </c>
    </row>
    <row r="52">
      <c r="A52" s="13"/>
      <c r="B52" s="9" t="s">
        <v>30</v>
      </c>
      <c r="C52" s="10"/>
      <c r="D52" s="11" t="str">
        <f t="shared" ref="D52:D53" si="3">D107+D162+#REF!+#REF!+#REF!+#REF!+#REF!+#REF!+#REF!+#REF!+#REF!+#REF!+#REF!+#REF!+#REF!+#REF!</f>
        <v>#REF!</v>
      </c>
    </row>
    <row r="53">
      <c r="A53" s="13"/>
      <c r="B53" s="9" t="s">
        <v>31</v>
      </c>
      <c r="C53" s="10"/>
      <c r="D53" s="11" t="str">
        <f t="shared" si="3"/>
        <v>#REF!</v>
      </c>
    </row>
    <row r="54">
      <c r="A54" s="13"/>
      <c r="B54" s="9" t="s">
        <v>32</v>
      </c>
      <c r="C54" s="10"/>
      <c r="D54" s="11">
        <f>IFERROR(AVERAGE(D109,D164,#REF!,#REF!,#REF!,#REF!,#REF!,#REF!,#REF!,#REF!,#REF!,#REF!,#REF!,#REF!,#REF!,#REF!,#REF!),0)</f>
        <v>0</v>
      </c>
    </row>
    <row r="55">
      <c r="A55" s="23"/>
      <c r="B55" s="24" t="s">
        <v>33</v>
      </c>
      <c r="C55" s="25"/>
      <c r="D55" s="26">
        <f>IFERROR(D26/(D54*D52*24),0)</f>
        <v>0</v>
      </c>
    </row>
    <row r="56">
      <c r="A56" s="3"/>
      <c r="B56" s="3"/>
      <c r="C56" s="3"/>
      <c r="D56" s="3"/>
    </row>
    <row r="57">
      <c r="A57" s="4" t="s">
        <v>2</v>
      </c>
      <c r="B57" s="27" t="s">
        <v>34</v>
      </c>
      <c r="C57" s="6"/>
      <c r="D57" s="7"/>
    </row>
    <row r="58">
      <c r="A58" s="8">
        <v>1.0</v>
      </c>
      <c r="B58" s="9" t="s">
        <v>4</v>
      </c>
      <c r="C58" s="10" t="s">
        <v>5</v>
      </c>
      <c r="D58" s="11">
        <v>936.9833333333333</v>
      </c>
    </row>
    <row r="59">
      <c r="A59" s="8">
        <v>2.0</v>
      </c>
      <c r="B59" s="9" t="s">
        <v>6</v>
      </c>
      <c r="C59" s="10" t="s">
        <v>5</v>
      </c>
      <c r="D59" s="11">
        <v>29.2</v>
      </c>
    </row>
    <row r="60">
      <c r="A60" s="8">
        <v>3.0</v>
      </c>
      <c r="B60" s="12" t="s">
        <v>7</v>
      </c>
      <c r="C60" s="10" t="s">
        <v>5</v>
      </c>
      <c r="D60" s="11">
        <v>923.2</v>
      </c>
    </row>
    <row r="61">
      <c r="A61" s="8">
        <v>4.0</v>
      </c>
      <c r="B61" s="9" t="s">
        <v>8</v>
      </c>
      <c r="C61" s="10" t="s">
        <v>5</v>
      </c>
      <c r="D61" s="11">
        <v>53.333333333333336</v>
      </c>
    </row>
    <row r="62">
      <c r="A62" s="8">
        <v>5.0</v>
      </c>
      <c r="B62" s="9" t="s">
        <v>9</v>
      </c>
      <c r="C62" s="10" t="s">
        <v>5</v>
      </c>
      <c r="D62" s="11">
        <v>3.15</v>
      </c>
    </row>
    <row r="63">
      <c r="A63" s="8">
        <v>6.0</v>
      </c>
      <c r="B63" s="9" t="s">
        <v>10</v>
      </c>
      <c r="C63" s="10" t="s">
        <v>5</v>
      </c>
      <c r="D63" s="11">
        <v>16.9</v>
      </c>
    </row>
    <row r="64">
      <c r="A64" s="8">
        <v>7.0</v>
      </c>
      <c r="B64" s="9" t="s">
        <v>11</v>
      </c>
      <c r="C64" s="10" t="s">
        <v>5</v>
      </c>
      <c r="D64" s="11">
        <v>24.716666666666665</v>
      </c>
    </row>
    <row r="65">
      <c r="A65" s="8">
        <v>8.0</v>
      </c>
      <c r="B65" s="9" t="s">
        <v>12</v>
      </c>
      <c r="C65" s="10" t="s">
        <v>5</v>
      </c>
      <c r="D65" s="11">
        <v>0.0</v>
      </c>
    </row>
    <row r="66">
      <c r="A66" s="8">
        <v>9.0</v>
      </c>
      <c r="B66" s="9" t="s">
        <v>13</v>
      </c>
      <c r="C66" s="10" t="s">
        <v>5</v>
      </c>
      <c r="D66" s="11">
        <v>0.43333333333333335</v>
      </c>
    </row>
    <row r="67">
      <c r="A67" s="8">
        <v>10.0</v>
      </c>
      <c r="B67" s="9" t="s">
        <v>14</v>
      </c>
      <c r="C67" s="10" t="s">
        <v>5</v>
      </c>
      <c r="D67" s="11">
        <v>43.333333333333336</v>
      </c>
    </row>
    <row r="68">
      <c r="A68" s="8">
        <v>11.0</v>
      </c>
      <c r="B68" s="9" t="s">
        <v>15</v>
      </c>
      <c r="C68" s="10" t="s">
        <v>5</v>
      </c>
      <c r="D68" s="11">
        <v>0.0</v>
      </c>
    </row>
    <row r="69">
      <c r="A69" s="8">
        <v>12.0</v>
      </c>
      <c r="B69" s="12" t="s">
        <v>16</v>
      </c>
      <c r="C69" s="10" t="s">
        <v>5</v>
      </c>
      <c r="D69" s="11">
        <v>48.0</v>
      </c>
    </row>
    <row r="70">
      <c r="A70" s="8">
        <v>13.0</v>
      </c>
      <c r="B70" s="9" t="s">
        <v>17</v>
      </c>
      <c r="C70" s="10" t="s">
        <v>5</v>
      </c>
      <c r="D70" s="11">
        <v>0.0</v>
      </c>
    </row>
    <row r="71">
      <c r="A71" s="8">
        <v>14.0</v>
      </c>
      <c r="B71" s="9" t="s">
        <v>18</v>
      </c>
      <c r="C71" s="10" t="s">
        <v>5</v>
      </c>
      <c r="D71" s="11">
        <v>3.5833333333333335</v>
      </c>
    </row>
    <row r="72">
      <c r="A72" s="8">
        <v>15.0</v>
      </c>
      <c r="B72" s="9" t="s">
        <v>19</v>
      </c>
      <c r="C72" s="10" t="s">
        <v>5</v>
      </c>
      <c r="D72" s="11">
        <v>0.0</v>
      </c>
    </row>
    <row r="73">
      <c r="A73" s="8">
        <v>16.0</v>
      </c>
      <c r="B73" s="9" t="s">
        <v>20</v>
      </c>
      <c r="C73" s="10" t="s">
        <v>5</v>
      </c>
      <c r="D73" s="11">
        <v>0.8333333333333334</v>
      </c>
    </row>
    <row r="74">
      <c r="A74" s="8">
        <v>17.0</v>
      </c>
      <c r="B74" s="12" t="s">
        <v>21</v>
      </c>
      <c r="C74" s="10" t="s">
        <v>5</v>
      </c>
      <c r="D74" s="11">
        <v>0.0</v>
      </c>
    </row>
    <row r="75">
      <c r="A75" s="8">
        <v>18.0</v>
      </c>
      <c r="B75" s="9" t="s">
        <v>22</v>
      </c>
      <c r="C75" s="10" t="s">
        <v>5</v>
      </c>
      <c r="D75" s="11">
        <v>41.63333333333333</v>
      </c>
    </row>
    <row r="76">
      <c r="A76" s="8">
        <v>19.0</v>
      </c>
      <c r="B76" s="12" t="s">
        <v>23</v>
      </c>
      <c r="C76" s="10" t="s">
        <v>5</v>
      </c>
      <c r="D76" s="11">
        <v>6.4</v>
      </c>
    </row>
    <row r="77">
      <c r="A77" s="8">
        <v>20.0</v>
      </c>
      <c r="B77" s="9" t="s">
        <v>24</v>
      </c>
      <c r="C77" s="10" t="s">
        <v>5</v>
      </c>
      <c r="D77" s="11">
        <v>45.583333333333336</v>
      </c>
    </row>
    <row r="78">
      <c r="A78" s="8">
        <v>21.0</v>
      </c>
      <c r="B78" s="9" t="s">
        <v>25</v>
      </c>
      <c r="C78" s="10" t="s">
        <v>5</v>
      </c>
      <c r="D78" s="11">
        <v>20.766666666666666</v>
      </c>
    </row>
    <row r="79">
      <c r="A79" s="8">
        <v>22.0</v>
      </c>
      <c r="B79" s="12" t="s">
        <v>26</v>
      </c>
      <c r="C79" s="10" t="s">
        <v>5</v>
      </c>
      <c r="D79" s="11">
        <v>1.4166666666666667</v>
      </c>
    </row>
    <row r="80">
      <c r="A80" s="8">
        <v>23.0</v>
      </c>
      <c r="B80" s="9" t="s">
        <v>27</v>
      </c>
      <c r="C80" s="10" t="s">
        <v>5</v>
      </c>
      <c r="D80" s="11">
        <v>8.533333333333333</v>
      </c>
    </row>
    <row r="81">
      <c r="A81" s="13"/>
      <c r="B81" s="14" t="s">
        <v>28</v>
      </c>
      <c r="C81" s="15" t="s">
        <v>5</v>
      </c>
      <c r="D81" s="16">
        <f>SUM(D58:D80)</f>
        <v>2208</v>
      </c>
    </row>
    <row r="82">
      <c r="A82" s="17"/>
      <c r="B82" s="18"/>
      <c r="C82" s="19"/>
      <c r="D82" s="20"/>
    </row>
    <row r="83">
      <c r="A83" s="8">
        <v>1.0</v>
      </c>
      <c r="B83" s="9" t="s">
        <v>4</v>
      </c>
      <c r="C83" s="10" t="s">
        <v>29</v>
      </c>
      <c r="D83" s="21">
        <f>IFERROR(D59/D$82,0)</f>
        <v>0</v>
      </c>
    </row>
    <row r="84">
      <c r="A84" s="8">
        <v>2.0</v>
      </c>
      <c r="B84" s="9" t="s">
        <v>6</v>
      </c>
      <c r="C84" s="10" t="s">
        <v>29</v>
      </c>
      <c r="D84" s="21">
        <f t="shared" ref="D84:D105" si="4">IFERROR(D52/D$82,0)</f>
        <v>0</v>
      </c>
    </row>
    <row r="85">
      <c r="A85" s="8">
        <v>3.0</v>
      </c>
      <c r="B85" s="12" t="s">
        <v>7</v>
      </c>
      <c r="C85" s="10" t="s">
        <v>29</v>
      </c>
      <c r="D85" s="21">
        <f t="shared" si="4"/>
        <v>0</v>
      </c>
    </row>
    <row r="86">
      <c r="A86" s="8">
        <v>4.0</v>
      </c>
      <c r="B86" s="9" t="s">
        <v>8</v>
      </c>
      <c r="C86" s="10" t="s">
        <v>29</v>
      </c>
      <c r="D86" s="21">
        <f t="shared" si="4"/>
        <v>0</v>
      </c>
    </row>
    <row r="87">
      <c r="A87" s="8">
        <v>5.0</v>
      </c>
      <c r="B87" s="9" t="s">
        <v>9</v>
      </c>
      <c r="C87" s="10" t="s">
        <v>29</v>
      </c>
      <c r="D87" s="21">
        <f t="shared" si="4"/>
        <v>0</v>
      </c>
    </row>
    <row r="88">
      <c r="A88" s="8">
        <v>6.0</v>
      </c>
      <c r="B88" s="9" t="s">
        <v>10</v>
      </c>
      <c r="C88" s="10" t="s">
        <v>29</v>
      </c>
      <c r="D88" s="21">
        <f t="shared" si="4"/>
        <v>0</v>
      </c>
    </row>
    <row r="89">
      <c r="A89" s="8">
        <v>7.0</v>
      </c>
      <c r="B89" s="9" t="s">
        <v>11</v>
      </c>
      <c r="C89" s="10" t="s">
        <v>29</v>
      </c>
      <c r="D89" s="21">
        <f t="shared" si="4"/>
        <v>0</v>
      </c>
    </row>
    <row r="90">
      <c r="A90" s="8">
        <v>8.0</v>
      </c>
      <c r="B90" s="9" t="s">
        <v>12</v>
      </c>
      <c r="C90" s="10" t="s">
        <v>29</v>
      </c>
      <c r="D90" s="21">
        <f t="shared" si="4"/>
        <v>0</v>
      </c>
    </row>
    <row r="91">
      <c r="A91" s="8">
        <v>9.0</v>
      </c>
      <c r="B91" s="9" t="s">
        <v>13</v>
      </c>
      <c r="C91" s="10" t="s">
        <v>29</v>
      </c>
      <c r="D91" s="21">
        <f t="shared" si="4"/>
        <v>0</v>
      </c>
    </row>
    <row r="92">
      <c r="A92" s="8">
        <v>10.0</v>
      </c>
      <c r="B92" s="9" t="s">
        <v>14</v>
      </c>
      <c r="C92" s="10" t="s">
        <v>29</v>
      </c>
      <c r="D92" s="21">
        <f t="shared" si="4"/>
        <v>0</v>
      </c>
    </row>
    <row r="93">
      <c r="A93" s="8">
        <v>11.0</v>
      </c>
      <c r="B93" s="9" t="s">
        <v>15</v>
      </c>
      <c r="C93" s="10" t="s">
        <v>29</v>
      </c>
      <c r="D93" s="21">
        <f t="shared" si="4"/>
        <v>0</v>
      </c>
    </row>
    <row r="94">
      <c r="A94" s="8">
        <v>12.0</v>
      </c>
      <c r="B94" s="12" t="s">
        <v>16</v>
      </c>
      <c r="C94" s="10" t="s">
        <v>29</v>
      </c>
      <c r="D94" s="21">
        <f t="shared" si="4"/>
        <v>0</v>
      </c>
    </row>
    <row r="95">
      <c r="A95" s="8">
        <v>13.0</v>
      </c>
      <c r="B95" s="9" t="s">
        <v>17</v>
      </c>
      <c r="C95" s="10" t="s">
        <v>29</v>
      </c>
      <c r="D95" s="21">
        <f t="shared" si="4"/>
        <v>0</v>
      </c>
    </row>
    <row r="96">
      <c r="A96" s="8">
        <v>14.0</v>
      </c>
      <c r="B96" s="9" t="s">
        <v>18</v>
      </c>
      <c r="C96" s="10" t="s">
        <v>29</v>
      </c>
      <c r="D96" s="21">
        <f t="shared" si="4"/>
        <v>0</v>
      </c>
    </row>
    <row r="97">
      <c r="A97" s="8">
        <v>15.0</v>
      </c>
      <c r="B97" s="9" t="s">
        <v>19</v>
      </c>
      <c r="C97" s="10" t="s">
        <v>29</v>
      </c>
      <c r="D97" s="21">
        <f t="shared" si="4"/>
        <v>0</v>
      </c>
    </row>
    <row r="98">
      <c r="A98" s="8">
        <v>16.0</v>
      </c>
      <c r="B98" s="9" t="s">
        <v>20</v>
      </c>
      <c r="C98" s="10" t="s">
        <v>29</v>
      </c>
      <c r="D98" s="21">
        <f t="shared" si="4"/>
        <v>0</v>
      </c>
    </row>
    <row r="99">
      <c r="A99" s="8">
        <v>17.0</v>
      </c>
      <c r="B99" s="12" t="s">
        <v>21</v>
      </c>
      <c r="C99" s="10" t="s">
        <v>29</v>
      </c>
      <c r="D99" s="21">
        <f t="shared" si="4"/>
        <v>0</v>
      </c>
    </row>
    <row r="100">
      <c r="A100" s="8">
        <v>18.0</v>
      </c>
      <c r="B100" s="9" t="s">
        <v>22</v>
      </c>
      <c r="C100" s="10" t="s">
        <v>29</v>
      </c>
      <c r="D100" s="21">
        <f t="shared" si="4"/>
        <v>0</v>
      </c>
    </row>
    <row r="101">
      <c r="A101" s="8">
        <v>19.0</v>
      </c>
      <c r="B101" s="12" t="s">
        <v>23</v>
      </c>
      <c r="C101" s="10" t="s">
        <v>29</v>
      </c>
      <c r="D101" s="21">
        <f t="shared" si="4"/>
        <v>0</v>
      </c>
    </row>
    <row r="102">
      <c r="A102" s="8">
        <v>20.0</v>
      </c>
      <c r="B102" s="9" t="s">
        <v>24</v>
      </c>
      <c r="C102" s="10" t="s">
        <v>29</v>
      </c>
      <c r="D102" s="21">
        <f t="shared" si="4"/>
        <v>0</v>
      </c>
    </row>
    <row r="103">
      <c r="A103" s="8">
        <v>21.0</v>
      </c>
      <c r="B103" s="9" t="s">
        <v>25</v>
      </c>
      <c r="C103" s="10" t="s">
        <v>29</v>
      </c>
      <c r="D103" s="21">
        <f t="shared" si="4"/>
        <v>0</v>
      </c>
    </row>
    <row r="104">
      <c r="A104" s="8">
        <v>22.0</v>
      </c>
      <c r="B104" s="12" t="s">
        <v>26</v>
      </c>
      <c r="C104" s="10" t="s">
        <v>29</v>
      </c>
      <c r="D104" s="21">
        <f t="shared" si="4"/>
        <v>0</v>
      </c>
    </row>
    <row r="105">
      <c r="A105" s="8">
        <v>23.0</v>
      </c>
      <c r="B105" s="9" t="s">
        <v>27</v>
      </c>
      <c r="C105" s="10" t="s">
        <v>29</v>
      </c>
      <c r="D105" s="21">
        <f t="shared" si="4"/>
        <v>0</v>
      </c>
    </row>
    <row r="106">
      <c r="A106" s="13"/>
      <c r="B106" s="14" t="s">
        <v>28</v>
      </c>
      <c r="C106" s="15" t="s">
        <v>29</v>
      </c>
      <c r="D106" s="22">
        <f>IFERROR(D81/D81,0)</f>
        <v>1</v>
      </c>
    </row>
    <row r="107">
      <c r="A107" s="13"/>
      <c r="B107" s="9" t="s">
        <v>30</v>
      </c>
      <c r="C107" s="10"/>
      <c r="D107" s="11">
        <v>4.0</v>
      </c>
    </row>
    <row r="108">
      <c r="A108" s="13"/>
      <c r="B108" s="9" t="s">
        <v>31</v>
      </c>
      <c r="C108" s="10"/>
      <c r="D108" s="11">
        <v>4.0</v>
      </c>
    </row>
    <row r="109">
      <c r="A109" s="13"/>
      <c r="B109" s="9" t="s">
        <v>32</v>
      </c>
      <c r="C109" s="10"/>
      <c r="D109" s="11">
        <v>19.75</v>
      </c>
    </row>
    <row r="110">
      <c r="A110" s="23"/>
      <c r="B110" s="24" t="s">
        <v>33</v>
      </c>
      <c r="C110" s="25"/>
      <c r="D110" s="26">
        <f>IFERROR(D81/(D109*D107*24),0)</f>
        <v>1.164556962</v>
      </c>
    </row>
    <row r="111">
      <c r="A111" s="3"/>
      <c r="B111" s="3"/>
      <c r="C111" s="3"/>
      <c r="D111" s="3"/>
    </row>
    <row r="112">
      <c r="A112" s="4" t="s">
        <v>2</v>
      </c>
      <c r="B112" s="27" t="s">
        <v>35</v>
      </c>
      <c r="C112" s="6"/>
      <c r="D112" s="7"/>
    </row>
    <row r="113">
      <c r="A113" s="8">
        <v>1.0</v>
      </c>
      <c r="B113" s="9" t="s">
        <v>4</v>
      </c>
      <c r="C113" s="10" t="s">
        <v>5</v>
      </c>
      <c r="D113" s="11">
        <v>610.2</v>
      </c>
    </row>
    <row r="114">
      <c r="A114" s="8">
        <v>2.0</v>
      </c>
      <c r="B114" s="9" t="s">
        <v>6</v>
      </c>
      <c r="C114" s="10" t="s">
        <v>5</v>
      </c>
      <c r="D114" s="11">
        <v>233.6</v>
      </c>
    </row>
    <row r="115">
      <c r="A115" s="8">
        <v>3.0</v>
      </c>
      <c r="B115" s="12" t="s">
        <v>7</v>
      </c>
      <c r="C115" s="10" t="s">
        <v>5</v>
      </c>
      <c r="D115" s="11">
        <v>104.91666666666667</v>
      </c>
    </row>
    <row r="116">
      <c r="A116" s="8">
        <v>4.0</v>
      </c>
      <c r="B116" s="9" t="s">
        <v>8</v>
      </c>
      <c r="C116" s="10" t="s">
        <v>5</v>
      </c>
      <c r="D116" s="11">
        <v>42.46666666666667</v>
      </c>
    </row>
    <row r="117">
      <c r="A117" s="8">
        <v>5.0</v>
      </c>
      <c r="B117" s="9" t="s">
        <v>9</v>
      </c>
      <c r="C117" s="10" t="s">
        <v>5</v>
      </c>
      <c r="D117" s="11">
        <v>0.95</v>
      </c>
    </row>
    <row r="118">
      <c r="A118" s="8">
        <v>6.0</v>
      </c>
      <c r="B118" s="9" t="s">
        <v>10</v>
      </c>
      <c r="C118" s="10" t="s">
        <v>5</v>
      </c>
      <c r="D118" s="11">
        <v>30.383333333333333</v>
      </c>
    </row>
    <row r="119">
      <c r="A119" s="8">
        <v>7.0</v>
      </c>
      <c r="B119" s="9" t="s">
        <v>11</v>
      </c>
      <c r="C119" s="10" t="s">
        <v>5</v>
      </c>
      <c r="D119" s="11">
        <v>36.7</v>
      </c>
    </row>
    <row r="120">
      <c r="A120" s="8">
        <v>8.0</v>
      </c>
      <c r="B120" s="9" t="s">
        <v>12</v>
      </c>
      <c r="C120" s="10" t="s">
        <v>5</v>
      </c>
      <c r="D120" s="11">
        <v>0.0</v>
      </c>
    </row>
    <row r="121">
      <c r="A121" s="8">
        <v>9.0</v>
      </c>
      <c r="B121" s="9" t="s">
        <v>13</v>
      </c>
      <c r="C121" s="10" t="s">
        <v>5</v>
      </c>
      <c r="D121" s="11">
        <v>0.11666666666666667</v>
      </c>
    </row>
    <row r="122">
      <c r="A122" s="8">
        <v>10.0</v>
      </c>
      <c r="B122" s="9" t="s">
        <v>14</v>
      </c>
      <c r="C122" s="10" t="s">
        <v>5</v>
      </c>
      <c r="D122" s="11">
        <v>1.75</v>
      </c>
    </row>
    <row r="123">
      <c r="A123" s="8">
        <v>11.0</v>
      </c>
      <c r="B123" s="9" t="s">
        <v>15</v>
      </c>
      <c r="C123" s="10" t="s">
        <v>5</v>
      </c>
      <c r="D123" s="11">
        <v>0.0</v>
      </c>
    </row>
    <row r="124">
      <c r="A124" s="8">
        <v>12.0</v>
      </c>
      <c r="B124" s="12" t="s">
        <v>16</v>
      </c>
      <c r="C124" s="10" t="s">
        <v>5</v>
      </c>
      <c r="D124" s="11">
        <v>0.0</v>
      </c>
    </row>
    <row r="125">
      <c r="A125" s="8">
        <v>13.0</v>
      </c>
      <c r="B125" s="9" t="s">
        <v>17</v>
      </c>
      <c r="C125" s="10" t="s">
        <v>5</v>
      </c>
      <c r="D125" s="11">
        <v>0.0</v>
      </c>
    </row>
    <row r="126">
      <c r="A126" s="8">
        <v>14.0</v>
      </c>
      <c r="B126" s="9" t="s">
        <v>18</v>
      </c>
      <c r="C126" s="10" t="s">
        <v>5</v>
      </c>
      <c r="D126" s="11">
        <v>0.0</v>
      </c>
    </row>
    <row r="127">
      <c r="A127" s="8">
        <v>15.0</v>
      </c>
      <c r="B127" s="9" t="s">
        <v>19</v>
      </c>
      <c r="C127" s="10" t="s">
        <v>5</v>
      </c>
      <c r="D127" s="11">
        <v>1.3333333333333333</v>
      </c>
    </row>
    <row r="128">
      <c r="A128" s="8">
        <v>16.0</v>
      </c>
      <c r="B128" s="9" t="s">
        <v>20</v>
      </c>
      <c r="C128" s="10" t="s">
        <v>5</v>
      </c>
      <c r="D128" s="11">
        <v>0.0</v>
      </c>
    </row>
    <row r="129">
      <c r="A129" s="8">
        <v>17.0</v>
      </c>
      <c r="B129" s="12" t="s">
        <v>21</v>
      </c>
      <c r="C129" s="10" t="s">
        <v>5</v>
      </c>
      <c r="D129" s="11">
        <v>0.0</v>
      </c>
    </row>
    <row r="130">
      <c r="A130" s="8">
        <v>18.0</v>
      </c>
      <c r="B130" s="9" t="s">
        <v>22</v>
      </c>
      <c r="C130" s="10" t="s">
        <v>5</v>
      </c>
      <c r="D130" s="11">
        <v>153.6</v>
      </c>
    </row>
    <row r="131">
      <c r="A131" s="8">
        <v>19.0</v>
      </c>
      <c r="B131" s="12" t="s">
        <v>23</v>
      </c>
      <c r="C131" s="10" t="s">
        <v>5</v>
      </c>
      <c r="D131" s="11">
        <v>7.8</v>
      </c>
    </row>
    <row r="132">
      <c r="A132" s="8">
        <v>20.0</v>
      </c>
      <c r="B132" s="9" t="s">
        <v>24</v>
      </c>
      <c r="C132" s="10" t="s">
        <v>5</v>
      </c>
      <c r="D132" s="11">
        <v>34.65</v>
      </c>
    </row>
    <row r="133">
      <c r="A133" s="8">
        <v>21.0</v>
      </c>
      <c r="B133" s="9" t="s">
        <v>25</v>
      </c>
      <c r="C133" s="10" t="s">
        <v>5</v>
      </c>
      <c r="D133" s="11">
        <v>29.416666666666668</v>
      </c>
    </row>
    <row r="134">
      <c r="A134" s="8">
        <v>22.0</v>
      </c>
      <c r="B134" s="12" t="s">
        <v>26</v>
      </c>
      <c r="C134" s="10" t="s">
        <v>5</v>
      </c>
      <c r="D134" s="11">
        <v>0.0</v>
      </c>
    </row>
    <row r="135">
      <c r="A135" s="8">
        <v>23.0</v>
      </c>
      <c r="B135" s="9" t="s">
        <v>27</v>
      </c>
      <c r="C135" s="10" t="s">
        <v>5</v>
      </c>
      <c r="D135" s="11">
        <v>8.116666666666667</v>
      </c>
    </row>
    <row r="136">
      <c r="A136" s="13"/>
      <c r="B136" s="14" t="s">
        <v>28</v>
      </c>
      <c r="C136" s="15" t="s">
        <v>5</v>
      </c>
      <c r="D136" s="16">
        <f>SUM(D113:D135)</f>
        <v>1296</v>
      </c>
    </row>
    <row r="137">
      <c r="A137" s="17"/>
      <c r="B137" s="18"/>
      <c r="C137" s="19"/>
      <c r="D137" s="20"/>
    </row>
    <row r="138">
      <c r="A138" s="8">
        <v>1.0</v>
      </c>
      <c r="B138" s="9" t="s">
        <v>4</v>
      </c>
      <c r="C138" s="10" t="s">
        <v>29</v>
      </c>
      <c r="D138" s="21">
        <f t="shared" ref="D138:D160" si="5">IFERROR(D113/D$137,0)</f>
        <v>0</v>
      </c>
    </row>
    <row r="139">
      <c r="A139" s="8">
        <v>2.0</v>
      </c>
      <c r="B139" s="9" t="s">
        <v>6</v>
      </c>
      <c r="C139" s="10" t="s">
        <v>29</v>
      </c>
      <c r="D139" s="21">
        <f t="shared" si="5"/>
        <v>0</v>
      </c>
    </row>
    <row r="140">
      <c r="A140" s="8">
        <v>3.0</v>
      </c>
      <c r="B140" s="12" t="s">
        <v>7</v>
      </c>
      <c r="C140" s="10" t="s">
        <v>29</v>
      </c>
      <c r="D140" s="21">
        <f t="shared" si="5"/>
        <v>0</v>
      </c>
    </row>
    <row r="141">
      <c r="A141" s="8">
        <v>4.0</v>
      </c>
      <c r="B141" s="9" t="s">
        <v>8</v>
      </c>
      <c r="C141" s="10" t="s">
        <v>29</v>
      </c>
      <c r="D141" s="21">
        <f t="shared" si="5"/>
        <v>0</v>
      </c>
    </row>
    <row r="142">
      <c r="A142" s="8">
        <v>5.0</v>
      </c>
      <c r="B142" s="9" t="s">
        <v>9</v>
      </c>
      <c r="C142" s="10" t="s">
        <v>29</v>
      </c>
      <c r="D142" s="21">
        <f t="shared" si="5"/>
        <v>0</v>
      </c>
    </row>
    <row r="143">
      <c r="A143" s="8">
        <v>6.0</v>
      </c>
      <c r="B143" s="9" t="s">
        <v>10</v>
      </c>
      <c r="C143" s="10" t="s">
        <v>29</v>
      </c>
      <c r="D143" s="21">
        <f t="shared" si="5"/>
        <v>0</v>
      </c>
    </row>
    <row r="144">
      <c r="A144" s="8">
        <v>7.0</v>
      </c>
      <c r="B144" s="9" t="s">
        <v>11</v>
      </c>
      <c r="C144" s="10" t="s">
        <v>29</v>
      </c>
      <c r="D144" s="21">
        <f t="shared" si="5"/>
        <v>0</v>
      </c>
    </row>
    <row r="145">
      <c r="A145" s="8">
        <v>8.0</v>
      </c>
      <c r="B145" s="9" t="s">
        <v>12</v>
      </c>
      <c r="C145" s="10" t="s">
        <v>29</v>
      </c>
      <c r="D145" s="21">
        <f t="shared" si="5"/>
        <v>0</v>
      </c>
    </row>
    <row r="146">
      <c r="A146" s="8">
        <v>9.0</v>
      </c>
      <c r="B146" s="9" t="s">
        <v>13</v>
      </c>
      <c r="C146" s="10" t="s">
        <v>29</v>
      </c>
      <c r="D146" s="21">
        <f t="shared" si="5"/>
        <v>0</v>
      </c>
    </row>
    <row r="147">
      <c r="A147" s="8">
        <v>10.0</v>
      </c>
      <c r="B147" s="9" t="s">
        <v>14</v>
      </c>
      <c r="C147" s="10" t="s">
        <v>29</v>
      </c>
      <c r="D147" s="21">
        <f t="shared" si="5"/>
        <v>0</v>
      </c>
    </row>
    <row r="148">
      <c r="A148" s="8">
        <v>11.0</v>
      </c>
      <c r="B148" s="9" t="s">
        <v>15</v>
      </c>
      <c r="C148" s="10" t="s">
        <v>29</v>
      </c>
      <c r="D148" s="21">
        <f t="shared" si="5"/>
        <v>0</v>
      </c>
    </row>
    <row r="149">
      <c r="A149" s="8">
        <v>12.0</v>
      </c>
      <c r="B149" s="12" t="s">
        <v>16</v>
      </c>
      <c r="C149" s="10" t="s">
        <v>29</v>
      </c>
      <c r="D149" s="21">
        <f t="shared" si="5"/>
        <v>0</v>
      </c>
    </row>
    <row r="150">
      <c r="A150" s="8">
        <v>13.0</v>
      </c>
      <c r="B150" s="9" t="s">
        <v>17</v>
      </c>
      <c r="C150" s="10" t="s">
        <v>29</v>
      </c>
      <c r="D150" s="21">
        <f t="shared" si="5"/>
        <v>0</v>
      </c>
    </row>
    <row r="151">
      <c r="A151" s="8">
        <v>14.0</v>
      </c>
      <c r="B151" s="9" t="s">
        <v>18</v>
      </c>
      <c r="C151" s="10" t="s">
        <v>29</v>
      </c>
      <c r="D151" s="21">
        <f t="shared" si="5"/>
        <v>0</v>
      </c>
    </row>
    <row r="152">
      <c r="A152" s="8">
        <v>15.0</v>
      </c>
      <c r="B152" s="9" t="s">
        <v>19</v>
      </c>
      <c r="C152" s="10" t="s">
        <v>29</v>
      </c>
      <c r="D152" s="21">
        <f t="shared" si="5"/>
        <v>0</v>
      </c>
    </row>
    <row r="153">
      <c r="A153" s="8">
        <v>16.0</v>
      </c>
      <c r="B153" s="9" t="s">
        <v>20</v>
      </c>
      <c r="C153" s="10" t="s">
        <v>29</v>
      </c>
      <c r="D153" s="21">
        <f t="shared" si="5"/>
        <v>0</v>
      </c>
    </row>
    <row r="154">
      <c r="A154" s="8">
        <v>17.0</v>
      </c>
      <c r="B154" s="12" t="s">
        <v>21</v>
      </c>
      <c r="C154" s="10" t="s">
        <v>29</v>
      </c>
      <c r="D154" s="21">
        <f t="shared" si="5"/>
        <v>0</v>
      </c>
    </row>
    <row r="155">
      <c r="A155" s="8">
        <v>18.0</v>
      </c>
      <c r="B155" s="9" t="s">
        <v>22</v>
      </c>
      <c r="C155" s="10" t="s">
        <v>29</v>
      </c>
      <c r="D155" s="21">
        <f t="shared" si="5"/>
        <v>0</v>
      </c>
    </row>
    <row r="156">
      <c r="A156" s="8">
        <v>19.0</v>
      </c>
      <c r="B156" s="12" t="s">
        <v>23</v>
      </c>
      <c r="C156" s="10" t="s">
        <v>29</v>
      </c>
      <c r="D156" s="21">
        <f t="shared" si="5"/>
        <v>0</v>
      </c>
    </row>
    <row r="157">
      <c r="A157" s="8">
        <v>20.0</v>
      </c>
      <c r="B157" s="9" t="s">
        <v>24</v>
      </c>
      <c r="C157" s="10" t="s">
        <v>29</v>
      </c>
      <c r="D157" s="21">
        <f t="shared" si="5"/>
        <v>0</v>
      </c>
    </row>
    <row r="158">
      <c r="A158" s="8">
        <v>21.0</v>
      </c>
      <c r="B158" s="9" t="s">
        <v>25</v>
      </c>
      <c r="C158" s="10" t="s">
        <v>29</v>
      </c>
      <c r="D158" s="21">
        <f t="shared" si="5"/>
        <v>0</v>
      </c>
    </row>
    <row r="159">
      <c r="A159" s="8">
        <v>22.0</v>
      </c>
      <c r="B159" s="12" t="s">
        <v>26</v>
      </c>
      <c r="C159" s="10" t="s">
        <v>29</v>
      </c>
      <c r="D159" s="21">
        <f t="shared" si="5"/>
        <v>0</v>
      </c>
    </row>
    <row r="160">
      <c r="A160" s="8">
        <v>23.0</v>
      </c>
      <c r="B160" s="9" t="s">
        <v>27</v>
      </c>
      <c r="C160" s="10" t="s">
        <v>29</v>
      </c>
      <c r="D160" s="21">
        <f t="shared" si="5"/>
        <v>0</v>
      </c>
    </row>
    <row r="161">
      <c r="A161" s="13"/>
      <c r="B161" s="14" t="s">
        <v>28</v>
      </c>
      <c r="C161" s="15" t="s">
        <v>29</v>
      </c>
      <c r="D161" s="22">
        <f>IFERROR(D136/D$27,0)</f>
        <v>0</v>
      </c>
    </row>
    <row r="162">
      <c r="A162" s="13"/>
      <c r="B162" s="9" t="s">
        <v>30</v>
      </c>
      <c r="C162" s="10"/>
      <c r="D162" s="11">
        <v>2.0</v>
      </c>
    </row>
    <row r="163">
      <c r="A163" s="13"/>
      <c r="B163" s="9" t="s">
        <v>31</v>
      </c>
      <c r="C163" s="10"/>
      <c r="D163" s="11">
        <v>2.0</v>
      </c>
    </row>
    <row r="164">
      <c r="A164" s="13"/>
      <c r="B164" s="9" t="s">
        <v>32</v>
      </c>
      <c r="C164" s="10"/>
      <c r="D164" s="11">
        <v>19.75</v>
      </c>
    </row>
    <row r="165">
      <c r="A165" s="23"/>
      <c r="B165" s="24" t="s">
        <v>33</v>
      </c>
      <c r="C165" s="25"/>
      <c r="D165" s="26">
        <f>IFERROR(D136/(D164*D163*24),0)</f>
        <v>1.367088608</v>
      </c>
    </row>
    <row r="166">
      <c r="A166" s="3"/>
      <c r="B166" s="3"/>
      <c r="C166" s="3"/>
      <c r="D166" s="3"/>
    </row>
  </sheetData>
  <drawing r:id="rId1"/>
</worksheet>
</file>