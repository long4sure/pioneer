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ing attainement" sheetId="1" r:id="rId5"/>
  </sheets>
  <definedNames/>
  <calcPr/>
</workbook>
</file>

<file path=xl/sharedStrings.xml><?xml version="1.0" encoding="utf-8"?>
<sst xmlns="http://schemas.openxmlformats.org/spreadsheetml/2006/main" count="26" uniqueCount="11">
  <si>
    <t>D.</t>
  </si>
  <si>
    <t>SCHEDULING ATTAINMENT</t>
  </si>
  <si>
    <t>lines</t>
  </si>
  <si>
    <t>SUMMARY OF LINE</t>
  </si>
  <si>
    <t>Actual  Output</t>
  </si>
  <si>
    <t>KGS</t>
  </si>
  <si>
    <t>Planned  Output</t>
  </si>
  <si>
    <t>% Compliance</t>
  </si>
  <si>
    <t>%</t>
  </si>
  <si>
    <t>L06 - EPOXY</t>
  </si>
  <si>
    <t>L04B - ELASTO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</si>
</sst>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6">
    <font>
      <sz val="10.0"/>
      <color rgb="FF000000"/>
      <name val="Arial"/>
      <scheme val="minor"/>
    </font>
    <font>
      <b/>
      <sz val="11.0"/>
      <color rgb="FFFF0000"/>
      <name val="Aptos Narrow"/>
    </font>
    <font>
      <sz val="11.0"/>
      <color theme="1"/>
      <name val="Aptos Narrow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quotePrefix="1"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Font="1"/>
    <xf borderId="1" fillId="2" fontId="4" numFmtId="0" xfId="0" applyAlignment="1" applyBorder="1" applyFont="1">
      <alignment readingOrder="0" vertical="bottom"/>
    </xf>
    <xf borderId="2" fillId="2" fontId="5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164" xfId="0" applyAlignment="1" applyBorder="1" applyFont="1" applyNumberFormat="1">
      <alignment vertical="bottom"/>
    </xf>
    <xf borderId="5" fillId="2" fontId="4" numFmtId="0" xfId="0" applyAlignment="1" applyBorder="1" applyFont="1">
      <alignment readingOrder="0" vertical="bottom"/>
    </xf>
    <xf borderId="6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8" fillId="2" fontId="2" numFmtId="164" xfId="0" applyAlignment="1" applyBorder="1" applyFont="1" applyNumberFormat="1">
      <alignment horizontal="right" vertical="bottom"/>
    </xf>
    <xf borderId="6" fillId="2" fontId="5" numFmtId="0" xfId="0" applyAlignment="1" applyBorder="1" applyFont="1">
      <alignment vertical="bottom"/>
    </xf>
    <xf borderId="7" fillId="2" fontId="5" numFmtId="0" xfId="0" applyAlignment="1" applyBorder="1" applyFont="1">
      <alignment vertical="bottom"/>
    </xf>
    <xf borderId="8" fillId="2" fontId="5" numFmtId="10" xfId="0" applyAlignment="1" applyBorder="1" applyFont="1" applyNumberFormat="1">
      <alignment horizontal="right" vertical="bottom"/>
    </xf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8" fillId="2" fontId="2" numFmtId="164" xfId="0" applyAlignment="1" applyBorder="1" applyFont="1" applyNumberFormat="1">
      <alignment vertical="bottom"/>
    </xf>
    <xf borderId="13" fillId="2" fontId="5" numFmtId="0" xfId="0" applyAlignment="1" applyBorder="1" applyFont="1">
      <alignment vertical="bottom"/>
    </xf>
    <xf borderId="14" fillId="2" fontId="5" numFmtId="0" xfId="0" applyAlignment="1" applyBorder="1" applyFont="1">
      <alignment vertical="bottom"/>
    </xf>
    <xf borderId="15" fillId="2" fontId="5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0.75"/>
    <col customWidth="1" min="3" max="3" width="12.0"/>
    <col customWidth="1" min="4" max="4" width="17.38"/>
    <col customWidth="1" min="5" max="26" width="30.0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>
        <v>1.0</v>
      </c>
      <c r="B3" s="10" t="s">
        <v>4</v>
      </c>
      <c r="C3" s="11" t="s">
        <v>5</v>
      </c>
      <c r="D3" s="12">
        <f t="shared" ref="D3:D4" si="1">D8+D13+D18+D22+D27+D32+D36+D41+D46+D50+D55+D65+D60</f>
        <v>888223.6144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>
        <v>2.0</v>
      </c>
      <c r="B4" s="10" t="s">
        <v>6</v>
      </c>
      <c r="C4" s="11" t="s">
        <v>5</v>
      </c>
      <c r="D4" s="12">
        <f t="shared" si="1"/>
        <v>1190600.831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>
        <v>3.0</v>
      </c>
      <c r="B5" s="13" t="s">
        <v>7</v>
      </c>
      <c r="C5" s="14" t="s">
        <v>8</v>
      </c>
      <c r="D5" s="15">
        <f>IFERROR(D3/D4,0)</f>
        <v>0.7460297284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/>
      <c r="B6" s="17"/>
      <c r="C6" s="18"/>
      <c r="D6" s="1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</v>
      </c>
      <c r="B7" s="6" t="s">
        <v>9</v>
      </c>
      <c r="C7" s="7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>
        <v>1.0</v>
      </c>
      <c r="B8" s="10" t="s">
        <v>4</v>
      </c>
      <c r="C8" s="11" t="s">
        <v>5</v>
      </c>
      <c r="D8" s="12">
        <v>696730.5194200001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>
        <v>2.0</v>
      </c>
      <c r="B9" s="10" t="s">
        <v>6</v>
      </c>
      <c r="C9" s="11" t="s">
        <v>5</v>
      </c>
      <c r="D9" s="12">
        <v>922151.290853931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>
        <v>3.0</v>
      </c>
      <c r="B10" s="13" t="s">
        <v>7</v>
      </c>
      <c r="C10" s="14" t="s">
        <v>8</v>
      </c>
      <c r="D10" s="15">
        <f>IFERROR(D8/D9,0)</f>
        <v>0.7555490366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/>
      <c r="B11" s="17"/>
      <c r="C11" s="18"/>
      <c r="D11" s="1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</v>
      </c>
      <c r="B12" s="13" t="s">
        <v>10</v>
      </c>
      <c r="C12" s="11"/>
      <c r="D12" s="2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>
        <v>1.0</v>
      </c>
      <c r="B13" s="10" t="s">
        <v>4</v>
      </c>
      <c r="C13" s="11" t="s">
        <v>5</v>
      </c>
      <c r="D13" s="12">
        <v>191493.095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>
        <v>2.0</v>
      </c>
      <c r="B14" s="10" t="s">
        <v>6</v>
      </c>
      <c r="C14" s="11" t="s">
        <v>5</v>
      </c>
      <c r="D14" s="12">
        <v>268449.54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>
        <v>3.0</v>
      </c>
      <c r="B15" s="13" t="s">
        <v>7</v>
      </c>
      <c r="C15" s="14" t="s">
        <v>8</v>
      </c>
      <c r="D15" s="15">
        <f>IFERROR(D13/D14,0)</f>
        <v>0.7133299428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/>
      <c r="B16" s="17"/>
      <c r="C16" s="18"/>
      <c r="D16" s="1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13"/>
      <c r="C17" s="11"/>
      <c r="D17" s="2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/>
      <c r="B18" s="10"/>
      <c r="C18" s="11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10"/>
      <c r="C19" s="11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/>
      <c r="B20" s="21"/>
      <c r="C20" s="22"/>
      <c r="D20" s="2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/>
      <c r="B21" s="6"/>
      <c r="C21" s="7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/>
      <c r="B22" s="10"/>
      <c r="C22" s="11"/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/>
      <c r="B23" s="10"/>
      <c r="C23" s="11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/>
      <c r="B24" s="13"/>
      <c r="C24" s="14"/>
      <c r="D24" s="1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/>
      <c r="B25" s="17"/>
      <c r="C25" s="18"/>
      <c r="D25" s="1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/>
      <c r="B26" s="13"/>
      <c r="C26" s="11"/>
      <c r="D26" s="2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/>
      <c r="B27" s="10"/>
      <c r="C27" s="11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/>
      <c r="B28" s="10"/>
      <c r="C28" s="11"/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/>
      <c r="B29" s="13"/>
      <c r="C29" s="14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6"/>
      <c r="B30" s="17"/>
      <c r="C30" s="18"/>
      <c r="D30" s="1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/>
      <c r="B31" s="13"/>
      <c r="C31" s="11"/>
      <c r="D31" s="2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/>
      <c r="B32" s="10"/>
      <c r="C32" s="11"/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/>
      <c r="B33" s="10"/>
      <c r="C33" s="11"/>
      <c r="D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/>
      <c r="B34" s="21"/>
      <c r="C34" s="22"/>
      <c r="D34" s="2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6"/>
      <c r="C35" s="7"/>
      <c r="D35" s="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/>
      <c r="B36" s="10"/>
      <c r="C36" s="11"/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/>
      <c r="B37" s="10"/>
      <c r="C37" s="11"/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/>
      <c r="B38" s="13"/>
      <c r="C38" s="14"/>
      <c r="D38" s="1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6"/>
      <c r="B39" s="17"/>
      <c r="C39" s="18"/>
      <c r="D39" s="1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/>
      <c r="B40" s="13"/>
      <c r="C40" s="11"/>
      <c r="D40" s="2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/>
      <c r="B41" s="10"/>
      <c r="C41" s="11"/>
      <c r="D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/>
      <c r="B42" s="10"/>
      <c r="C42" s="11"/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/>
      <c r="B43" s="13"/>
      <c r="C43" s="14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6"/>
      <c r="B44" s="17"/>
      <c r="C44" s="18"/>
      <c r="D44" s="1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/>
      <c r="B45" s="13"/>
      <c r="C45" s="11"/>
      <c r="D45" s="2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/>
      <c r="B46" s="10"/>
      <c r="C46" s="11"/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/>
      <c r="B47" s="10"/>
      <c r="C47" s="11"/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/>
      <c r="B48" s="21"/>
      <c r="C48" s="22"/>
      <c r="D48" s="2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/>
      <c r="B49" s="6"/>
      <c r="C49" s="7"/>
      <c r="D49" s="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/>
      <c r="B50" s="10"/>
      <c r="C50" s="11"/>
      <c r="D50" s="1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/>
      <c r="B51" s="10"/>
      <c r="C51" s="11"/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/>
      <c r="B52" s="13"/>
      <c r="C52" s="14"/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6"/>
      <c r="B53" s="17"/>
      <c r="C53" s="18"/>
      <c r="D53" s="1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/>
      <c r="B54" s="13"/>
      <c r="C54" s="11"/>
      <c r="D54" s="2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/>
      <c r="B55" s="10"/>
      <c r="C55" s="11"/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/>
      <c r="B56" s="10"/>
      <c r="C56" s="11"/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/>
      <c r="B57" s="13"/>
      <c r="C57" s="14"/>
      <c r="D57" s="1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6"/>
      <c r="B58" s="17"/>
      <c r="C58" s="18"/>
      <c r="D58" s="1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/>
      <c r="B59" s="13"/>
      <c r="C59" s="11"/>
      <c r="D59" s="2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/>
      <c r="B60" s="10"/>
      <c r="C60" s="11"/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/>
      <c r="B61" s="10"/>
      <c r="C61" s="11"/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/>
      <c r="B62" s="21"/>
      <c r="C62" s="22"/>
      <c r="D62" s="2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6"/>
      <c r="B63" s="17"/>
      <c r="C63" s="18"/>
      <c r="D63" s="1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/>
      <c r="B64" s="13"/>
      <c r="C64" s="11"/>
      <c r="D64" s="2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/>
      <c r="B65" s="10"/>
      <c r="C65" s="11"/>
      <c r="D65" s="1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/>
      <c r="B66" s="10"/>
      <c r="C66" s="11"/>
      <c r="D66" s="1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/>
      <c r="B67" s="21"/>
      <c r="C67" s="22"/>
      <c r="D67" s="2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