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Erlhyn\Desktop\ERLHYN FILES\FY26\FY26-OEE\"/>
    </mc:Choice>
  </mc:AlternateContent>
  <xr:revisionPtr revIDLastSave="0" documentId="13_ncr:1_{22BB181F-DE4A-407A-A084-3C1FFD2FBC7A}" xr6:coauthVersionLast="47" xr6:coauthVersionMax="47" xr10:uidLastSave="{00000000-0000-0000-0000-000000000000}"/>
  <bookViews>
    <workbookView xWindow="-110" yWindow="-110" windowWidth="19420" windowHeight="10300" tabRatio="800" xr2:uid="{00000000-000D-0000-FFFF-FFFF00000000}"/>
  </bookViews>
  <sheets>
    <sheet name="SUMMARY" sheetId="21" r:id="rId1"/>
    <sheet name="Filling Manual" sheetId="28" r:id="rId2"/>
    <sheet name="Milling" sheetId="42" r:id="rId3"/>
    <sheet name="Mixing" sheetId="43" r:id="rId4"/>
    <sheet name="Tinting" sheetId="4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KEY2" localSheetId="1" hidden="1">#REF!</definedName>
    <definedName name="____KEY2" localSheetId="2" hidden="1">#REF!</definedName>
    <definedName name="____KEY2" localSheetId="3" hidden="1">#REF!</definedName>
    <definedName name="____KEY2" localSheetId="4" hidden="1">#REF!</definedName>
    <definedName name="____KEY2" hidden="1">#REF!</definedName>
    <definedName name="___KEY2" localSheetId="1" hidden="1">#REF!</definedName>
    <definedName name="___KEY2" localSheetId="2" hidden="1">#REF!</definedName>
    <definedName name="___KEY2" localSheetId="3" hidden="1">#REF!</definedName>
    <definedName name="___KEY2" localSheetId="4" hidden="1">#REF!</definedName>
    <definedName name="___KEY2" hidden="1">#REF!</definedName>
    <definedName name="__KEY2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0" hidden="1">#REF!</definedName>
    <definedName name="_Key1" localSheetId="4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Order1" hidden="1">255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0" hidden="1">#REF!</definedName>
    <definedName name="_Sort" localSheetId="4" hidden="1">#REF!</definedName>
    <definedName name="_Sort" hidden="1">#REF!</definedName>
    <definedName name="CONDITION" localSheetId="0">'[1]FINISH CODES'!$B$8:$B$10</definedName>
    <definedName name="CONDITION">'[2]FINISH CODES'!$B$8:$B$10</definedName>
    <definedName name="CONDITIONS" localSheetId="0">[3]CODES!$A$3:$B$7</definedName>
    <definedName name="CONDITIONS">[4]CODES!$A$3:$B$7</definedName>
    <definedName name="COVCON" localSheetId="0">'[5]ASSEMBLY CODES'!$A$19:$A$32</definedName>
    <definedName name="COVCON">'[6]ASSEMBLY CODES'!$A$19:$A$32</definedName>
    <definedName name="EL2." localSheetId="1" hidden="1">#REF!</definedName>
    <definedName name="EL2." localSheetId="2" hidden="1">#REF!</definedName>
    <definedName name="EL2." localSheetId="3" hidden="1">#REF!</definedName>
    <definedName name="EL2." localSheetId="4" hidden="1">#REF!</definedName>
    <definedName name="EL2." hidden="1">#REF!</definedName>
    <definedName name="GPCOLORCOMBINATIONS" localSheetId="0">[3]CODES!$P$31:$R$44</definedName>
    <definedName name="GPCOLORCOMBINATIONS">[4]CODES!$P$31:$R$44</definedName>
    <definedName name="GPHYDROEYES" localSheetId="0">[3]CODES!$P$47:$Q$54</definedName>
    <definedName name="GPHYDROEYES">[4]CODES!$P$47:$Q$54</definedName>
    <definedName name="GPSUBLIDS" localSheetId="0">[3]CODES!$P$24:$Q$27</definedName>
    <definedName name="GPSUBLIDS">[4]CODES!$P$24:$Q$27</definedName>
    <definedName name="LCODES" localSheetId="0">'[1]FINISH CODES'!$E$33:$E$52</definedName>
    <definedName name="LCODES">'[2]FINISH CODES'!$E$33:$E$52</definedName>
    <definedName name="LID" localSheetId="0">'[5]ASSEMBLY CODES'!$A$13:$A$16</definedName>
    <definedName name="LID">'[6]ASSEMBLY CODES'!$A$13:$A$16</definedName>
    <definedName name="LINE_06_1" localSheetId="1" hidden="1">#REF!</definedName>
    <definedName name="LINE_06_1" localSheetId="2" hidden="1">#REF!</definedName>
    <definedName name="LINE_06_1" localSheetId="3" hidden="1">#REF!</definedName>
    <definedName name="LINE_06_1" localSheetId="0" hidden="1">#REF!</definedName>
    <definedName name="LINE_06_1" localSheetId="4" hidden="1">#REF!</definedName>
    <definedName name="LINE_06_1" hidden="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 localSheetId="4">#REF!</definedName>
    <definedName name="LIST2">#REF!</definedName>
    <definedName name="MACHINE_3B" localSheetId="1" hidden="1">#REF!</definedName>
    <definedName name="MACHINE_3B" localSheetId="2" hidden="1">#REF!</definedName>
    <definedName name="MACHINE_3B" localSheetId="3" hidden="1">#REF!</definedName>
    <definedName name="MACHINE_3B" localSheetId="0" hidden="1">#REF!</definedName>
    <definedName name="MACHINE_3B" localSheetId="4" hidden="1">#REF!</definedName>
    <definedName name="MACHINE_3B" hidden="1">#REF!</definedName>
    <definedName name="POLARITIES" localSheetId="0">[3]CODES!$M$3:$N$24</definedName>
    <definedName name="POLARITIES">[4]CODES!$M$3:$N$24</definedName>
    <definedName name="SALESDESC" localSheetId="0">'[7]from IRN'!$B$4:$E$1375</definedName>
    <definedName name="SALESDESC">'[8]from IRN'!$B$4:$E$1375</definedName>
    <definedName name="SIZES" localSheetId="0">[3]CODES!$G$3:$H$48</definedName>
    <definedName name="SIZES">[4]CODES!$G$3:$H$48</definedName>
    <definedName name="SSSCODE" localSheetId="0">'[1]FINISH CODES'!$B$19:$B$60</definedName>
    <definedName name="SSSCODE">'[2]FINISH CODES'!$B$19:$B$60</definedName>
    <definedName name="TCODE" localSheetId="0">'[1]FINISH CODES'!$E$27:$E$28</definedName>
    <definedName name="TCODE">'[2]FINISH CODES'!$E$27:$E$28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1" l="1"/>
  <c r="G7" i="21"/>
  <c r="F7" i="21"/>
  <c r="E7" i="21"/>
  <c r="D7" i="21"/>
  <c r="C7" i="21"/>
  <c r="H6" i="21"/>
  <c r="G6" i="21"/>
  <c r="F6" i="21"/>
  <c r="E6" i="21"/>
  <c r="D6" i="21"/>
  <c r="C6" i="21"/>
  <c r="H5" i="21"/>
  <c r="G5" i="21"/>
  <c r="F5" i="21"/>
  <c r="E5" i="21"/>
  <c r="D5" i="21"/>
  <c r="C5" i="21"/>
  <c r="H4" i="21"/>
  <c r="G4" i="21"/>
  <c r="F4" i="21"/>
  <c r="E4" i="21"/>
  <c r="D4" i="21"/>
  <c r="C4" i="21"/>
  <c r="H3" i="21"/>
  <c r="G3" i="21"/>
  <c r="F3" i="21"/>
  <c r="E3" i="21"/>
  <c r="D3" i="21"/>
  <c r="C3" i="21"/>
  <c r="DR107" i="44" l="1"/>
  <c r="DQ107" i="44"/>
  <c r="DP107" i="44"/>
  <c r="DY107" i="44" s="1"/>
  <c r="CR107" i="44"/>
  <c r="CQ107" i="44"/>
  <c r="CP107" i="44"/>
  <c r="CO107" i="44"/>
  <c r="CN107" i="44"/>
  <c r="CM107" i="44"/>
  <c r="CL107" i="44"/>
  <c r="CK107" i="44"/>
  <c r="CJ107" i="44"/>
  <c r="CI107" i="44"/>
  <c r="CH107" i="44"/>
  <c r="CG107" i="44"/>
  <c r="CF107" i="44"/>
  <c r="CE107" i="44"/>
  <c r="CD107" i="44"/>
  <c r="CC107" i="44"/>
  <c r="CB107" i="44"/>
  <c r="CA107" i="44"/>
  <c r="BZ107" i="44"/>
  <c r="BY107" i="44"/>
  <c r="BX107" i="44"/>
  <c r="BW107" i="44"/>
  <c r="BV107" i="44"/>
  <c r="BU107" i="44"/>
  <c r="BT107" i="44"/>
  <c r="BS107" i="44"/>
  <c r="BR107" i="44"/>
  <c r="BQ107" i="44"/>
  <c r="BP107" i="44"/>
  <c r="BO107" i="44"/>
  <c r="BN107" i="44"/>
  <c r="BM107" i="44"/>
  <c r="BL107" i="44"/>
  <c r="BK107" i="44"/>
  <c r="BJ107" i="44"/>
  <c r="BI107" i="44"/>
  <c r="BH107" i="44"/>
  <c r="BG107" i="44"/>
  <c r="BF107" i="44"/>
  <c r="BE107" i="44"/>
  <c r="BD107" i="44"/>
  <c r="BC107" i="44"/>
  <c r="BB107" i="44"/>
  <c r="BA107" i="44"/>
  <c r="AZ107" i="44"/>
  <c r="AY107" i="44"/>
  <c r="AX107" i="44"/>
  <c r="AW107" i="44"/>
  <c r="AV107" i="44"/>
  <c r="AU107" i="44"/>
  <c r="AR107" i="44"/>
  <c r="AM107" i="44"/>
  <c r="AL107" i="44"/>
  <c r="AK107" i="44"/>
  <c r="AJ107" i="44"/>
  <c r="AI107" i="44"/>
  <c r="AH107" i="44"/>
  <c r="AG107" i="44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G107" i="44"/>
  <c r="E107" i="44"/>
  <c r="EX106" i="44"/>
  <c r="EO106" i="44"/>
  <c r="EI106" i="44"/>
  <c r="EG106" i="44"/>
  <c r="DY106" i="44"/>
  <c r="DR106" i="44"/>
  <c r="DJ106" i="44"/>
  <c r="CS106" i="44"/>
  <c r="DE106" i="44" s="1"/>
  <c r="AN106" i="44"/>
  <c r="K106" i="44"/>
  <c r="I106" i="44"/>
  <c r="EX105" i="44"/>
  <c r="ER105" i="44"/>
  <c r="EI105" i="44"/>
  <c r="EG105" i="44"/>
  <c r="EO105" i="44" s="1"/>
  <c r="EQ105" i="44" s="1"/>
  <c r="EA105" i="44"/>
  <c r="DY105" i="44"/>
  <c r="DW105" i="44"/>
  <c r="DR105" i="44"/>
  <c r="DK105" i="44"/>
  <c r="DJ105" i="44"/>
  <c r="DE105" i="44"/>
  <c r="CX105" i="44"/>
  <c r="CW105" i="44"/>
  <c r="CU105" i="44"/>
  <c r="CS105" i="44"/>
  <c r="AP105" i="44"/>
  <c r="AN105" i="44"/>
  <c r="K105" i="44"/>
  <c r="I105" i="44"/>
  <c r="EJ105" i="44" s="1"/>
  <c r="EP105" i="44" s="1"/>
  <c r="ER104" i="44"/>
  <c r="EP104" i="44"/>
  <c r="EO104" i="44"/>
  <c r="EQ104" i="44" s="1"/>
  <c r="EM104" i="44"/>
  <c r="EI104" i="44"/>
  <c r="EG104" i="44"/>
  <c r="DY104" i="44"/>
  <c r="DR104" i="44"/>
  <c r="EX104" i="44" s="1"/>
  <c r="DJ104" i="44"/>
  <c r="DH104" i="44"/>
  <c r="CZ104" i="44"/>
  <c r="CY104" i="44"/>
  <c r="CX104" i="44"/>
  <c r="CS104" i="44"/>
  <c r="DE104" i="44" s="1"/>
  <c r="AP104" i="44"/>
  <c r="AN104" i="44"/>
  <c r="K104" i="44"/>
  <c r="EH104" i="44" s="1"/>
  <c r="EK104" i="44" s="1"/>
  <c r="I104" i="44"/>
  <c r="EJ104" i="44" s="1"/>
  <c r="EX103" i="44"/>
  <c r="EW103" i="44"/>
  <c r="EV103" i="44"/>
  <c r="ER103" i="44"/>
  <c r="EI103" i="44"/>
  <c r="EH103" i="44"/>
  <c r="EK103" i="44" s="1"/>
  <c r="EM103" i="44" s="1"/>
  <c r="EG103" i="44"/>
  <c r="EA103" i="44"/>
  <c r="DY103" i="44"/>
  <c r="DR103" i="44"/>
  <c r="DK103" i="44"/>
  <c r="DJ103" i="44"/>
  <c r="DA103" i="44"/>
  <c r="CZ103" i="44"/>
  <c r="CX103" i="44"/>
  <c r="CW103" i="44"/>
  <c r="CU103" i="44"/>
  <c r="DB103" i="44" s="1"/>
  <c r="CS103" i="44"/>
  <c r="DE103" i="44" s="1"/>
  <c r="AP103" i="44"/>
  <c r="DH103" i="44" s="1"/>
  <c r="AN103" i="44"/>
  <c r="K103" i="44"/>
  <c r="CY103" i="44" s="1"/>
  <c r="I103" i="44"/>
  <c r="EJ103" i="44" s="1"/>
  <c r="EP103" i="44" s="1"/>
  <c r="EX102" i="44"/>
  <c r="ER102" i="44"/>
  <c r="EI102" i="44"/>
  <c r="EG102" i="44"/>
  <c r="DY102" i="44"/>
  <c r="DR102" i="44"/>
  <c r="DJ102" i="44"/>
  <c r="DE102" i="44"/>
  <c r="CX102" i="44"/>
  <c r="CS102" i="44"/>
  <c r="AN102" i="44"/>
  <c r="K102" i="44"/>
  <c r="I102" i="44"/>
  <c r="EX101" i="44"/>
  <c r="EI101" i="44"/>
  <c r="EH101" i="44"/>
  <c r="EG101" i="44"/>
  <c r="DY101" i="44"/>
  <c r="DR101" i="44"/>
  <c r="DK101" i="44"/>
  <c r="EU101" i="44" s="1"/>
  <c r="DJ101" i="44"/>
  <c r="DE101" i="44"/>
  <c r="DA101" i="44"/>
  <c r="CZ101" i="44"/>
  <c r="CS101" i="44"/>
  <c r="AP101" i="44"/>
  <c r="AN101" i="44"/>
  <c r="K101" i="44"/>
  <c r="I101" i="44"/>
  <c r="EJ101" i="44" s="1"/>
  <c r="EP101" i="44" s="1"/>
  <c r="EX100" i="44"/>
  <c r="EO100" i="44"/>
  <c r="EJ100" i="44"/>
  <c r="EP100" i="44" s="1"/>
  <c r="EI100" i="44"/>
  <c r="EG100" i="44"/>
  <c r="DY100" i="44"/>
  <c r="DR100" i="44"/>
  <c r="DJ100" i="44"/>
  <c r="DE100" i="44"/>
  <c r="CS100" i="44"/>
  <c r="AN100" i="44"/>
  <c r="K100" i="44"/>
  <c r="I100" i="44"/>
  <c r="EX99" i="44"/>
  <c r="ER99" i="44"/>
  <c r="EO99" i="44"/>
  <c r="EI99" i="44"/>
  <c r="EG99" i="44"/>
  <c r="DY99" i="44"/>
  <c r="DR99" i="44"/>
  <c r="DK99" i="44"/>
  <c r="DJ99" i="44"/>
  <c r="DE99" i="44"/>
  <c r="CS99" i="44"/>
  <c r="AN99" i="44"/>
  <c r="K99" i="44"/>
  <c r="I99" i="44"/>
  <c r="EJ99" i="44" s="1"/>
  <c r="EP99" i="44" s="1"/>
  <c r="EQ99" i="44" s="1"/>
  <c r="ER98" i="44"/>
  <c r="EP98" i="44"/>
  <c r="EO98" i="44"/>
  <c r="EQ98" i="44" s="1"/>
  <c r="EI98" i="44"/>
  <c r="EG98" i="44"/>
  <c r="EE98" i="44"/>
  <c r="EA98" i="44"/>
  <c r="DY98" i="44"/>
  <c r="DR98" i="44"/>
  <c r="EX98" i="44" s="1"/>
  <c r="DJ98" i="44"/>
  <c r="DE98" i="44"/>
  <c r="CZ98" i="44"/>
  <c r="CY98" i="44"/>
  <c r="CX98" i="44"/>
  <c r="CU98" i="44"/>
  <c r="CS98" i="44"/>
  <c r="AP98" i="44"/>
  <c r="AN98" i="44"/>
  <c r="K98" i="44"/>
  <c r="I98" i="44"/>
  <c r="EJ98" i="44" s="1"/>
  <c r="ER97" i="44"/>
  <c r="EI97" i="44"/>
  <c r="EH97" i="44"/>
  <c r="EG97" i="44"/>
  <c r="DY97" i="44"/>
  <c r="DR97" i="44"/>
  <c r="EX97" i="44" s="1"/>
  <c r="DK97" i="44"/>
  <c r="DJ97" i="44"/>
  <c r="DA97" i="44"/>
  <c r="CZ97" i="44"/>
  <c r="CY97" i="44"/>
  <c r="CX97" i="44"/>
  <c r="CW97" i="44"/>
  <c r="CS97" i="44"/>
  <c r="DE97" i="44" s="1"/>
  <c r="AP97" i="44"/>
  <c r="AN97" i="44"/>
  <c r="K97" i="44"/>
  <c r="I97" i="44"/>
  <c r="EJ97" i="44" s="1"/>
  <c r="EP97" i="44" s="1"/>
  <c r="EX96" i="44"/>
  <c r="EJ96" i="44"/>
  <c r="EP96" i="44" s="1"/>
  <c r="EI96" i="44"/>
  <c r="EG96" i="44"/>
  <c r="DY96" i="44"/>
  <c r="DR96" i="44"/>
  <c r="DJ96" i="44"/>
  <c r="DE96" i="44"/>
  <c r="CX96" i="44"/>
  <c r="CS96" i="44"/>
  <c r="AN96" i="44"/>
  <c r="K96" i="44"/>
  <c r="I96" i="44"/>
  <c r="EJ95" i="44"/>
  <c r="EP95" i="44" s="1"/>
  <c r="EI95" i="44"/>
  <c r="EH95" i="44"/>
  <c r="EK95" i="44" s="1"/>
  <c r="EM95" i="44" s="1"/>
  <c r="EG95" i="44"/>
  <c r="DY95" i="44"/>
  <c r="DR95" i="44"/>
  <c r="DJ95" i="44"/>
  <c r="DE95" i="44"/>
  <c r="CS95" i="44"/>
  <c r="AN95" i="44"/>
  <c r="K95" i="44"/>
  <c r="I95" i="44"/>
  <c r="EX94" i="44"/>
  <c r="EP94" i="44"/>
  <c r="EO94" i="44"/>
  <c r="EM94" i="44"/>
  <c r="EJ94" i="44"/>
  <c r="EI94" i="44"/>
  <c r="EH94" i="44"/>
  <c r="EK94" i="44" s="1"/>
  <c r="EL94" i="44" s="1"/>
  <c r="EG94" i="44"/>
  <c r="DY94" i="44"/>
  <c r="DW94" i="44"/>
  <c r="DR94" i="44"/>
  <c r="DJ94" i="44"/>
  <c r="DD94" i="44"/>
  <c r="DF94" i="44" s="1"/>
  <c r="DG94" i="44" s="1"/>
  <c r="DA94" i="44"/>
  <c r="CZ94" i="44"/>
  <c r="CY94" i="44"/>
  <c r="CS94" i="44"/>
  <c r="DE94" i="44" s="1"/>
  <c r="AP94" i="44"/>
  <c r="AN94" i="44"/>
  <c r="K94" i="44"/>
  <c r="I94" i="44"/>
  <c r="DK94" i="44" s="1"/>
  <c r="EU94" i="44" s="1"/>
  <c r="EU93" i="44"/>
  <c r="ER93" i="44"/>
  <c r="EP93" i="44"/>
  <c r="EO93" i="44"/>
  <c r="EJ93" i="44"/>
  <c r="EI93" i="44"/>
  <c r="EH93" i="44"/>
  <c r="EG93" i="44"/>
  <c r="EE93" i="44"/>
  <c r="EA93" i="44"/>
  <c r="DZ93" i="44"/>
  <c r="DY93" i="44"/>
  <c r="DR93" i="44"/>
  <c r="DK93" i="44"/>
  <c r="DJ93" i="44"/>
  <c r="DH93" i="44"/>
  <c r="DA93" i="44"/>
  <c r="CY93" i="44"/>
  <c r="CX93" i="44"/>
  <c r="CW93" i="44"/>
  <c r="CS93" i="44"/>
  <c r="AP93" i="44"/>
  <c r="AN93" i="44"/>
  <c r="K93" i="44"/>
  <c r="CZ93" i="44" s="1"/>
  <c r="I93" i="44"/>
  <c r="EU92" i="44"/>
  <c r="EP92" i="44"/>
  <c r="EO92" i="44"/>
  <c r="EQ92" i="44" s="1"/>
  <c r="EJ92" i="44"/>
  <c r="EI92" i="44"/>
  <c r="EG92" i="44"/>
  <c r="DZ92" i="44"/>
  <c r="DY92" i="44"/>
  <c r="DR92" i="44"/>
  <c r="EX92" i="44" s="1"/>
  <c r="DK92" i="44"/>
  <c r="DJ92" i="44"/>
  <c r="CX92" i="44"/>
  <c r="CW92" i="44"/>
  <c r="CS92" i="44"/>
  <c r="DE92" i="44" s="1"/>
  <c r="AN92" i="44"/>
  <c r="K92" i="44"/>
  <c r="I92" i="44"/>
  <c r="EU91" i="44"/>
  <c r="ER91" i="44"/>
  <c r="EP91" i="44"/>
  <c r="EI91" i="44"/>
  <c r="EH91" i="44"/>
  <c r="EG91" i="44"/>
  <c r="EE91" i="44"/>
  <c r="DZ91" i="44"/>
  <c r="DY91" i="44"/>
  <c r="DR91" i="44"/>
  <c r="EX91" i="44" s="1"/>
  <c r="DK91" i="44"/>
  <c r="DJ91" i="44"/>
  <c r="DA91" i="44"/>
  <c r="CZ91" i="44"/>
  <c r="CY91" i="44"/>
  <c r="CX91" i="44"/>
  <c r="CW91" i="44"/>
  <c r="CS91" i="44"/>
  <c r="DE91" i="44" s="1"/>
  <c r="AN91" i="44"/>
  <c r="AP91" i="44" s="1"/>
  <c r="K91" i="44"/>
  <c r="I91" i="44"/>
  <c r="EJ91" i="44" s="1"/>
  <c r="ER90" i="44"/>
  <c r="EO90" i="44"/>
  <c r="EJ90" i="44"/>
  <c r="EP90" i="44" s="1"/>
  <c r="EI90" i="44"/>
  <c r="EG90" i="44"/>
  <c r="DY90" i="44"/>
  <c r="DR90" i="44"/>
  <c r="EX90" i="44" s="1"/>
  <c r="DK90" i="44"/>
  <c r="DJ90" i="44"/>
  <c r="CS90" i="44"/>
  <c r="DE90" i="44" s="1"/>
  <c r="AN90" i="44"/>
  <c r="K90" i="44"/>
  <c r="I90" i="44"/>
  <c r="ER89" i="44"/>
  <c r="EO89" i="44"/>
  <c r="EQ89" i="44" s="1"/>
  <c r="EJ89" i="44"/>
  <c r="EP89" i="44" s="1"/>
  <c r="EI89" i="44"/>
  <c r="EG89" i="44"/>
  <c r="DZ89" i="44"/>
  <c r="DY89" i="44"/>
  <c r="DR89" i="44"/>
  <c r="DK89" i="44"/>
  <c r="EU89" i="44" s="1"/>
  <c r="DJ89" i="44"/>
  <c r="DF89" i="44"/>
  <c r="DG89" i="44" s="1"/>
  <c r="DD89" i="44"/>
  <c r="DA89" i="44"/>
  <c r="CW89" i="44"/>
  <c r="CS89" i="44"/>
  <c r="DE89" i="44" s="1"/>
  <c r="AP89" i="44"/>
  <c r="AN89" i="44"/>
  <c r="K89" i="44"/>
  <c r="I89" i="44"/>
  <c r="EX88" i="44"/>
  <c r="EP88" i="44"/>
  <c r="EO88" i="44"/>
  <c r="EJ88" i="44"/>
  <c r="EI88" i="44"/>
  <c r="EG88" i="44"/>
  <c r="EA88" i="44"/>
  <c r="DY88" i="44"/>
  <c r="DR88" i="44"/>
  <c r="DJ88" i="44"/>
  <c r="DE88" i="44"/>
  <c r="DD88" i="44"/>
  <c r="DF88" i="44" s="1"/>
  <c r="DG88" i="44" s="1"/>
  <c r="DA88" i="44"/>
  <c r="CZ88" i="44"/>
  <c r="CY88" i="44"/>
  <c r="CS88" i="44"/>
  <c r="AP88" i="44"/>
  <c r="AN88" i="44"/>
  <c r="K88" i="44"/>
  <c r="I88" i="44"/>
  <c r="EU87" i="44"/>
  <c r="EJ87" i="44"/>
  <c r="EP87" i="44" s="1"/>
  <c r="EI87" i="44"/>
  <c r="EG87" i="44"/>
  <c r="EO87" i="44" s="1"/>
  <c r="EQ87" i="44" s="1"/>
  <c r="DY87" i="44"/>
  <c r="DR87" i="44"/>
  <c r="EX87" i="44" s="1"/>
  <c r="DJ87" i="44"/>
  <c r="DA87" i="44"/>
  <c r="CY87" i="44"/>
  <c r="CS87" i="44"/>
  <c r="DE87" i="44" s="1"/>
  <c r="AN87" i="44"/>
  <c r="K87" i="44"/>
  <c r="CZ87" i="44" s="1"/>
  <c r="I87" i="44"/>
  <c r="DK87" i="44" s="1"/>
  <c r="DZ87" i="44" s="1"/>
  <c r="EO86" i="44"/>
  <c r="EI86" i="44"/>
  <c r="EG86" i="44"/>
  <c r="DY86" i="44"/>
  <c r="DR86" i="44"/>
  <c r="DJ86" i="44"/>
  <c r="DA86" i="44"/>
  <c r="CY86" i="44"/>
  <c r="CS86" i="44"/>
  <c r="DE86" i="44" s="1"/>
  <c r="AP86" i="44"/>
  <c r="AN86" i="44"/>
  <c r="K86" i="44"/>
  <c r="CW86" i="44" s="1"/>
  <c r="I86" i="44"/>
  <c r="ER85" i="44"/>
  <c r="EO85" i="44"/>
  <c r="EJ85" i="44"/>
  <c r="EP85" i="44" s="1"/>
  <c r="EQ85" i="44" s="1"/>
  <c r="EI85" i="44"/>
  <c r="EG85" i="44"/>
  <c r="EA85" i="44"/>
  <c r="DZ85" i="44"/>
  <c r="EB85" i="44" s="1"/>
  <c r="DY85" i="44"/>
  <c r="DR85" i="44"/>
  <c r="DK85" i="44"/>
  <c r="EU85" i="44" s="1"/>
  <c r="DJ85" i="44"/>
  <c r="DD85" i="44"/>
  <c r="DF85" i="44" s="1"/>
  <c r="DG85" i="44" s="1"/>
  <c r="CY85" i="44"/>
  <c r="CX85" i="44"/>
  <c r="CS85" i="44"/>
  <c r="DE85" i="44" s="1"/>
  <c r="AP85" i="44"/>
  <c r="AN85" i="44"/>
  <c r="K85" i="44"/>
  <c r="I85" i="44"/>
  <c r="EU84" i="44"/>
  <c r="ER84" i="44"/>
  <c r="EO84" i="44"/>
  <c r="EJ84" i="44"/>
  <c r="EP84" i="44" s="1"/>
  <c r="EI84" i="44"/>
  <c r="EH84" i="44"/>
  <c r="EG84" i="44"/>
  <c r="DY84" i="44"/>
  <c r="DR84" i="44"/>
  <c r="EX84" i="44" s="1"/>
  <c r="DK84" i="44"/>
  <c r="DZ84" i="44" s="1"/>
  <c r="DJ84" i="44"/>
  <c r="DA84" i="44"/>
  <c r="CZ84" i="44"/>
  <c r="CY84" i="44"/>
  <c r="CX84" i="44"/>
  <c r="CW84" i="44"/>
  <c r="CS84" i="44"/>
  <c r="DE84" i="44" s="1"/>
  <c r="AP84" i="44"/>
  <c r="AN84" i="44"/>
  <c r="K84" i="44"/>
  <c r="I84" i="44"/>
  <c r="EX83" i="44"/>
  <c r="ER83" i="44"/>
  <c r="EP83" i="44"/>
  <c r="EQ83" i="44" s="1"/>
  <c r="EO83" i="44"/>
  <c r="EI83" i="44"/>
  <c r="EH83" i="44"/>
  <c r="EG83" i="44"/>
  <c r="DY83" i="44"/>
  <c r="DR83" i="44"/>
  <c r="DK83" i="44"/>
  <c r="DJ83" i="44"/>
  <c r="DA83" i="44"/>
  <c r="CZ83" i="44"/>
  <c r="CY83" i="44"/>
  <c r="CX83" i="44"/>
  <c r="CW83" i="44"/>
  <c r="CS83" i="44"/>
  <c r="DE83" i="44" s="1"/>
  <c r="AN83" i="44"/>
  <c r="K83" i="44"/>
  <c r="I83" i="44"/>
  <c r="EJ83" i="44" s="1"/>
  <c r="ER82" i="44"/>
  <c r="EI82" i="44"/>
  <c r="EG82" i="44"/>
  <c r="EO82" i="44" s="1"/>
  <c r="DY82" i="44"/>
  <c r="DR82" i="44"/>
  <c r="DJ82" i="44"/>
  <c r="DE82" i="44"/>
  <c r="CS82" i="44"/>
  <c r="AN82" i="44"/>
  <c r="K82" i="44"/>
  <c r="I82" i="44"/>
  <c r="EX81" i="44"/>
  <c r="EI81" i="44"/>
  <c r="EG81" i="44"/>
  <c r="EO81" i="44" s="1"/>
  <c r="DY81" i="44"/>
  <c r="DR81" i="44"/>
  <c r="DJ81" i="44"/>
  <c r="CY81" i="44"/>
  <c r="CW81" i="44"/>
  <c r="CS81" i="44"/>
  <c r="DE81" i="44" s="1"/>
  <c r="AN81" i="44"/>
  <c r="K81" i="44"/>
  <c r="I81" i="44"/>
  <c r="EX80" i="44"/>
  <c r="EO80" i="44"/>
  <c r="EJ80" i="44"/>
  <c r="EP80" i="44" s="1"/>
  <c r="EI80" i="44"/>
  <c r="EG80" i="44"/>
  <c r="DY80" i="44"/>
  <c r="DR80" i="44"/>
  <c r="DK80" i="44"/>
  <c r="DJ80" i="44"/>
  <c r="CS80" i="44"/>
  <c r="DE80" i="44" s="1"/>
  <c r="AN80" i="44"/>
  <c r="K80" i="44"/>
  <c r="I80" i="44"/>
  <c r="EX79" i="44"/>
  <c r="EI79" i="44"/>
  <c r="EG79" i="44"/>
  <c r="DY79" i="44"/>
  <c r="DR79" i="44"/>
  <c r="DJ79" i="44"/>
  <c r="DE79" i="44"/>
  <c r="CZ79" i="44"/>
  <c r="CS79" i="44"/>
  <c r="AN79" i="44"/>
  <c r="K79" i="44"/>
  <c r="I79" i="44"/>
  <c r="EX78" i="44"/>
  <c r="EI78" i="44"/>
  <c r="EG78" i="44"/>
  <c r="DZ78" i="44"/>
  <c r="DY78" i="44"/>
  <c r="DR78" i="44"/>
  <c r="DK78" i="44"/>
  <c r="EU78" i="44" s="1"/>
  <c r="DJ78" i="44"/>
  <c r="DE78" i="44"/>
  <c r="CS78" i="44"/>
  <c r="AN78" i="44"/>
  <c r="AP78" i="44" s="1"/>
  <c r="K78" i="44"/>
  <c r="I78" i="44"/>
  <c r="EJ78" i="44" s="1"/>
  <c r="EP78" i="44" s="1"/>
  <c r="EO77" i="44"/>
  <c r="EI77" i="44"/>
  <c r="EG77" i="44"/>
  <c r="DY77" i="44"/>
  <c r="DR77" i="44"/>
  <c r="EX77" i="44" s="1"/>
  <c r="DK77" i="44"/>
  <c r="DJ77" i="44"/>
  <c r="CW77" i="44"/>
  <c r="CS77" i="44"/>
  <c r="DE77" i="44" s="1"/>
  <c r="AN77" i="44"/>
  <c r="K77" i="44"/>
  <c r="I77" i="44"/>
  <c r="EJ76" i="44"/>
  <c r="EP76" i="44" s="1"/>
  <c r="EI76" i="44"/>
  <c r="EG76" i="44"/>
  <c r="EO76" i="44" s="1"/>
  <c r="DY76" i="44"/>
  <c r="DR76" i="44"/>
  <c r="DK76" i="44"/>
  <c r="DJ76" i="44"/>
  <c r="DE76" i="44"/>
  <c r="CS76" i="44"/>
  <c r="AN76" i="44"/>
  <c r="K76" i="44"/>
  <c r="I76" i="44"/>
  <c r="ER75" i="44"/>
  <c r="EO75" i="44"/>
  <c r="EQ75" i="44" s="1"/>
  <c r="EJ75" i="44"/>
  <c r="EP75" i="44" s="1"/>
  <c r="EI75" i="44"/>
  <c r="EG75" i="44"/>
  <c r="DZ75" i="44"/>
  <c r="DY75" i="44"/>
  <c r="DR75" i="44"/>
  <c r="DJ75" i="44"/>
  <c r="DE75" i="44"/>
  <c r="DA75" i="44"/>
  <c r="CZ75" i="44"/>
  <c r="CY75" i="44"/>
  <c r="CX75" i="44"/>
  <c r="CS75" i="44"/>
  <c r="AP75" i="44"/>
  <c r="AN75" i="44"/>
  <c r="K75" i="44"/>
  <c r="CW75" i="44" s="1"/>
  <c r="I75" i="44"/>
  <c r="DK75" i="44" s="1"/>
  <c r="EU75" i="44" s="1"/>
  <c r="ER74" i="44"/>
  <c r="EO74" i="44"/>
  <c r="EQ74" i="44" s="1"/>
  <c r="EL74" i="44"/>
  <c r="EJ74" i="44"/>
  <c r="EP74" i="44" s="1"/>
  <c r="EI74" i="44"/>
  <c r="EG74" i="44"/>
  <c r="DY74" i="44"/>
  <c r="DR74" i="44"/>
  <c r="DK74" i="44"/>
  <c r="DJ74" i="44"/>
  <c r="DA74" i="44"/>
  <c r="CZ74" i="44"/>
  <c r="CX74" i="44"/>
  <c r="CW74" i="44"/>
  <c r="CS74" i="44"/>
  <c r="DE74" i="44" s="1"/>
  <c r="AN74" i="44"/>
  <c r="K74" i="44"/>
  <c r="EH74" i="44" s="1"/>
  <c r="EK74" i="44" s="1"/>
  <c r="EM74" i="44" s="1"/>
  <c r="I74" i="44"/>
  <c r="EX73" i="44"/>
  <c r="ER73" i="44"/>
  <c r="EI73" i="44"/>
  <c r="EG73" i="44"/>
  <c r="EO73" i="44" s="1"/>
  <c r="EA73" i="44"/>
  <c r="DY73" i="44"/>
  <c r="DR73" i="44"/>
  <c r="DJ73" i="44"/>
  <c r="DH73" i="44"/>
  <c r="DE73" i="44"/>
  <c r="DD73" i="44"/>
  <c r="CZ73" i="44"/>
  <c r="CY73" i="44"/>
  <c r="CX73" i="44"/>
  <c r="CW73" i="44"/>
  <c r="CS73" i="44"/>
  <c r="AP73" i="44"/>
  <c r="DW73" i="44" s="1"/>
  <c r="AN73" i="44"/>
  <c r="K73" i="44"/>
  <c r="I73" i="44"/>
  <c r="EX72" i="44"/>
  <c r="EP72" i="44"/>
  <c r="EO72" i="44"/>
  <c r="EI72" i="44"/>
  <c r="EG72" i="44"/>
  <c r="DY72" i="44"/>
  <c r="DR72" i="44"/>
  <c r="DK72" i="44"/>
  <c r="DJ72" i="44"/>
  <c r="CS72" i="44"/>
  <c r="DE72" i="44" s="1"/>
  <c r="AN72" i="44"/>
  <c r="K72" i="44"/>
  <c r="I72" i="44"/>
  <c r="EJ72" i="44" s="1"/>
  <c r="EX71" i="44"/>
  <c r="ER71" i="44"/>
  <c r="EI71" i="44"/>
  <c r="EH71" i="44"/>
  <c r="EK71" i="44" s="1"/>
  <c r="EM71" i="44" s="1"/>
  <c r="EG71" i="44"/>
  <c r="DY71" i="44"/>
  <c r="DR71" i="44"/>
  <c r="DK71" i="44"/>
  <c r="DJ71" i="44"/>
  <c r="DA71" i="44"/>
  <c r="CZ71" i="44"/>
  <c r="CY71" i="44"/>
  <c r="CX71" i="44"/>
  <c r="CW71" i="44"/>
  <c r="CU71" i="44"/>
  <c r="CS71" i="44"/>
  <c r="DE71" i="44" s="1"/>
  <c r="AN71" i="44"/>
  <c r="AP71" i="44" s="1"/>
  <c r="K71" i="44"/>
  <c r="I71" i="44"/>
  <c r="EJ71" i="44" s="1"/>
  <c r="EP71" i="44" s="1"/>
  <c r="ER70" i="44"/>
  <c r="EO70" i="44"/>
  <c r="EI70" i="44"/>
  <c r="EG70" i="44"/>
  <c r="DY70" i="44"/>
  <c r="DR70" i="44"/>
  <c r="DJ70" i="44"/>
  <c r="DE70" i="44"/>
  <c r="DA70" i="44"/>
  <c r="CZ70" i="44"/>
  <c r="CY70" i="44"/>
  <c r="CX70" i="44"/>
  <c r="CW70" i="44"/>
  <c r="CS70" i="44"/>
  <c r="AN70" i="44"/>
  <c r="K70" i="44"/>
  <c r="I70" i="44"/>
  <c r="EU69" i="44"/>
  <c r="EJ69" i="44"/>
  <c r="EP69" i="44" s="1"/>
  <c r="EI69" i="44"/>
  <c r="EH69" i="44"/>
  <c r="EG69" i="44"/>
  <c r="DY69" i="44"/>
  <c r="DR69" i="44"/>
  <c r="DK69" i="44"/>
  <c r="DZ69" i="44" s="1"/>
  <c r="DJ69" i="44"/>
  <c r="CZ69" i="44"/>
  <c r="CY69" i="44"/>
  <c r="CX69" i="44"/>
  <c r="CW69" i="44"/>
  <c r="CS69" i="44"/>
  <c r="DE69" i="44" s="1"/>
  <c r="AN69" i="44"/>
  <c r="AP69" i="44" s="1"/>
  <c r="K69" i="44"/>
  <c r="ER69" i="44" s="1"/>
  <c r="I69" i="44"/>
  <c r="EX68" i="44"/>
  <c r="EO68" i="44"/>
  <c r="EI68" i="44"/>
  <c r="EG68" i="44"/>
  <c r="DY68" i="44"/>
  <c r="DW68" i="44"/>
  <c r="DR68" i="44"/>
  <c r="DJ68" i="44"/>
  <c r="DH68" i="44"/>
  <c r="CS68" i="44"/>
  <c r="DE68" i="44" s="1"/>
  <c r="AP68" i="44"/>
  <c r="AN68" i="44"/>
  <c r="K68" i="44"/>
  <c r="I68" i="44"/>
  <c r="ER67" i="44"/>
  <c r="EO67" i="44"/>
  <c r="EI67" i="44"/>
  <c r="EG67" i="44"/>
  <c r="DY67" i="44"/>
  <c r="DR67" i="44"/>
  <c r="EX67" i="44" s="1"/>
  <c r="DJ67" i="44"/>
  <c r="DE67" i="44"/>
  <c r="CS67" i="44"/>
  <c r="AP67" i="44"/>
  <c r="AN67" i="44"/>
  <c r="K67" i="44"/>
  <c r="I67" i="44"/>
  <c r="EO66" i="44"/>
  <c r="EI66" i="44"/>
  <c r="EG66" i="44"/>
  <c r="DY66" i="44"/>
  <c r="DR66" i="44"/>
  <c r="EX66" i="44" s="1"/>
  <c r="DJ66" i="44"/>
  <c r="CS66" i="44"/>
  <c r="DE66" i="44" s="1"/>
  <c r="AN66" i="44"/>
  <c r="K66" i="44"/>
  <c r="I66" i="44"/>
  <c r="EX65" i="44"/>
  <c r="ER65" i="44"/>
  <c r="EO65" i="44"/>
  <c r="EI65" i="44"/>
  <c r="EH65" i="44"/>
  <c r="EG65" i="44"/>
  <c r="DY65" i="44"/>
  <c r="DW65" i="44"/>
  <c r="DR65" i="44"/>
  <c r="DJ65" i="44"/>
  <c r="DD65" i="44"/>
  <c r="DF65" i="44" s="1"/>
  <c r="DG65" i="44" s="1"/>
  <c r="DA65" i="44"/>
  <c r="CZ65" i="44"/>
  <c r="CY65" i="44"/>
  <c r="CX65" i="44"/>
  <c r="CW65" i="44"/>
  <c r="CS65" i="44"/>
  <c r="DE65" i="44" s="1"/>
  <c r="AN65" i="44"/>
  <c r="AP65" i="44" s="1"/>
  <c r="K65" i="44"/>
  <c r="I65" i="44"/>
  <c r="EX64" i="44"/>
  <c r="EI64" i="44"/>
  <c r="EG64" i="44"/>
  <c r="EO64" i="44" s="1"/>
  <c r="DY64" i="44"/>
  <c r="DR64" i="44"/>
  <c r="DJ64" i="44"/>
  <c r="DE64" i="44"/>
  <c r="CZ64" i="44"/>
  <c r="CY64" i="44"/>
  <c r="CS64" i="44"/>
  <c r="AN64" i="44"/>
  <c r="K64" i="44"/>
  <c r="I64" i="44"/>
  <c r="ER63" i="44"/>
  <c r="EJ63" i="44"/>
  <c r="EP63" i="44" s="1"/>
  <c r="EI63" i="44"/>
  <c r="EH63" i="44"/>
  <c r="EK63" i="44" s="1"/>
  <c r="EM63" i="44" s="1"/>
  <c r="EG63" i="44"/>
  <c r="EE63" i="44"/>
  <c r="DY63" i="44"/>
  <c r="DR63" i="44"/>
  <c r="EX63" i="44" s="1"/>
  <c r="DJ63" i="44"/>
  <c r="DE63" i="44"/>
  <c r="DD63" i="44"/>
  <c r="DF63" i="44" s="1"/>
  <c r="DA63" i="44"/>
  <c r="CZ63" i="44"/>
  <c r="CY63" i="44"/>
  <c r="CX63" i="44"/>
  <c r="CW63" i="44"/>
  <c r="CS63" i="44"/>
  <c r="AN63" i="44"/>
  <c r="K63" i="44"/>
  <c r="AP63" i="44" s="1"/>
  <c r="I63" i="44"/>
  <c r="EX62" i="44"/>
  <c r="EK62" i="44"/>
  <c r="EM62" i="44" s="1"/>
  <c r="EJ62" i="44"/>
  <c r="EP62" i="44" s="1"/>
  <c r="EI62" i="44"/>
  <c r="EH62" i="44"/>
  <c r="EG62" i="44"/>
  <c r="EE62" i="44"/>
  <c r="DY62" i="44"/>
  <c r="DR62" i="44"/>
  <c r="DK62" i="44"/>
  <c r="DZ62" i="44" s="1"/>
  <c r="DJ62" i="44"/>
  <c r="DB62" i="44"/>
  <c r="DA62" i="44"/>
  <c r="CZ62" i="44"/>
  <c r="CY62" i="44"/>
  <c r="CW62" i="44"/>
  <c r="CU62" i="44"/>
  <c r="CS62" i="44"/>
  <c r="DE62" i="44" s="1"/>
  <c r="AN62" i="44"/>
  <c r="AP62" i="44" s="1"/>
  <c r="K62" i="44"/>
  <c r="I62" i="44"/>
  <c r="EX61" i="44"/>
  <c r="EU61" i="44"/>
  <c r="ER61" i="44"/>
  <c r="EP61" i="44"/>
  <c r="EQ61" i="44" s="1"/>
  <c r="EO61" i="44"/>
  <c r="EI61" i="44"/>
  <c r="EH61" i="44"/>
  <c r="EK61" i="44" s="1"/>
  <c r="EG61" i="44"/>
  <c r="EE61" i="44"/>
  <c r="EA61" i="44"/>
  <c r="EB61" i="44" s="1"/>
  <c r="ED61" i="44" s="1"/>
  <c r="DY61" i="44"/>
  <c r="DW61" i="44"/>
  <c r="DR61" i="44"/>
  <c r="DK61" i="44"/>
  <c r="DZ61" i="44" s="1"/>
  <c r="DJ61" i="44"/>
  <c r="DH61" i="44"/>
  <c r="DA61" i="44"/>
  <c r="CY61" i="44"/>
  <c r="CX61" i="44"/>
  <c r="CW61" i="44"/>
  <c r="CS61" i="44"/>
  <c r="DE61" i="44" s="1"/>
  <c r="AP61" i="44"/>
  <c r="DD61" i="44" s="1"/>
  <c r="AN61" i="44"/>
  <c r="K61" i="44"/>
  <c r="CZ61" i="44" s="1"/>
  <c r="I61" i="44"/>
  <c r="EJ61" i="44" s="1"/>
  <c r="EU60" i="44"/>
  <c r="ER60" i="44"/>
  <c r="EO60" i="44"/>
  <c r="EI60" i="44"/>
  <c r="EH60" i="44"/>
  <c r="EG60" i="44"/>
  <c r="DY60" i="44"/>
  <c r="DR60" i="44"/>
  <c r="EX60" i="44" s="1"/>
  <c r="DJ60" i="44"/>
  <c r="DE60" i="44"/>
  <c r="CY60" i="44"/>
  <c r="CX60" i="44"/>
  <c r="CW60" i="44"/>
  <c r="CS60" i="44"/>
  <c r="AN60" i="44"/>
  <c r="AP60" i="44" s="1"/>
  <c r="EA60" i="44" s="1"/>
  <c r="K60" i="44"/>
  <c r="DA60" i="44" s="1"/>
  <c r="I60" i="44"/>
  <c r="DK60" i="44" s="1"/>
  <c r="DZ60" i="44" s="1"/>
  <c r="ER59" i="44"/>
  <c r="EO59" i="44"/>
  <c r="EI59" i="44"/>
  <c r="EH59" i="44"/>
  <c r="EG59" i="44"/>
  <c r="DY59" i="44"/>
  <c r="DR59" i="44"/>
  <c r="EX59" i="44" s="1"/>
  <c r="DJ59" i="44"/>
  <c r="DA59" i="44"/>
  <c r="CZ59" i="44"/>
  <c r="CY59" i="44"/>
  <c r="CX59" i="44"/>
  <c r="CW59" i="44"/>
  <c r="CS59" i="44"/>
  <c r="DE59" i="44" s="1"/>
  <c r="AN59" i="44"/>
  <c r="AP59" i="44" s="1"/>
  <c r="K59" i="44"/>
  <c r="I59" i="44"/>
  <c r="EO58" i="44"/>
  <c r="EI58" i="44"/>
  <c r="EG58" i="44"/>
  <c r="DY58" i="44"/>
  <c r="DR58" i="44"/>
  <c r="DJ58" i="44"/>
  <c r="CW58" i="44"/>
  <c r="CS58" i="44"/>
  <c r="DE58" i="44" s="1"/>
  <c r="AN58" i="44"/>
  <c r="K58" i="44"/>
  <c r="I58" i="44"/>
  <c r="EX57" i="44"/>
  <c r="EJ57" i="44"/>
  <c r="EP57" i="44" s="1"/>
  <c r="EI57" i="44"/>
  <c r="EG57" i="44"/>
  <c r="DZ57" i="44"/>
  <c r="DY57" i="44"/>
  <c r="DR57" i="44"/>
  <c r="DJ57" i="44"/>
  <c r="CS57" i="44"/>
  <c r="DE57" i="44" s="1"/>
  <c r="AP57" i="44"/>
  <c r="AN57" i="44"/>
  <c r="K57" i="44"/>
  <c r="I57" i="44"/>
  <c r="DK57" i="44" s="1"/>
  <c r="EU57" i="44" s="1"/>
  <c r="EJ56" i="44"/>
  <c r="EP56" i="44" s="1"/>
  <c r="EI56" i="44"/>
  <c r="EH56" i="44"/>
  <c r="EK56" i="44" s="1"/>
  <c r="EM56" i="44" s="1"/>
  <c r="EG56" i="44"/>
  <c r="DY56" i="44"/>
  <c r="DR56" i="44"/>
  <c r="DK56" i="44"/>
  <c r="DJ56" i="44"/>
  <c r="DE56" i="44"/>
  <c r="CZ56" i="44"/>
  <c r="CY56" i="44"/>
  <c r="CS56" i="44"/>
  <c r="AN56" i="44"/>
  <c r="K56" i="44"/>
  <c r="I56" i="44"/>
  <c r="EX55" i="44"/>
  <c r="ER55" i="44"/>
  <c r="EO55" i="44"/>
  <c r="EI55" i="44"/>
  <c r="EG55" i="44"/>
  <c r="DY55" i="44"/>
  <c r="DW55" i="44"/>
  <c r="DR55" i="44"/>
  <c r="DJ55" i="44"/>
  <c r="DE55" i="44"/>
  <c r="DD55" i="44"/>
  <c r="DF55" i="44" s="1"/>
  <c r="CY55" i="44"/>
  <c r="CW55" i="44"/>
  <c r="CS55" i="44"/>
  <c r="AP55" i="44"/>
  <c r="AN55" i="44"/>
  <c r="K55" i="44"/>
  <c r="I55" i="44"/>
  <c r="EX54" i="44"/>
  <c r="EO54" i="44"/>
  <c r="EI54" i="44"/>
  <c r="EG54" i="44"/>
  <c r="DY54" i="44"/>
  <c r="DR54" i="44"/>
  <c r="DJ54" i="44"/>
  <c r="DH54" i="44"/>
  <c r="DE54" i="44"/>
  <c r="DA54" i="44"/>
  <c r="CS54" i="44"/>
  <c r="AP54" i="44"/>
  <c r="AN54" i="44"/>
  <c r="K54" i="44"/>
  <c r="I54" i="44"/>
  <c r="EX53" i="44"/>
  <c r="EO53" i="44"/>
  <c r="EQ53" i="44" s="1"/>
  <c r="EJ53" i="44"/>
  <c r="EP53" i="44" s="1"/>
  <c r="EI53" i="44"/>
  <c r="EG53" i="44"/>
  <c r="DY53" i="44"/>
  <c r="DR53" i="44"/>
  <c r="DJ53" i="44"/>
  <c r="DE53" i="44"/>
  <c r="DA53" i="44"/>
  <c r="CY53" i="44"/>
  <c r="CS53" i="44"/>
  <c r="AN53" i="44"/>
  <c r="K53" i="44"/>
  <c r="I53" i="44"/>
  <c r="EJ52" i="44"/>
  <c r="EP52" i="44" s="1"/>
  <c r="EI52" i="44"/>
  <c r="EH52" i="44"/>
  <c r="EK52" i="44" s="1"/>
  <c r="EG52" i="44"/>
  <c r="EO52" i="44" s="1"/>
  <c r="EA52" i="44"/>
  <c r="DY52" i="44"/>
  <c r="DR52" i="44"/>
  <c r="DJ52" i="44"/>
  <c r="DH52" i="44"/>
  <c r="DE52" i="44"/>
  <c r="CY52" i="44"/>
  <c r="CX52" i="44"/>
  <c r="CS52" i="44"/>
  <c r="AP52" i="44"/>
  <c r="DD52" i="44" s="1"/>
  <c r="DF52" i="44" s="1"/>
  <c r="DG52" i="44" s="1"/>
  <c r="AN52" i="44"/>
  <c r="K52" i="44"/>
  <c r="I52" i="44"/>
  <c r="EX51" i="44"/>
  <c r="ER51" i="44"/>
  <c r="EJ51" i="44"/>
  <c r="EP51" i="44" s="1"/>
  <c r="EI51" i="44"/>
  <c r="EH51" i="44"/>
  <c r="EG51" i="44"/>
  <c r="EO51" i="44" s="1"/>
  <c r="EQ51" i="44" s="1"/>
  <c r="EE51" i="44"/>
  <c r="DY51" i="44"/>
  <c r="DW51" i="44"/>
  <c r="DS51" i="44"/>
  <c r="DT51" i="44" s="1"/>
  <c r="DR51" i="44"/>
  <c r="DL51" i="44" s="1"/>
  <c r="DM51" i="44" s="1"/>
  <c r="DN51" i="44" s="1"/>
  <c r="DK51" i="44"/>
  <c r="DJ51" i="44"/>
  <c r="DF51" i="44"/>
  <c r="DG51" i="44" s="1"/>
  <c r="DD51" i="44"/>
  <c r="DA51" i="44"/>
  <c r="CZ51" i="44"/>
  <c r="CY51" i="44"/>
  <c r="CX51" i="44"/>
  <c r="CW51" i="44"/>
  <c r="CU51" i="44"/>
  <c r="CS51" i="44"/>
  <c r="DE51" i="44" s="1"/>
  <c r="AP51" i="44"/>
  <c r="EA51" i="44" s="1"/>
  <c r="AN51" i="44"/>
  <c r="K51" i="44"/>
  <c r="I51" i="44"/>
  <c r="ER50" i="44"/>
  <c r="EJ50" i="44"/>
  <c r="EP50" i="44" s="1"/>
  <c r="EI50" i="44"/>
  <c r="EH50" i="44"/>
  <c r="EG50" i="44"/>
  <c r="DY50" i="44"/>
  <c r="DR50" i="44"/>
  <c r="EX50" i="44" s="1"/>
  <c r="DK50" i="44"/>
  <c r="DJ50" i="44"/>
  <c r="DE50" i="44"/>
  <c r="DA50" i="44"/>
  <c r="CZ50" i="44"/>
  <c r="CY50" i="44"/>
  <c r="CX50" i="44"/>
  <c r="CW50" i="44"/>
  <c r="CS50" i="44"/>
  <c r="AN50" i="44"/>
  <c r="K50" i="44"/>
  <c r="I50" i="44"/>
  <c r="ER49" i="44"/>
  <c r="EK49" i="44"/>
  <c r="EM49" i="44" s="1"/>
  <c r="EJ49" i="44"/>
  <c r="EP49" i="44" s="1"/>
  <c r="EI49" i="44"/>
  <c r="EH49" i="44"/>
  <c r="EG49" i="44"/>
  <c r="DZ49" i="44"/>
  <c r="DY49" i="44"/>
  <c r="DR49" i="44"/>
  <c r="EX49" i="44" s="1"/>
  <c r="DK49" i="44"/>
  <c r="EU49" i="44" s="1"/>
  <c r="DJ49" i="44"/>
  <c r="DA49" i="44"/>
  <c r="CZ49" i="44"/>
  <c r="CY49" i="44"/>
  <c r="CX49" i="44"/>
  <c r="CW49" i="44"/>
  <c r="CS49" i="44"/>
  <c r="DE49" i="44" s="1"/>
  <c r="AP49" i="44"/>
  <c r="AN49" i="44"/>
  <c r="K49" i="44"/>
  <c r="I49" i="44"/>
  <c r="EX48" i="44"/>
  <c r="EO48" i="44"/>
  <c r="EJ48" i="44"/>
  <c r="EP48" i="44" s="1"/>
  <c r="EI48" i="44"/>
  <c r="EH48" i="44"/>
  <c r="EG48" i="44"/>
  <c r="DY48" i="44"/>
  <c r="DR48" i="44"/>
  <c r="DK48" i="44"/>
  <c r="EU48" i="44" s="1"/>
  <c r="DJ48" i="44"/>
  <c r="DH48" i="44"/>
  <c r="DA48" i="44"/>
  <c r="CY48" i="44"/>
  <c r="CU48" i="44"/>
  <c r="CS48" i="44"/>
  <c r="DE48" i="44" s="1"/>
  <c r="AN48" i="44"/>
  <c r="AP48" i="44" s="1"/>
  <c r="K48" i="44"/>
  <c r="I48" i="44"/>
  <c r="EX47" i="44"/>
  <c r="EO47" i="44"/>
  <c r="EI47" i="44"/>
  <c r="EH47" i="44"/>
  <c r="EG47" i="44"/>
  <c r="DY47" i="44"/>
  <c r="DR47" i="44"/>
  <c r="DJ47" i="44"/>
  <c r="CS47" i="44"/>
  <c r="DE47" i="44" s="1"/>
  <c r="AN47" i="44"/>
  <c r="K47" i="44"/>
  <c r="I47" i="44"/>
  <c r="ER46" i="44"/>
  <c r="EI46" i="44"/>
  <c r="EG46" i="44"/>
  <c r="EO46" i="44" s="1"/>
  <c r="EA46" i="44"/>
  <c r="DY46" i="44"/>
  <c r="DR46" i="44"/>
  <c r="EX46" i="44" s="1"/>
  <c r="DJ46" i="44"/>
  <c r="DE46" i="44"/>
  <c r="CX46" i="44"/>
  <c r="CS46" i="44"/>
  <c r="AN46" i="44"/>
  <c r="AP46" i="44" s="1"/>
  <c r="K46" i="44"/>
  <c r="I46" i="44"/>
  <c r="ER45" i="44"/>
  <c r="EO45" i="44"/>
  <c r="EI45" i="44"/>
  <c r="EH45" i="44"/>
  <c r="EG45" i="44"/>
  <c r="DY45" i="44"/>
  <c r="DW45" i="44"/>
  <c r="DR45" i="44"/>
  <c r="DJ45" i="44"/>
  <c r="DD45" i="44"/>
  <c r="DF45" i="44" s="1"/>
  <c r="DG45" i="44" s="1"/>
  <c r="DA45" i="44"/>
  <c r="CZ45" i="44"/>
  <c r="CY45" i="44"/>
  <c r="CX45" i="44"/>
  <c r="CW45" i="44"/>
  <c r="CU45" i="44"/>
  <c r="CS45" i="44"/>
  <c r="DE45" i="44" s="1"/>
  <c r="AN45" i="44"/>
  <c r="AP45" i="44" s="1"/>
  <c r="EA45" i="44" s="1"/>
  <c r="K45" i="44"/>
  <c r="I45" i="44"/>
  <c r="ER44" i="44"/>
  <c r="EO44" i="44"/>
  <c r="EI44" i="44"/>
  <c r="EH44" i="44"/>
  <c r="EG44" i="44"/>
  <c r="DY44" i="44"/>
  <c r="DR44" i="44"/>
  <c r="DJ44" i="44"/>
  <c r="DE44" i="44"/>
  <c r="DA44" i="44"/>
  <c r="CS44" i="44"/>
  <c r="AN44" i="44"/>
  <c r="K44" i="44"/>
  <c r="I44" i="44"/>
  <c r="EX43" i="44"/>
  <c r="EJ43" i="44"/>
  <c r="EP43" i="44" s="1"/>
  <c r="EI43" i="44"/>
  <c r="EG43" i="44"/>
  <c r="DZ43" i="44"/>
  <c r="DY43" i="44"/>
  <c r="DR43" i="44"/>
  <c r="DJ43" i="44"/>
  <c r="DE43" i="44"/>
  <c r="CS43" i="44"/>
  <c r="AN43" i="44"/>
  <c r="K43" i="44"/>
  <c r="I43" i="44"/>
  <c r="DK43" i="44" s="1"/>
  <c r="EU43" i="44" s="1"/>
  <c r="EO42" i="44"/>
  <c r="EQ42" i="44" s="1"/>
  <c r="EJ42" i="44"/>
  <c r="EP42" i="44" s="1"/>
  <c r="EI42" i="44"/>
  <c r="EH42" i="44"/>
  <c r="EK42" i="44" s="1"/>
  <c r="EG42" i="44"/>
  <c r="DY42" i="44"/>
  <c r="DR42" i="44"/>
  <c r="DK42" i="44"/>
  <c r="DJ42" i="44"/>
  <c r="DE42" i="44"/>
  <c r="CY42" i="44"/>
  <c r="CW42" i="44"/>
  <c r="CS42" i="44"/>
  <c r="AN42" i="44"/>
  <c r="K42" i="44"/>
  <c r="I42" i="44"/>
  <c r="EX41" i="44"/>
  <c r="ER41" i="44"/>
  <c r="EO41" i="44"/>
  <c r="EI41" i="44"/>
  <c r="EH41" i="44"/>
  <c r="EG41" i="44"/>
  <c r="EE41" i="44"/>
  <c r="DY41" i="44"/>
  <c r="DW41" i="44"/>
  <c r="DR41" i="44"/>
  <c r="DJ41" i="44"/>
  <c r="DE41" i="44"/>
  <c r="DB41" i="44"/>
  <c r="DA41" i="44"/>
  <c r="CY41" i="44"/>
  <c r="CX41" i="44"/>
  <c r="CW41" i="44"/>
  <c r="CU41" i="44"/>
  <c r="EV41" i="44" s="1"/>
  <c r="CS41" i="44"/>
  <c r="AN41" i="44"/>
  <c r="AP41" i="44" s="1"/>
  <c r="K41" i="44"/>
  <c r="CZ41" i="44" s="1"/>
  <c r="I41" i="44"/>
  <c r="EV40" i="44"/>
  <c r="EU40" i="44"/>
  <c r="ER40" i="44"/>
  <c r="EI40" i="44"/>
  <c r="EH40" i="44"/>
  <c r="EG40" i="44"/>
  <c r="EE40" i="44"/>
  <c r="ED40" i="44"/>
  <c r="EB40" i="44"/>
  <c r="EA40" i="44"/>
  <c r="DZ40" i="44"/>
  <c r="DY40" i="44"/>
  <c r="DR40" i="44"/>
  <c r="DJ40" i="44"/>
  <c r="DH40" i="44"/>
  <c r="DD40" i="44"/>
  <c r="DF40" i="44" s="1"/>
  <c r="DG40" i="44" s="1"/>
  <c r="DB40" i="44"/>
  <c r="DA40" i="44"/>
  <c r="CZ40" i="44"/>
  <c r="CY40" i="44"/>
  <c r="CX40" i="44"/>
  <c r="CW40" i="44"/>
  <c r="CU40" i="44"/>
  <c r="CS40" i="44"/>
  <c r="DE40" i="44" s="1"/>
  <c r="AN40" i="44"/>
  <c r="AP40" i="44" s="1"/>
  <c r="DW40" i="44" s="1"/>
  <c r="K40" i="44"/>
  <c r="I40" i="44"/>
  <c r="EU39" i="44"/>
  <c r="ER39" i="44"/>
  <c r="EK39" i="44"/>
  <c r="EM39" i="44" s="1"/>
  <c r="EJ39" i="44"/>
  <c r="EP39" i="44" s="1"/>
  <c r="EI39" i="44"/>
  <c r="EH39" i="44"/>
  <c r="EG39" i="44"/>
  <c r="DZ39" i="44"/>
  <c r="DY39" i="44"/>
  <c r="DR39" i="44"/>
  <c r="DJ39" i="44"/>
  <c r="DE39" i="44"/>
  <c r="DA39" i="44"/>
  <c r="CY39" i="44"/>
  <c r="CX39" i="44"/>
  <c r="CW39" i="44"/>
  <c r="CS39" i="44"/>
  <c r="AN39" i="44"/>
  <c r="K39" i="44"/>
  <c r="I39" i="44"/>
  <c r="EU38" i="44"/>
  <c r="EJ38" i="44"/>
  <c r="EP38" i="44" s="1"/>
  <c r="EI38" i="44"/>
  <c r="EG38" i="44"/>
  <c r="EO38" i="44" s="1"/>
  <c r="DY38" i="44"/>
  <c r="DR38" i="44"/>
  <c r="EX38" i="44" s="1"/>
  <c r="DJ38" i="44"/>
  <c r="DE38" i="44"/>
  <c r="DA38" i="44"/>
  <c r="CZ38" i="44"/>
  <c r="CY38" i="44"/>
  <c r="CX38" i="44"/>
  <c r="CS38" i="44"/>
  <c r="AN38" i="44"/>
  <c r="K38" i="44"/>
  <c r="I38" i="44"/>
  <c r="DK38" i="44" s="1"/>
  <c r="DZ38" i="44" s="1"/>
  <c r="EU37" i="44"/>
  <c r="EI37" i="44"/>
  <c r="EH37" i="44"/>
  <c r="EG37" i="44"/>
  <c r="EO37" i="44" s="1"/>
  <c r="DZ37" i="44"/>
  <c r="DY37" i="44"/>
  <c r="DR37" i="44"/>
  <c r="DJ37" i="44"/>
  <c r="DE37" i="44"/>
  <c r="CS37" i="44"/>
  <c r="AN37" i="44"/>
  <c r="K37" i="44"/>
  <c r="I37" i="44"/>
  <c r="EU36" i="44"/>
  <c r="EO36" i="44"/>
  <c r="EI36" i="44"/>
  <c r="EG36" i="44"/>
  <c r="DZ36" i="44"/>
  <c r="DY36" i="44"/>
  <c r="DR36" i="44"/>
  <c r="DJ36" i="44"/>
  <c r="CS36" i="44"/>
  <c r="DE36" i="44" s="1"/>
  <c r="AN36" i="44"/>
  <c r="K36" i="44"/>
  <c r="I36" i="44"/>
  <c r="EJ36" i="44" s="1"/>
  <c r="EP36" i="44" s="1"/>
  <c r="EX35" i="44"/>
  <c r="ER35" i="44"/>
  <c r="EO35" i="44"/>
  <c r="EQ35" i="44" s="1"/>
  <c r="EI35" i="44"/>
  <c r="EG35" i="44"/>
  <c r="EA35" i="44"/>
  <c r="DY35" i="44"/>
  <c r="DW35" i="44"/>
  <c r="DR35" i="44"/>
  <c r="DJ35" i="44"/>
  <c r="CX35" i="44"/>
  <c r="CW35" i="44"/>
  <c r="CS35" i="44"/>
  <c r="DE35" i="44" s="1"/>
  <c r="AP35" i="44"/>
  <c r="AN35" i="44"/>
  <c r="K35" i="44"/>
  <c r="I35" i="44"/>
  <c r="EJ35" i="44" s="1"/>
  <c r="EP35" i="44" s="1"/>
  <c r="EX34" i="44"/>
  <c r="EU34" i="44"/>
  <c r="ER34" i="44"/>
  <c r="EI34" i="44"/>
  <c r="EG34" i="44"/>
  <c r="EO34" i="44" s="1"/>
  <c r="EQ34" i="44" s="1"/>
  <c r="DZ34" i="44"/>
  <c r="DY34" i="44"/>
  <c r="DR34" i="44"/>
  <c r="DK34" i="44"/>
  <c r="DJ34" i="44"/>
  <c r="CZ34" i="44"/>
  <c r="CY34" i="44"/>
  <c r="CS34" i="44"/>
  <c r="DE34" i="44" s="1"/>
  <c r="AN34" i="44"/>
  <c r="K34" i="44"/>
  <c r="I34" i="44"/>
  <c r="EJ34" i="44" s="1"/>
  <c r="EP34" i="44" s="1"/>
  <c r="EX33" i="44"/>
  <c r="EU33" i="44"/>
  <c r="ER33" i="44"/>
  <c r="EP33" i="44"/>
  <c r="EI33" i="44"/>
  <c r="EH33" i="44"/>
  <c r="EG33" i="44"/>
  <c r="EA33" i="44"/>
  <c r="EB33" i="44" s="1"/>
  <c r="ED33" i="44" s="1"/>
  <c r="DY33" i="44"/>
  <c r="DR33" i="44"/>
  <c r="DK33" i="44"/>
  <c r="DZ33" i="44" s="1"/>
  <c r="DJ33" i="44"/>
  <c r="DH33" i="44"/>
  <c r="DA33" i="44"/>
  <c r="CZ33" i="44"/>
  <c r="CY33" i="44"/>
  <c r="CX33" i="44"/>
  <c r="CW33" i="44"/>
  <c r="CU33" i="44"/>
  <c r="DB33" i="44" s="1"/>
  <c r="CS33" i="44"/>
  <c r="DE33" i="44" s="1"/>
  <c r="AP33" i="44"/>
  <c r="AN33" i="44"/>
  <c r="K33" i="44"/>
  <c r="I33" i="44"/>
  <c r="EJ33" i="44" s="1"/>
  <c r="EI32" i="44"/>
  <c r="EG32" i="44"/>
  <c r="DY32" i="44"/>
  <c r="DR32" i="44"/>
  <c r="DJ32" i="44"/>
  <c r="DE32" i="44"/>
  <c r="CS32" i="44"/>
  <c r="AN32" i="44"/>
  <c r="K32" i="44"/>
  <c r="ER32" i="44" s="1"/>
  <c r="I32" i="44"/>
  <c r="EX31" i="44"/>
  <c r="ER31" i="44"/>
  <c r="EJ31" i="44"/>
  <c r="EP31" i="44" s="1"/>
  <c r="EI31" i="44"/>
  <c r="EG31" i="44"/>
  <c r="DY31" i="44"/>
  <c r="DR31" i="44"/>
  <c r="DJ31" i="44"/>
  <c r="DE31" i="44"/>
  <c r="DA31" i="44"/>
  <c r="CS31" i="44"/>
  <c r="AN31" i="44"/>
  <c r="K31" i="44"/>
  <c r="I31" i="44"/>
  <c r="EX30" i="44"/>
  <c r="EI30" i="44"/>
  <c r="EH30" i="44"/>
  <c r="EG30" i="44"/>
  <c r="EA30" i="44"/>
  <c r="DY30" i="44"/>
  <c r="DR30" i="44"/>
  <c r="DJ30" i="44"/>
  <c r="DE30" i="44"/>
  <c r="DA30" i="44"/>
  <c r="CZ30" i="44"/>
  <c r="CS30" i="44"/>
  <c r="AN30" i="44"/>
  <c r="K30" i="44"/>
  <c r="AP30" i="44" s="1"/>
  <c r="I30" i="44"/>
  <c r="EX29" i="44"/>
  <c r="ER29" i="44"/>
  <c r="EP29" i="44"/>
  <c r="EQ29" i="44" s="1"/>
  <c r="EO29" i="44"/>
  <c r="EJ29" i="44"/>
  <c r="EI29" i="44"/>
  <c r="EG29" i="44"/>
  <c r="DY29" i="44"/>
  <c r="DR29" i="44"/>
  <c r="DK29" i="44"/>
  <c r="DJ29" i="44"/>
  <c r="CX29" i="44"/>
  <c r="CW29" i="44"/>
  <c r="CS29" i="44"/>
  <c r="DE29" i="44" s="1"/>
  <c r="AP29" i="44"/>
  <c r="AN29" i="44"/>
  <c r="K29" i="44"/>
  <c r="I29" i="44"/>
  <c r="EX28" i="44"/>
  <c r="EO28" i="44"/>
  <c r="EJ28" i="44"/>
  <c r="EP28" i="44" s="1"/>
  <c r="EI28" i="44"/>
  <c r="EG28" i="44"/>
  <c r="DY28" i="44"/>
  <c r="DR28" i="44"/>
  <c r="DK28" i="44"/>
  <c r="DJ28" i="44"/>
  <c r="CS28" i="44"/>
  <c r="DE28" i="44" s="1"/>
  <c r="AN28" i="44"/>
  <c r="K28" i="44"/>
  <c r="I28" i="44"/>
  <c r="EX27" i="44"/>
  <c r="EU27" i="44"/>
  <c r="ER27" i="44"/>
  <c r="EM27" i="44"/>
  <c r="EI27" i="44"/>
  <c r="EH27" i="44"/>
  <c r="EK27" i="44" s="1"/>
  <c r="EG27" i="44"/>
  <c r="DZ27" i="44"/>
  <c r="DY27" i="44"/>
  <c r="DR27" i="44"/>
  <c r="DK27" i="44"/>
  <c r="DJ27" i="44"/>
  <c r="DE27" i="44"/>
  <c r="CY27" i="44"/>
  <c r="CW27" i="44"/>
  <c r="CS27" i="44"/>
  <c r="AN27" i="44"/>
  <c r="AP27" i="44" s="1"/>
  <c r="EA27" i="44" s="1"/>
  <c r="K27" i="44"/>
  <c r="I27" i="44"/>
  <c r="EJ27" i="44" s="1"/>
  <c r="EP27" i="44" s="1"/>
  <c r="EX26" i="44"/>
  <c r="ER26" i="44"/>
  <c r="EJ26" i="44"/>
  <c r="EP26" i="44" s="1"/>
  <c r="EI26" i="44"/>
  <c r="EG26" i="44"/>
  <c r="EA26" i="44"/>
  <c r="DZ26" i="44"/>
  <c r="DY26" i="44"/>
  <c r="DR26" i="44"/>
  <c r="DJ26" i="44"/>
  <c r="DE26" i="44"/>
  <c r="DD26" i="44"/>
  <c r="DF26" i="44" s="1"/>
  <c r="DA26" i="44"/>
  <c r="CX26" i="44"/>
  <c r="CW26" i="44"/>
  <c r="CS26" i="44"/>
  <c r="AP26" i="44"/>
  <c r="EE26" i="44" s="1"/>
  <c r="AN26" i="44"/>
  <c r="K26" i="44"/>
  <c r="I26" i="44"/>
  <c r="DK26" i="44" s="1"/>
  <c r="EU26" i="44" s="1"/>
  <c r="EI25" i="44"/>
  <c r="EG25" i="44"/>
  <c r="EO25" i="44" s="1"/>
  <c r="DY25" i="44"/>
  <c r="DW25" i="44"/>
  <c r="DR25" i="44"/>
  <c r="EX25" i="44" s="1"/>
  <c r="DJ25" i="44"/>
  <c r="DF25" i="44"/>
  <c r="DE25" i="44"/>
  <c r="DD25" i="44"/>
  <c r="DA25" i="44"/>
  <c r="CS25" i="44"/>
  <c r="AP25" i="44"/>
  <c r="EE25" i="44" s="1"/>
  <c r="AN25" i="44"/>
  <c r="K25" i="44"/>
  <c r="I25" i="44"/>
  <c r="EX24" i="44"/>
  <c r="ER24" i="44"/>
  <c r="EO24" i="44"/>
  <c r="EI24" i="44"/>
  <c r="EG24" i="44"/>
  <c r="DY24" i="44"/>
  <c r="DR24" i="44"/>
  <c r="DJ24" i="44"/>
  <c r="DE24" i="44"/>
  <c r="DA24" i="44"/>
  <c r="CZ24" i="44"/>
  <c r="CS24" i="44"/>
  <c r="AN24" i="44"/>
  <c r="K24" i="44"/>
  <c r="I24" i="44"/>
  <c r="EX23" i="44"/>
  <c r="EP23" i="44"/>
  <c r="EO23" i="44"/>
  <c r="EJ23" i="44"/>
  <c r="EI23" i="44"/>
  <c r="EG23" i="44"/>
  <c r="DY23" i="44"/>
  <c r="DR23" i="44"/>
  <c r="DK23" i="44"/>
  <c r="DJ23" i="44"/>
  <c r="DE23" i="44"/>
  <c r="DA23" i="44"/>
  <c r="CZ23" i="44"/>
  <c r="CW23" i="44"/>
  <c r="CS23" i="44"/>
  <c r="AN23" i="44"/>
  <c r="K23" i="44"/>
  <c r="EH23" i="44" s="1"/>
  <c r="EK23" i="44" s="1"/>
  <c r="EM23" i="44" s="1"/>
  <c r="I23" i="44"/>
  <c r="EX22" i="44"/>
  <c r="EI22" i="44"/>
  <c r="EG22" i="44"/>
  <c r="EO22" i="44" s="1"/>
  <c r="DY22" i="44"/>
  <c r="DR22" i="44"/>
  <c r="DJ22" i="44"/>
  <c r="CZ22" i="44"/>
  <c r="CY22" i="44"/>
  <c r="CS22" i="44"/>
  <c r="DE22" i="44" s="1"/>
  <c r="AN22" i="44"/>
  <c r="K22" i="44"/>
  <c r="I22" i="44"/>
  <c r="EX21" i="44"/>
  <c r="EU21" i="44"/>
  <c r="ER21" i="44"/>
  <c r="EP21" i="44"/>
  <c r="EI21" i="44"/>
  <c r="EH21" i="44"/>
  <c r="EK21" i="44" s="1"/>
  <c r="EG21" i="44"/>
  <c r="EO21" i="44" s="1"/>
  <c r="DZ21" i="44"/>
  <c r="DY21" i="44"/>
  <c r="DR21" i="44"/>
  <c r="DK21" i="44"/>
  <c r="DJ21" i="44"/>
  <c r="DA21" i="44"/>
  <c r="CZ21" i="44"/>
  <c r="CY21" i="44"/>
  <c r="CX21" i="44"/>
  <c r="CW21" i="44"/>
  <c r="CS21" i="44"/>
  <c r="DE21" i="44" s="1"/>
  <c r="AN21" i="44"/>
  <c r="AP21" i="44" s="1"/>
  <c r="EA21" i="44" s="1"/>
  <c r="K21" i="44"/>
  <c r="I21" i="44"/>
  <c r="EJ21" i="44" s="1"/>
  <c r="EX20" i="44"/>
  <c r="EU20" i="44"/>
  <c r="EO20" i="44"/>
  <c r="EJ20" i="44"/>
  <c r="EP20" i="44" s="1"/>
  <c r="EI20" i="44"/>
  <c r="EG20" i="44"/>
  <c r="DZ20" i="44"/>
  <c r="DY20" i="44"/>
  <c r="DR20" i="44"/>
  <c r="DK20" i="44"/>
  <c r="DJ20" i="44"/>
  <c r="DE20" i="44"/>
  <c r="CS20" i="44"/>
  <c r="AN20" i="44"/>
  <c r="K20" i="44"/>
  <c r="I20" i="44"/>
  <c r="EX19" i="44"/>
  <c r="EP19" i="44"/>
  <c r="EJ19" i="44"/>
  <c r="EI19" i="44"/>
  <c r="EG19" i="44"/>
  <c r="DY19" i="44"/>
  <c r="DR19" i="44"/>
  <c r="DK19" i="44"/>
  <c r="DZ19" i="44" s="1"/>
  <c r="DJ19" i="44"/>
  <c r="DE19" i="44"/>
  <c r="CS19" i="44"/>
  <c r="AN19" i="44"/>
  <c r="K19" i="44"/>
  <c r="EH19" i="44" s="1"/>
  <c r="EK19" i="44" s="1"/>
  <c r="EM19" i="44" s="1"/>
  <c r="I19" i="44"/>
  <c r="EX18" i="44"/>
  <c r="ER18" i="44"/>
  <c r="EP18" i="44"/>
  <c r="EJ18" i="44"/>
  <c r="EI18" i="44"/>
  <c r="EH18" i="44"/>
  <c r="EK18" i="44" s="1"/>
  <c r="EM18" i="44" s="1"/>
  <c r="EG18" i="44"/>
  <c r="DY18" i="44"/>
  <c r="DR18" i="44"/>
  <c r="DJ18" i="44"/>
  <c r="DH18" i="44"/>
  <c r="DA18" i="44"/>
  <c r="CZ18" i="44"/>
  <c r="CY18" i="44"/>
  <c r="CX18" i="44"/>
  <c r="CW18" i="44"/>
  <c r="CS18" i="44"/>
  <c r="DE18" i="44" s="1"/>
  <c r="AP18" i="44"/>
  <c r="AN18" i="44"/>
  <c r="K18" i="44"/>
  <c r="I18" i="44"/>
  <c r="EX17" i="44"/>
  <c r="EU17" i="44"/>
  <c r="ER17" i="44"/>
  <c r="EP17" i="44"/>
  <c r="EJ17" i="44"/>
  <c r="EI17" i="44"/>
  <c r="EG17" i="44"/>
  <c r="EO17" i="44" s="1"/>
  <c r="EE17" i="44"/>
  <c r="DY17" i="44"/>
  <c r="DW17" i="44"/>
  <c r="DR17" i="44"/>
  <c r="DK17" i="44"/>
  <c r="DZ17" i="44" s="1"/>
  <c r="DJ17" i="44"/>
  <c r="DE17" i="44"/>
  <c r="DD17" i="44"/>
  <c r="DF17" i="44" s="1"/>
  <c r="DB17" i="44"/>
  <c r="DA17" i="44"/>
  <c r="CZ17" i="44"/>
  <c r="CU17" i="44"/>
  <c r="EW17" i="44" s="1"/>
  <c r="EZ17" i="44" s="1"/>
  <c r="FA17" i="44" s="1"/>
  <c r="CS17" i="44"/>
  <c r="AN17" i="44"/>
  <c r="K17" i="44"/>
  <c r="AP17" i="44" s="1"/>
  <c r="DH17" i="44" s="1"/>
  <c r="I17" i="44"/>
  <c r="EX16" i="44"/>
  <c r="EI16" i="44"/>
  <c r="EH16" i="44"/>
  <c r="EG16" i="44"/>
  <c r="DY16" i="44"/>
  <c r="DR16" i="44"/>
  <c r="DJ16" i="44"/>
  <c r="CS16" i="44"/>
  <c r="DE16" i="44" s="1"/>
  <c r="AP16" i="44"/>
  <c r="EE16" i="44" s="1"/>
  <c r="AN16" i="44"/>
  <c r="K16" i="44"/>
  <c r="I16" i="44"/>
  <c r="EU15" i="44"/>
  <c r="EP15" i="44"/>
  <c r="EO15" i="44"/>
  <c r="EQ15" i="44" s="1"/>
  <c r="EI15" i="44"/>
  <c r="EH15" i="44"/>
  <c r="EG15" i="44"/>
  <c r="DZ15" i="44"/>
  <c r="DY15" i="44"/>
  <c r="DW15" i="44"/>
  <c r="DR15" i="44"/>
  <c r="DJ15" i="44"/>
  <c r="DA15" i="44"/>
  <c r="CZ15" i="44"/>
  <c r="CY15" i="44"/>
  <c r="CU15" i="44"/>
  <c r="CS15" i="44"/>
  <c r="DE15" i="44" s="1"/>
  <c r="AN15" i="44"/>
  <c r="AP15" i="44" s="1"/>
  <c r="K15" i="44"/>
  <c r="I15" i="44"/>
  <c r="EJ15" i="44" s="1"/>
  <c r="EK15" i="44" s="1"/>
  <c r="EX14" i="44"/>
  <c r="ER14" i="44"/>
  <c r="EO14" i="44"/>
  <c r="EI14" i="44"/>
  <c r="EG14" i="44"/>
  <c r="DY14" i="44"/>
  <c r="DR14" i="44"/>
  <c r="DJ14" i="44"/>
  <c r="DE14" i="44"/>
  <c r="CS14" i="44"/>
  <c r="AN14" i="44"/>
  <c r="K14" i="44"/>
  <c r="I14" i="44"/>
  <c r="ER13" i="44"/>
  <c r="EJ13" i="44"/>
  <c r="EP13" i="44" s="1"/>
  <c r="EI13" i="44"/>
  <c r="EG13" i="44"/>
  <c r="DY13" i="44"/>
  <c r="DR13" i="44"/>
  <c r="EX13" i="44" s="1"/>
  <c r="DK13" i="44"/>
  <c r="DJ13" i="44"/>
  <c r="CZ13" i="44"/>
  <c r="CY13" i="44"/>
  <c r="CX13" i="44"/>
  <c r="CW13" i="44"/>
  <c r="CS13" i="44"/>
  <c r="DE13" i="44" s="1"/>
  <c r="AP13" i="44"/>
  <c r="EE13" i="44" s="1"/>
  <c r="AN13" i="44"/>
  <c r="K13" i="44"/>
  <c r="I13" i="44"/>
  <c r="EX12" i="44"/>
  <c r="EU12" i="44"/>
  <c r="ER12" i="44"/>
  <c r="EQ12" i="44"/>
  <c r="EP12" i="44"/>
  <c r="EO12" i="44"/>
  <c r="EI12" i="44"/>
  <c r="EH12" i="44"/>
  <c r="EG12" i="44"/>
  <c r="EA12" i="44"/>
  <c r="DZ12" i="44"/>
  <c r="EB12" i="44" s="1"/>
  <c r="DY12" i="44"/>
  <c r="DR12" i="44"/>
  <c r="DK12" i="44"/>
  <c r="DJ12" i="44"/>
  <c r="DA12" i="44"/>
  <c r="CZ12" i="44"/>
  <c r="CY12" i="44"/>
  <c r="CX12" i="44"/>
  <c r="CW12" i="44"/>
  <c r="CS12" i="44"/>
  <c r="DE12" i="44" s="1"/>
  <c r="AN12" i="44"/>
  <c r="AP12" i="44" s="1"/>
  <c r="K12" i="44"/>
  <c r="I12" i="44"/>
  <c r="EJ12" i="44" s="1"/>
  <c r="EX11" i="44"/>
  <c r="EJ11" i="44"/>
  <c r="EP11" i="44" s="1"/>
  <c r="EI11" i="44"/>
  <c r="EK11" i="44" s="1"/>
  <c r="EM11" i="44" s="1"/>
  <c r="EH11" i="44"/>
  <c r="EG11" i="44"/>
  <c r="DY11" i="44"/>
  <c r="DR11" i="44"/>
  <c r="DJ11" i="44"/>
  <c r="DE11" i="44"/>
  <c r="DA11" i="44"/>
  <c r="CZ11" i="44"/>
  <c r="CY11" i="44"/>
  <c r="CX11" i="44"/>
  <c r="CW11" i="44"/>
  <c r="CS11" i="44"/>
  <c r="AN11" i="44"/>
  <c r="K11" i="44"/>
  <c r="AP11" i="44" s="1"/>
  <c r="DW11" i="44" s="1"/>
  <c r="I11" i="44"/>
  <c r="EX10" i="44"/>
  <c r="EU10" i="44"/>
  <c r="ER10" i="44"/>
  <c r="EJ10" i="44"/>
  <c r="EP10" i="44" s="1"/>
  <c r="EI10" i="44"/>
  <c r="EG10" i="44"/>
  <c r="EE10" i="44"/>
  <c r="DY10" i="44"/>
  <c r="DR10" i="44"/>
  <c r="DK10" i="44"/>
  <c r="DZ10" i="44" s="1"/>
  <c r="DJ10" i="44"/>
  <c r="DE10" i="44"/>
  <c r="CS10" i="44"/>
  <c r="AP10" i="44"/>
  <c r="AN10" i="44"/>
  <c r="K10" i="44"/>
  <c r="I10" i="44"/>
  <c r="EX9" i="44"/>
  <c r="EO9" i="44"/>
  <c r="EI9" i="44"/>
  <c r="EG9" i="44"/>
  <c r="DY9" i="44"/>
  <c r="DR9" i="44"/>
  <c r="DJ9" i="44"/>
  <c r="DE9" i="44"/>
  <c r="DA9" i="44"/>
  <c r="CZ9" i="44"/>
  <c r="CS9" i="44"/>
  <c r="AP9" i="44"/>
  <c r="AN9" i="44"/>
  <c r="K9" i="44"/>
  <c r="I9" i="44"/>
  <c r="DK9" i="44" s="1"/>
  <c r="EU9" i="44" s="1"/>
  <c r="EX8" i="44"/>
  <c r="ER8" i="44"/>
  <c r="EO8" i="44"/>
  <c r="EJ8" i="44"/>
  <c r="EP8" i="44" s="1"/>
  <c r="EI8" i="44"/>
  <c r="EH8" i="44"/>
  <c r="EG8" i="44"/>
  <c r="DY8" i="44"/>
  <c r="DR8" i="44"/>
  <c r="DK8" i="44"/>
  <c r="DJ8" i="44"/>
  <c r="DA8" i="44"/>
  <c r="CX8" i="44"/>
  <c r="CW8" i="44"/>
  <c r="CS8" i="44"/>
  <c r="DE8" i="44" s="1"/>
  <c r="AN8" i="44"/>
  <c r="AP8" i="44" s="1"/>
  <c r="K8" i="44"/>
  <c r="I8" i="44"/>
  <c r="EO7" i="44"/>
  <c r="EI7" i="44"/>
  <c r="EG7" i="44"/>
  <c r="DY7" i="44"/>
  <c r="DR7" i="44"/>
  <c r="EX7" i="44" s="1"/>
  <c r="DJ7" i="44"/>
  <c r="DE7" i="44"/>
  <c r="CS7" i="44"/>
  <c r="AN7" i="44"/>
  <c r="K7" i="44"/>
  <c r="I7" i="44"/>
  <c r="EX6" i="44"/>
  <c r="ER6" i="44"/>
  <c r="EI6" i="44"/>
  <c r="EH6" i="44"/>
  <c r="EG6" i="44"/>
  <c r="EO6" i="44" s="1"/>
  <c r="DY6" i="44"/>
  <c r="DR6" i="44"/>
  <c r="DJ6" i="44"/>
  <c r="DA6" i="44"/>
  <c r="CZ6" i="44"/>
  <c r="CY6" i="44"/>
  <c r="CX6" i="44"/>
  <c r="CW6" i="44"/>
  <c r="CS6" i="44"/>
  <c r="DE6" i="44" s="1"/>
  <c r="AN6" i="44"/>
  <c r="AP6" i="44" s="1"/>
  <c r="EE6" i="44" s="1"/>
  <c r="K6" i="44"/>
  <c r="I6" i="44"/>
  <c r="EJ6" i="44" s="1"/>
  <c r="EP6" i="44" s="1"/>
  <c r="EJ5" i="44"/>
  <c r="EP5" i="44" s="1"/>
  <c r="EI5" i="44"/>
  <c r="EH5" i="44"/>
  <c r="EG5" i="44"/>
  <c r="DY5" i="44"/>
  <c r="DR5" i="44"/>
  <c r="EX5" i="44" s="1"/>
  <c r="DJ5" i="44"/>
  <c r="DE5" i="44"/>
  <c r="DA5" i="44"/>
  <c r="CZ5" i="44"/>
  <c r="CY5" i="44"/>
  <c r="CX5" i="44"/>
  <c r="CW5" i="44"/>
  <c r="CS5" i="44"/>
  <c r="AN5" i="44"/>
  <c r="K5" i="44"/>
  <c r="I5" i="44"/>
  <c r="DK5" i="44" s="1"/>
  <c r="DY107" i="43"/>
  <c r="DQ107" i="43"/>
  <c r="DP107" i="43"/>
  <c r="DR107" i="43" s="1"/>
  <c r="CR107" i="43"/>
  <c r="CQ107" i="43"/>
  <c r="CP107" i="43"/>
  <c r="CO107" i="43"/>
  <c r="CN107" i="43"/>
  <c r="CM107" i="43"/>
  <c r="CL107" i="43"/>
  <c r="CK107" i="43"/>
  <c r="CJ107" i="43"/>
  <c r="CI107" i="43"/>
  <c r="CH107" i="43"/>
  <c r="CG107" i="43"/>
  <c r="CF107" i="43"/>
  <c r="CE107" i="43"/>
  <c r="CD107" i="43"/>
  <c r="CC107" i="43"/>
  <c r="CB107" i="43"/>
  <c r="CA107" i="43"/>
  <c r="BZ107" i="43"/>
  <c r="BY107" i="43"/>
  <c r="BX107" i="43"/>
  <c r="BW107" i="43"/>
  <c r="BV107" i="43"/>
  <c r="BU107" i="43"/>
  <c r="BT107" i="43"/>
  <c r="BS107" i="43"/>
  <c r="BR107" i="43"/>
  <c r="BQ107" i="43"/>
  <c r="BP107" i="43"/>
  <c r="BO107" i="43"/>
  <c r="BN107" i="43"/>
  <c r="BM107" i="43"/>
  <c r="BL107" i="43"/>
  <c r="BK107" i="43"/>
  <c r="BJ107" i="43"/>
  <c r="BI107" i="43"/>
  <c r="BH107" i="43"/>
  <c r="BG107" i="43"/>
  <c r="BF107" i="43"/>
  <c r="BE107" i="43"/>
  <c r="BD107" i="43"/>
  <c r="BC107" i="43"/>
  <c r="BB107" i="43"/>
  <c r="BA107" i="43"/>
  <c r="AZ107" i="43"/>
  <c r="AY107" i="43"/>
  <c r="AX107" i="43"/>
  <c r="AW107" i="43"/>
  <c r="AV107" i="43"/>
  <c r="AU107" i="43"/>
  <c r="AR107" i="43"/>
  <c r="AM107" i="43"/>
  <c r="AL107" i="43"/>
  <c r="AK107" i="43"/>
  <c r="AJ107" i="43"/>
  <c r="AI107" i="43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G107" i="43"/>
  <c r="E107" i="43"/>
  <c r="EX106" i="43"/>
  <c r="EO106" i="43"/>
  <c r="EJ106" i="43"/>
  <c r="EP106" i="43" s="1"/>
  <c r="EI106" i="43"/>
  <c r="EG106" i="43"/>
  <c r="DY106" i="43"/>
  <c r="DR106" i="43"/>
  <c r="DJ106" i="43"/>
  <c r="DE106" i="43"/>
  <c r="CS106" i="43"/>
  <c r="AN106" i="43"/>
  <c r="AP106" i="43" s="1"/>
  <c r="K106" i="43"/>
  <c r="I106" i="43"/>
  <c r="EP105" i="43"/>
  <c r="EO105" i="43"/>
  <c r="EI105" i="43"/>
  <c r="EG105" i="43"/>
  <c r="DY105" i="43"/>
  <c r="DR105" i="43"/>
  <c r="EX105" i="43" s="1"/>
  <c r="DK105" i="43"/>
  <c r="DJ105" i="43"/>
  <c r="DE105" i="43"/>
  <c r="CS105" i="43"/>
  <c r="AN105" i="43"/>
  <c r="K105" i="43"/>
  <c r="I105" i="43"/>
  <c r="EJ105" i="43" s="1"/>
  <c r="EU104" i="43"/>
  <c r="ER104" i="43"/>
  <c r="EQ104" i="43"/>
  <c r="EP104" i="43"/>
  <c r="EO104" i="43"/>
  <c r="EI104" i="43"/>
  <c r="EG104" i="43"/>
  <c r="DZ104" i="43"/>
  <c r="DY104" i="43"/>
  <c r="DR104" i="43"/>
  <c r="EX104" i="43" s="1"/>
  <c r="DK104" i="43"/>
  <c r="DJ104" i="43"/>
  <c r="CY104" i="43"/>
  <c r="CX104" i="43"/>
  <c r="CW104" i="43"/>
  <c r="CU104" i="43"/>
  <c r="CS104" i="43"/>
  <c r="DE104" i="43" s="1"/>
  <c r="AP104" i="43"/>
  <c r="EA104" i="43" s="1"/>
  <c r="EB104" i="43" s="1"/>
  <c r="ED104" i="43" s="1"/>
  <c r="AN104" i="43"/>
  <c r="K104" i="43"/>
  <c r="EH104" i="43" s="1"/>
  <c r="EK104" i="43" s="1"/>
  <c r="I104" i="43"/>
  <c r="EJ104" i="43" s="1"/>
  <c r="ER103" i="43"/>
  <c r="EP103" i="43"/>
  <c r="EI103" i="43"/>
  <c r="EH103" i="43"/>
  <c r="EG103" i="43"/>
  <c r="EE103" i="43"/>
  <c r="DY103" i="43"/>
  <c r="DR103" i="43"/>
  <c r="EX103" i="43" s="1"/>
  <c r="DK103" i="43"/>
  <c r="DJ103" i="43"/>
  <c r="DA103" i="43"/>
  <c r="CZ103" i="43"/>
  <c r="CY103" i="43"/>
  <c r="CX103" i="43"/>
  <c r="CW103" i="43"/>
  <c r="CS103" i="43"/>
  <c r="DE103" i="43" s="1"/>
  <c r="AN103" i="43"/>
  <c r="AP103" i="43" s="1"/>
  <c r="K103" i="43"/>
  <c r="I103" i="43"/>
  <c r="EJ103" i="43" s="1"/>
  <c r="EU102" i="43"/>
  <c r="ER102" i="43"/>
  <c r="EI102" i="43"/>
  <c r="EH102" i="43"/>
  <c r="EG102" i="43"/>
  <c r="EE102" i="43"/>
  <c r="DY102" i="43"/>
  <c r="DR102" i="43"/>
  <c r="DJ102" i="43"/>
  <c r="DA102" i="43"/>
  <c r="CZ102" i="43"/>
  <c r="CY102" i="43"/>
  <c r="CX102" i="43"/>
  <c r="CW102" i="43"/>
  <c r="CS102" i="43"/>
  <c r="DE102" i="43" s="1"/>
  <c r="AN102" i="43"/>
  <c r="AP102" i="43" s="1"/>
  <c r="K102" i="43"/>
  <c r="I102" i="43"/>
  <c r="DK102" i="43" s="1"/>
  <c r="DZ102" i="43" s="1"/>
  <c r="EI101" i="43"/>
  <c r="EH101" i="43"/>
  <c r="EG101" i="43"/>
  <c r="EO101" i="43" s="1"/>
  <c r="DY101" i="43"/>
  <c r="DR101" i="43"/>
  <c r="EX101" i="43" s="1"/>
  <c r="DJ101" i="43"/>
  <c r="DE101" i="43"/>
  <c r="CS101" i="43"/>
  <c r="AN101" i="43"/>
  <c r="K101" i="43"/>
  <c r="I101" i="43"/>
  <c r="DK101" i="43" s="1"/>
  <c r="EX100" i="43"/>
  <c r="EO100" i="43"/>
  <c r="EI100" i="43"/>
  <c r="EG100" i="43"/>
  <c r="DY100" i="43"/>
  <c r="DR100" i="43"/>
  <c r="DJ100" i="43"/>
  <c r="CS100" i="43"/>
  <c r="DE100" i="43" s="1"/>
  <c r="AN100" i="43"/>
  <c r="K100" i="43"/>
  <c r="I100" i="43"/>
  <c r="EO99" i="43"/>
  <c r="EI99" i="43"/>
  <c r="EG99" i="43"/>
  <c r="EA99" i="43"/>
  <c r="DY99" i="43"/>
  <c r="DR99" i="43"/>
  <c r="EX99" i="43" s="1"/>
  <c r="DK99" i="43"/>
  <c r="EU99" i="43" s="1"/>
  <c r="DJ99" i="43"/>
  <c r="DH99" i="43"/>
  <c r="DE99" i="43"/>
  <c r="CW99" i="43"/>
  <c r="CU99" i="43"/>
  <c r="CS99" i="43"/>
  <c r="AP99" i="43"/>
  <c r="AN99" i="43"/>
  <c r="K99" i="43"/>
  <c r="I99" i="43"/>
  <c r="EJ99" i="43" s="1"/>
  <c r="EP99" i="43" s="1"/>
  <c r="EQ99" i="43" s="1"/>
  <c r="ER98" i="43"/>
  <c r="EO98" i="43"/>
  <c r="EQ98" i="43" s="1"/>
  <c r="EI98" i="43"/>
  <c r="EG98" i="43"/>
  <c r="DY98" i="43"/>
  <c r="DR98" i="43"/>
  <c r="EX98" i="43" s="1"/>
  <c r="DK98" i="43"/>
  <c r="DZ98" i="43" s="1"/>
  <c r="DJ98" i="43"/>
  <c r="CY98" i="43"/>
  <c r="CX98" i="43"/>
  <c r="CW98" i="43"/>
  <c r="CS98" i="43"/>
  <c r="DE98" i="43" s="1"/>
  <c r="AP98" i="43"/>
  <c r="EA98" i="43" s="1"/>
  <c r="AN98" i="43"/>
  <c r="K98" i="43"/>
  <c r="EH98" i="43" s="1"/>
  <c r="I98" i="43"/>
  <c r="EJ98" i="43" s="1"/>
  <c r="EP98" i="43" s="1"/>
  <c r="EW97" i="43"/>
  <c r="EZ97" i="43" s="1"/>
  <c r="FA97" i="43" s="1"/>
  <c r="ER97" i="43"/>
  <c r="EP97" i="43"/>
  <c r="EI97" i="43"/>
  <c r="EH97" i="43"/>
  <c r="EK97" i="43" s="1"/>
  <c r="EM97" i="43" s="1"/>
  <c r="EG97" i="43"/>
  <c r="EE97" i="43"/>
  <c r="EA97" i="43"/>
  <c r="DY97" i="43"/>
  <c r="DR97" i="43"/>
  <c r="EX97" i="43" s="1"/>
  <c r="DK97" i="43"/>
  <c r="DJ97" i="43"/>
  <c r="DA97" i="43"/>
  <c r="CZ97" i="43"/>
  <c r="CY97" i="43"/>
  <c r="CX97" i="43"/>
  <c r="CW97" i="43"/>
  <c r="CU97" i="43"/>
  <c r="DB97" i="43" s="1"/>
  <c r="CS97" i="43"/>
  <c r="DE97" i="43" s="1"/>
  <c r="AN97" i="43"/>
  <c r="K97" i="43"/>
  <c r="AP97" i="43" s="1"/>
  <c r="I97" i="43"/>
  <c r="EJ97" i="43" s="1"/>
  <c r="EX96" i="43"/>
  <c r="ER96" i="43"/>
  <c r="EI96" i="43"/>
  <c r="EH96" i="43"/>
  <c r="EG96" i="43"/>
  <c r="DY96" i="43"/>
  <c r="DR96" i="43"/>
  <c r="DJ96" i="43"/>
  <c r="DA96" i="43"/>
  <c r="CZ96" i="43"/>
  <c r="CY96" i="43"/>
  <c r="CX96" i="43"/>
  <c r="CW96" i="43"/>
  <c r="CS96" i="43"/>
  <c r="DE96" i="43" s="1"/>
  <c r="AN96" i="43"/>
  <c r="K96" i="43"/>
  <c r="AP96" i="43" s="1"/>
  <c r="I96" i="43"/>
  <c r="EI95" i="43"/>
  <c r="EH95" i="43"/>
  <c r="EG95" i="43"/>
  <c r="DY95" i="43"/>
  <c r="DR95" i="43"/>
  <c r="DJ95" i="43"/>
  <c r="DE95" i="43"/>
  <c r="DA95" i="43"/>
  <c r="CZ95" i="43"/>
  <c r="CS95" i="43"/>
  <c r="AN95" i="43"/>
  <c r="K95" i="43"/>
  <c r="I95" i="43"/>
  <c r="EX94" i="43"/>
  <c r="EO94" i="43"/>
  <c r="EI94" i="43"/>
  <c r="EG94" i="43"/>
  <c r="DY94" i="43"/>
  <c r="DR94" i="43"/>
  <c r="DJ94" i="43"/>
  <c r="CS94" i="43"/>
  <c r="DE94" i="43" s="1"/>
  <c r="AN94" i="43"/>
  <c r="K94" i="43"/>
  <c r="I94" i="43"/>
  <c r="EO93" i="43"/>
  <c r="EI93" i="43"/>
  <c r="EG93" i="43"/>
  <c r="DY93" i="43"/>
  <c r="DR93" i="43"/>
  <c r="EX93" i="43" s="1"/>
  <c r="DK93" i="43"/>
  <c r="DJ93" i="43"/>
  <c r="DE93" i="43"/>
  <c r="CS93" i="43"/>
  <c r="AN93" i="43"/>
  <c r="AP93" i="43" s="1"/>
  <c r="K93" i="43"/>
  <c r="I93" i="43"/>
  <c r="EJ93" i="43" s="1"/>
  <c r="EP93" i="43" s="1"/>
  <c r="EX92" i="43"/>
  <c r="EU92" i="43"/>
  <c r="ER92" i="43"/>
  <c r="EO92" i="43"/>
  <c r="EQ92" i="43" s="1"/>
  <c r="EI92" i="43"/>
  <c r="EG92" i="43"/>
  <c r="DZ92" i="43"/>
  <c r="DY92" i="43"/>
  <c r="DR92" i="43"/>
  <c r="DK92" i="43"/>
  <c r="DJ92" i="43"/>
  <c r="DH92" i="43"/>
  <c r="CY92" i="43"/>
  <c r="CX92" i="43"/>
  <c r="CW92" i="43"/>
  <c r="CS92" i="43"/>
  <c r="DE92" i="43" s="1"/>
  <c r="AP92" i="43"/>
  <c r="AN92" i="43"/>
  <c r="K92" i="43"/>
  <c r="EH92" i="43" s="1"/>
  <c r="I92" i="43"/>
  <c r="EJ92" i="43" s="1"/>
  <c r="EP92" i="43" s="1"/>
  <c r="EU91" i="43"/>
  <c r="ER91" i="43"/>
  <c r="EP91" i="43"/>
  <c r="EI91" i="43"/>
  <c r="EG91" i="43"/>
  <c r="DY91" i="43"/>
  <c r="DR91" i="43"/>
  <c r="EX91" i="43" s="1"/>
  <c r="DK91" i="43"/>
  <c r="DZ91" i="43" s="1"/>
  <c r="DJ91" i="43"/>
  <c r="DE91" i="43"/>
  <c r="CS91" i="43"/>
  <c r="AN91" i="43"/>
  <c r="K91" i="43"/>
  <c r="I91" i="43"/>
  <c r="EJ91" i="43" s="1"/>
  <c r="EX90" i="43"/>
  <c r="ER90" i="43"/>
  <c r="EI90" i="43"/>
  <c r="EH90" i="43"/>
  <c r="EG90" i="43"/>
  <c r="DY90" i="43"/>
  <c r="DR90" i="43"/>
  <c r="DJ90" i="43"/>
  <c r="DA90" i="43"/>
  <c r="CZ90" i="43"/>
  <c r="CY90" i="43"/>
  <c r="CX90" i="43"/>
  <c r="CW90" i="43"/>
  <c r="CS90" i="43"/>
  <c r="DE90" i="43" s="1"/>
  <c r="AP90" i="43"/>
  <c r="AN90" i="43"/>
  <c r="K90" i="43"/>
  <c r="I90" i="43"/>
  <c r="EI89" i="43"/>
  <c r="EH89" i="43"/>
  <c r="EG89" i="43"/>
  <c r="DY89" i="43"/>
  <c r="DW89" i="43"/>
  <c r="DR89" i="43"/>
  <c r="DJ89" i="43"/>
  <c r="DE89" i="43"/>
  <c r="DA89" i="43"/>
  <c r="CZ89" i="43"/>
  <c r="CY89" i="43"/>
  <c r="CS89" i="43"/>
  <c r="AN89" i="43"/>
  <c r="AP89" i="43" s="1"/>
  <c r="K89" i="43"/>
  <c r="I89" i="43"/>
  <c r="EX88" i="43"/>
  <c r="ER88" i="43"/>
  <c r="EO88" i="43"/>
  <c r="EI88" i="43"/>
  <c r="EG88" i="43"/>
  <c r="DY88" i="43"/>
  <c r="DR88" i="43"/>
  <c r="DJ88" i="43"/>
  <c r="DE88" i="43"/>
  <c r="CY88" i="43"/>
  <c r="CS88" i="43"/>
  <c r="AN88" i="43"/>
  <c r="K88" i="43"/>
  <c r="I88" i="43"/>
  <c r="DK88" i="43" s="1"/>
  <c r="EU87" i="43"/>
  <c r="EI87" i="43"/>
  <c r="EG87" i="43"/>
  <c r="EO87" i="43" s="1"/>
  <c r="EQ87" i="43" s="1"/>
  <c r="DZ87" i="43"/>
  <c r="DY87" i="43"/>
  <c r="DW87" i="43"/>
  <c r="DR87" i="43"/>
  <c r="EX87" i="43" s="1"/>
  <c r="DK87" i="43"/>
  <c r="DJ87" i="43"/>
  <c r="DA87" i="43"/>
  <c r="CZ87" i="43"/>
  <c r="CX87" i="43"/>
  <c r="CS87" i="43"/>
  <c r="DE87" i="43" s="1"/>
  <c r="AN87" i="43"/>
  <c r="AP87" i="43" s="1"/>
  <c r="K87" i="43"/>
  <c r="I87" i="43"/>
  <c r="EJ87" i="43" s="1"/>
  <c r="EP87" i="43" s="1"/>
  <c r="ER86" i="43"/>
  <c r="EP86" i="43"/>
  <c r="EO86" i="43"/>
  <c r="EQ86" i="43" s="1"/>
  <c r="EJ86" i="43"/>
  <c r="EI86" i="43"/>
  <c r="EH86" i="43"/>
  <c r="EK86" i="43" s="1"/>
  <c r="EM86" i="43" s="1"/>
  <c r="EG86" i="43"/>
  <c r="EA86" i="43"/>
  <c r="DY86" i="43"/>
  <c r="DR86" i="43"/>
  <c r="DK86" i="43"/>
  <c r="DJ86" i="43"/>
  <c r="DH86" i="43"/>
  <c r="DD86" i="43"/>
  <c r="DF86" i="43" s="1"/>
  <c r="DG86" i="43" s="1"/>
  <c r="DA86" i="43"/>
  <c r="CZ86" i="43"/>
  <c r="CY86" i="43"/>
  <c r="CX86" i="43"/>
  <c r="CW86" i="43"/>
  <c r="CU86" i="43"/>
  <c r="CS86" i="43"/>
  <c r="DE86" i="43" s="1"/>
  <c r="AP86" i="43"/>
  <c r="AN86" i="43"/>
  <c r="K86" i="43"/>
  <c r="I86" i="43"/>
  <c r="EW86" i="43" s="1"/>
  <c r="EX85" i="43"/>
  <c r="EI85" i="43"/>
  <c r="EG85" i="43"/>
  <c r="EO85" i="43" s="1"/>
  <c r="DY85" i="43"/>
  <c r="DR85" i="43"/>
  <c r="DK85" i="43"/>
  <c r="DJ85" i="43"/>
  <c r="DE85" i="43"/>
  <c r="CS85" i="43"/>
  <c r="AN85" i="43"/>
  <c r="K85" i="43"/>
  <c r="I85" i="43"/>
  <c r="EX84" i="43"/>
  <c r="ER84" i="43"/>
  <c r="EI84" i="43"/>
  <c r="EH84" i="43"/>
  <c r="EG84" i="43"/>
  <c r="DY84" i="43"/>
  <c r="DR84" i="43"/>
  <c r="DJ84" i="43"/>
  <c r="DH84" i="43"/>
  <c r="DA84" i="43"/>
  <c r="CY84" i="43"/>
  <c r="CX84" i="43"/>
  <c r="CS84" i="43"/>
  <c r="DE84" i="43" s="1"/>
  <c r="AN84" i="43"/>
  <c r="AP84" i="43" s="1"/>
  <c r="DW84" i="43" s="1"/>
  <c r="K84" i="43"/>
  <c r="I84" i="43"/>
  <c r="DK84" i="43" s="1"/>
  <c r="EO83" i="43"/>
  <c r="EI83" i="43"/>
  <c r="EG83" i="43"/>
  <c r="DY83" i="43"/>
  <c r="DR83" i="43"/>
  <c r="DK83" i="43"/>
  <c r="DJ83" i="43"/>
  <c r="DA83" i="43"/>
  <c r="CZ83" i="43"/>
  <c r="CW83" i="43"/>
  <c r="CS83" i="43"/>
  <c r="DE83" i="43" s="1"/>
  <c r="AP83" i="43"/>
  <c r="AN83" i="43"/>
  <c r="K83" i="43"/>
  <c r="I83" i="43"/>
  <c r="EJ83" i="43" s="1"/>
  <c r="EP83" i="43" s="1"/>
  <c r="EQ83" i="43" s="1"/>
  <c r="EX82" i="43"/>
  <c r="EO82" i="43"/>
  <c r="EI82" i="43"/>
  <c r="EG82" i="43"/>
  <c r="DY82" i="43"/>
  <c r="DR82" i="43"/>
  <c r="DJ82" i="43"/>
  <c r="DE82" i="43"/>
  <c r="CS82" i="43"/>
  <c r="AN82" i="43"/>
  <c r="AP82" i="43" s="1"/>
  <c r="K82" i="43"/>
  <c r="I82" i="43"/>
  <c r="EU81" i="43"/>
  <c r="EP81" i="43"/>
  <c r="EI81" i="43"/>
  <c r="EH81" i="43"/>
  <c r="EK81" i="43" s="1"/>
  <c r="EM81" i="43" s="1"/>
  <c r="EG81" i="43"/>
  <c r="EO81" i="43" s="1"/>
  <c r="EQ81" i="43" s="1"/>
  <c r="DZ81" i="43"/>
  <c r="DY81" i="43"/>
  <c r="DR81" i="43"/>
  <c r="EX81" i="43" s="1"/>
  <c r="DK81" i="43"/>
  <c r="DJ81" i="43"/>
  <c r="DE81" i="43"/>
  <c r="DA81" i="43"/>
  <c r="CY81" i="43"/>
  <c r="CS81" i="43"/>
  <c r="AN81" i="43"/>
  <c r="K81" i="43"/>
  <c r="I81" i="43"/>
  <c r="EJ81" i="43" s="1"/>
  <c r="EX80" i="43"/>
  <c r="ER80" i="43"/>
  <c r="EO80" i="43"/>
  <c r="EI80" i="43"/>
  <c r="EH80" i="43"/>
  <c r="EG80" i="43"/>
  <c r="EA80" i="43"/>
  <c r="DY80" i="43"/>
  <c r="DR80" i="43"/>
  <c r="DJ80" i="43"/>
  <c r="DH80" i="43"/>
  <c r="DD80" i="43"/>
  <c r="DA80" i="43"/>
  <c r="CZ80" i="43"/>
  <c r="CX80" i="43"/>
  <c r="CW80" i="43"/>
  <c r="CU80" i="43"/>
  <c r="EV80" i="43" s="1"/>
  <c r="CS80" i="43"/>
  <c r="DE80" i="43" s="1"/>
  <c r="AP80" i="43"/>
  <c r="AN80" i="43"/>
  <c r="K80" i="43"/>
  <c r="CY80" i="43" s="1"/>
  <c r="I80" i="43"/>
  <c r="EX79" i="43"/>
  <c r="EU79" i="43"/>
  <c r="ER79" i="43"/>
  <c r="EI79" i="43"/>
  <c r="EG79" i="43"/>
  <c r="EO79" i="43" s="1"/>
  <c r="DY79" i="43"/>
  <c r="DR79" i="43"/>
  <c r="DK79" i="43"/>
  <c r="DZ79" i="43" s="1"/>
  <c r="DJ79" i="43"/>
  <c r="DE79" i="43"/>
  <c r="CX79" i="43"/>
  <c r="CW79" i="43"/>
  <c r="CS79" i="43"/>
  <c r="AN79" i="43"/>
  <c r="K79" i="43"/>
  <c r="I79" i="43"/>
  <c r="ER78" i="43"/>
  <c r="EO78" i="43"/>
  <c r="EI78" i="43"/>
  <c r="EH78" i="43"/>
  <c r="EG78" i="43"/>
  <c r="DY78" i="43"/>
  <c r="DR78" i="43"/>
  <c r="EX78" i="43" s="1"/>
  <c r="DJ78" i="43"/>
  <c r="DH78" i="43"/>
  <c r="CX78" i="43"/>
  <c r="CS78" i="43"/>
  <c r="DE78" i="43" s="1"/>
  <c r="AN78" i="43"/>
  <c r="AP78" i="43" s="1"/>
  <c r="K78" i="43"/>
  <c r="I78" i="43"/>
  <c r="DK78" i="43" s="1"/>
  <c r="EX77" i="43"/>
  <c r="EO77" i="43"/>
  <c r="EJ77" i="43"/>
  <c r="EP77" i="43" s="1"/>
  <c r="EQ77" i="43" s="1"/>
  <c r="EI77" i="43"/>
  <c r="EG77" i="43"/>
  <c r="DY77" i="43"/>
  <c r="DR77" i="43"/>
  <c r="DJ77" i="43"/>
  <c r="DE77" i="43"/>
  <c r="DA77" i="43"/>
  <c r="CZ77" i="43"/>
  <c r="CX77" i="43"/>
  <c r="CW77" i="43"/>
  <c r="CS77" i="43"/>
  <c r="AN77" i="43"/>
  <c r="AP77" i="43" s="1"/>
  <c r="K77" i="43"/>
  <c r="I77" i="43"/>
  <c r="DK77" i="43" s="1"/>
  <c r="EX76" i="43"/>
  <c r="ER76" i="43"/>
  <c r="EJ76" i="43"/>
  <c r="EP76" i="43" s="1"/>
  <c r="EI76" i="43"/>
  <c r="EG76" i="43"/>
  <c r="DY76" i="43"/>
  <c r="DR76" i="43"/>
  <c r="DK76" i="43"/>
  <c r="DJ76" i="43"/>
  <c r="DE76" i="43"/>
  <c r="CW76" i="43"/>
  <c r="CS76" i="43"/>
  <c r="AN76" i="43"/>
  <c r="K76" i="43"/>
  <c r="I76" i="43"/>
  <c r="ER75" i="43"/>
  <c r="EI75" i="43"/>
  <c r="EH75" i="43"/>
  <c r="EK75" i="43" s="1"/>
  <c r="EM75" i="43" s="1"/>
  <c r="EG75" i="43"/>
  <c r="DY75" i="43"/>
  <c r="DR75" i="43"/>
  <c r="DK75" i="43"/>
  <c r="DJ75" i="43"/>
  <c r="DA75" i="43"/>
  <c r="CZ75" i="43"/>
  <c r="CY75" i="43"/>
  <c r="CX75" i="43"/>
  <c r="CW75" i="43"/>
  <c r="CS75" i="43"/>
  <c r="DE75" i="43" s="1"/>
  <c r="AP75" i="43"/>
  <c r="AN75" i="43"/>
  <c r="K75" i="43"/>
  <c r="I75" i="43"/>
  <c r="EJ75" i="43" s="1"/>
  <c r="EP75" i="43" s="1"/>
  <c r="EX74" i="43"/>
  <c r="EU74" i="43"/>
  <c r="ER74" i="43"/>
  <c r="EJ74" i="43"/>
  <c r="EP74" i="43" s="1"/>
  <c r="EI74" i="43"/>
  <c r="EH74" i="43"/>
  <c r="EK74" i="43" s="1"/>
  <c r="EM74" i="43" s="1"/>
  <c r="EG74" i="43"/>
  <c r="EA74" i="43"/>
  <c r="DZ74" i="43"/>
  <c r="EB74" i="43" s="1"/>
  <c r="ED74" i="43" s="1"/>
  <c r="DY74" i="43"/>
  <c r="DR74" i="43"/>
  <c r="DK74" i="43"/>
  <c r="DJ74" i="43"/>
  <c r="DH74" i="43"/>
  <c r="DA74" i="43"/>
  <c r="CZ74" i="43"/>
  <c r="CY74" i="43"/>
  <c r="CX74" i="43"/>
  <c r="CW74" i="43"/>
  <c r="CU74" i="43"/>
  <c r="CS74" i="43"/>
  <c r="DE74" i="43" s="1"/>
  <c r="AP74" i="43"/>
  <c r="AN74" i="43"/>
  <c r="K74" i="43"/>
  <c r="I74" i="43"/>
  <c r="EX73" i="43"/>
  <c r="EU73" i="43"/>
  <c r="ER73" i="43"/>
  <c r="EJ73" i="43"/>
  <c r="EP73" i="43" s="1"/>
  <c r="EI73" i="43"/>
  <c r="EH73" i="43"/>
  <c r="EK73" i="43" s="1"/>
  <c r="EM73" i="43" s="1"/>
  <c r="EG73" i="43"/>
  <c r="DY73" i="43"/>
  <c r="DR73" i="43"/>
  <c r="DK73" i="43"/>
  <c r="DZ73" i="43" s="1"/>
  <c r="DJ73" i="43"/>
  <c r="DE73" i="43"/>
  <c r="DA73" i="43"/>
  <c r="CS73" i="43"/>
  <c r="AN73" i="43"/>
  <c r="K73" i="43"/>
  <c r="I73" i="43"/>
  <c r="EX72" i="43"/>
  <c r="EO72" i="43"/>
  <c r="EI72" i="43"/>
  <c r="EG72" i="43"/>
  <c r="DY72" i="43"/>
  <c r="DR72" i="43"/>
  <c r="DJ72" i="43"/>
  <c r="DH72" i="43"/>
  <c r="CU72" i="43"/>
  <c r="CS72" i="43"/>
  <c r="DE72" i="43" s="1"/>
  <c r="AP72" i="43"/>
  <c r="AN72" i="43"/>
  <c r="K72" i="43"/>
  <c r="I72" i="43"/>
  <c r="EX71" i="43"/>
  <c r="ER71" i="43"/>
  <c r="EO71" i="43"/>
  <c r="EI71" i="43"/>
  <c r="EG71" i="43"/>
  <c r="DY71" i="43"/>
  <c r="DR71" i="43"/>
  <c r="DK71" i="43"/>
  <c r="DJ71" i="43"/>
  <c r="DD71" i="43"/>
  <c r="DF71" i="43" s="1"/>
  <c r="CY71" i="43"/>
  <c r="CS71" i="43"/>
  <c r="DE71" i="43" s="1"/>
  <c r="AP71" i="43"/>
  <c r="AN71" i="43"/>
  <c r="K71" i="43"/>
  <c r="I71" i="43"/>
  <c r="EJ71" i="43" s="1"/>
  <c r="EP71" i="43" s="1"/>
  <c r="EU70" i="43"/>
  <c r="EI70" i="43"/>
  <c r="EH70" i="43"/>
  <c r="EK70" i="43" s="1"/>
  <c r="EM70" i="43" s="1"/>
  <c r="EG70" i="43"/>
  <c r="DY70" i="43"/>
  <c r="DR70" i="43"/>
  <c r="EX70" i="43" s="1"/>
  <c r="DK70" i="43"/>
  <c r="DZ70" i="43" s="1"/>
  <c r="DJ70" i="43"/>
  <c r="DE70" i="43"/>
  <c r="DA70" i="43"/>
  <c r="CZ70" i="43"/>
  <c r="CY70" i="43"/>
  <c r="CX70" i="43"/>
  <c r="CW70" i="43"/>
  <c r="CS70" i="43"/>
  <c r="AP70" i="43"/>
  <c r="AN70" i="43"/>
  <c r="K70" i="43"/>
  <c r="ER70" i="43" s="1"/>
  <c r="I70" i="43"/>
  <c r="EJ70" i="43" s="1"/>
  <c r="EP70" i="43" s="1"/>
  <c r="EX69" i="43"/>
  <c r="ER69" i="43"/>
  <c r="EO69" i="43"/>
  <c r="EI69" i="43"/>
  <c r="EH69" i="43"/>
  <c r="EG69" i="43"/>
  <c r="EE69" i="43"/>
  <c r="EA69" i="43"/>
  <c r="DY69" i="43"/>
  <c r="DR69" i="43"/>
  <c r="DK69" i="43"/>
  <c r="DJ69" i="43"/>
  <c r="DH69" i="43"/>
  <c r="DD69" i="43"/>
  <c r="DF69" i="43" s="1"/>
  <c r="DG69" i="43" s="1"/>
  <c r="DA69" i="43"/>
  <c r="CZ69" i="43"/>
  <c r="CY69" i="43"/>
  <c r="CX69" i="43"/>
  <c r="CW69" i="43"/>
  <c r="CU69" i="43"/>
  <c r="CS69" i="43"/>
  <c r="DE69" i="43" s="1"/>
  <c r="AP69" i="43"/>
  <c r="DW69" i="43" s="1"/>
  <c r="AN69" i="43"/>
  <c r="K69" i="43"/>
  <c r="I69" i="43"/>
  <c r="EU68" i="43"/>
  <c r="ER68" i="43"/>
  <c r="EJ68" i="43"/>
  <c r="EP68" i="43" s="1"/>
  <c r="EQ68" i="43" s="1"/>
  <c r="EI68" i="43"/>
  <c r="EH68" i="43"/>
  <c r="EK68" i="43" s="1"/>
  <c r="EG68" i="43"/>
  <c r="EO68" i="43" s="1"/>
  <c r="DY68" i="43"/>
  <c r="DR68" i="43"/>
  <c r="EX68" i="43" s="1"/>
  <c r="DK68" i="43"/>
  <c r="DZ68" i="43" s="1"/>
  <c r="DJ68" i="43"/>
  <c r="DE68" i="43"/>
  <c r="DA68" i="43"/>
  <c r="CZ68" i="43"/>
  <c r="CX68" i="43"/>
  <c r="CS68" i="43"/>
  <c r="AN68" i="43"/>
  <c r="K68" i="43"/>
  <c r="I68" i="43"/>
  <c r="EO67" i="43"/>
  <c r="EJ67" i="43"/>
  <c r="EP67" i="43" s="1"/>
  <c r="EI67" i="43"/>
  <c r="EG67" i="43"/>
  <c r="DY67" i="43"/>
  <c r="DR67" i="43"/>
  <c r="EX67" i="43" s="1"/>
  <c r="DJ67" i="43"/>
  <c r="DE67" i="43"/>
  <c r="DA67" i="43"/>
  <c r="CZ67" i="43"/>
  <c r="CY67" i="43"/>
  <c r="CS67" i="43"/>
  <c r="AN67" i="43"/>
  <c r="K67" i="43"/>
  <c r="I67" i="43"/>
  <c r="EX66" i="43"/>
  <c r="EW66" i="43"/>
  <c r="EZ66" i="43" s="1"/>
  <c r="FA66" i="43" s="1"/>
  <c r="EV66" i="43"/>
  <c r="ER66" i="43"/>
  <c r="EI66" i="43"/>
  <c r="EH66" i="43"/>
  <c r="EG66" i="43"/>
  <c r="EO66" i="43" s="1"/>
  <c r="EA66" i="43"/>
  <c r="DY66" i="43"/>
  <c r="DW66" i="43"/>
  <c r="DR66" i="43"/>
  <c r="DJ66" i="43"/>
  <c r="DH66" i="43"/>
  <c r="DE66" i="43"/>
  <c r="DD66" i="43"/>
  <c r="DA66" i="43"/>
  <c r="CZ66" i="43"/>
  <c r="CX66" i="43"/>
  <c r="CW66" i="43"/>
  <c r="CU66" i="43"/>
  <c r="DB66" i="43" s="1"/>
  <c r="CS66" i="43"/>
  <c r="AP66" i="43"/>
  <c r="EE66" i="43" s="1"/>
  <c r="AN66" i="43"/>
  <c r="K66" i="43"/>
  <c r="CY66" i="43" s="1"/>
  <c r="I66" i="43"/>
  <c r="DK66" i="43" s="1"/>
  <c r="EX65" i="43"/>
  <c r="ER65" i="43"/>
  <c r="EP65" i="43"/>
  <c r="EJ65" i="43"/>
  <c r="EI65" i="43"/>
  <c r="EG65" i="43"/>
  <c r="DY65" i="43"/>
  <c r="DR65" i="43"/>
  <c r="DK65" i="43"/>
  <c r="DJ65" i="43"/>
  <c r="CZ65" i="43"/>
  <c r="CY65" i="43"/>
  <c r="CX65" i="43"/>
  <c r="CW65" i="43"/>
  <c r="CS65" i="43"/>
  <c r="DE65" i="43" s="1"/>
  <c r="AN65" i="43"/>
  <c r="AP65" i="43" s="1"/>
  <c r="K65" i="43"/>
  <c r="I65" i="43"/>
  <c r="EX64" i="43"/>
  <c r="ER64" i="43"/>
  <c r="EI64" i="43"/>
  <c r="EH64" i="43"/>
  <c r="EG64" i="43"/>
  <c r="EA64" i="43"/>
  <c r="DY64" i="43"/>
  <c r="DR64" i="43"/>
  <c r="DJ64" i="43"/>
  <c r="DH64" i="43"/>
  <c r="DD64" i="43"/>
  <c r="DF64" i="43" s="1"/>
  <c r="DG64" i="43" s="1"/>
  <c r="DA64" i="43"/>
  <c r="CZ64" i="43"/>
  <c r="CY64" i="43"/>
  <c r="CX64" i="43"/>
  <c r="CW64" i="43"/>
  <c r="CS64" i="43"/>
  <c r="DE64" i="43" s="1"/>
  <c r="AP64" i="43"/>
  <c r="AN64" i="43"/>
  <c r="K64" i="43"/>
  <c r="I64" i="43"/>
  <c r="EX63" i="43"/>
  <c r="EI63" i="43"/>
  <c r="EG63" i="43"/>
  <c r="DY63" i="43"/>
  <c r="DR63" i="43"/>
  <c r="DJ63" i="43"/>
  <c r="DE63" i="43"/>
  <c r="CZ63" i="43"/>
  <c r="CW63" i="43"/>
  <c r="CS63" i="43"/>
  <c r="AN63" i="43"/>
  <c r="K63" i="43"/>
  <c r="I63" i="43"/>
  <c r="EX62" i="43"/>
  <c r="EO62" i="43"/>
  <c r="EI62" i="43"/>
  <c r="EG62" i="43"/>
  <c r="DY62" i="43"/>
  <c r="DR62" i="43"/>
  <c r="DJ62" i="43"/>
  <c r="DE62" i="43"/>
  <c r="CS62" i="43"/>
  <c r="AN62" i="43"/>
  <c r="K62" i="43"/>
  <c r="I62" i="43"/>
  <c r="EX61" i="43"/>
  <c r="EI61" i="43"/>
  <c r="EH61" i="43"/>
  <c r="EG61" i="43"/>
  <c r="DY61" i="43"/>
  <c r="DW61" i="43"/>
  <c r="DR61" i="43"/>
  <c r="DJ61" i="43"/>
  <c r="DF61" i="43"/>
  <c r="DG61" i="43" s="1"/>
  <c r="DE61" i="43"/>
  <c r="DD61" i="43"/>
  <c r="DB61" i="43"/>
  <c r="DA61" i="43"/>
  <c r="CZ61" i="43"/>
  <c r="CW61" i="43"/>
  <c r="CU61" i="43"/>
  <c r="EV61" i="43" s="1"/>
  <c r="CS61" i="43"/>
  <c r="AP61" i="43"/>
  <c r="AN61" i="43"/>
  <c r="K61" i="43"/>
  <c r="I61" i="43"/>
  <c r="EX60" i="43"/>
  <c r="EU60" i="43"/>
  <c r="EP60" i="43"/>
  <c r="EO60" i="43"/>
  <c r="EJ60" i="43"/>
  <c r="EI60" i="43"/>
  <c r="EG60" i="43"/>
  <c r="EE60" i="43"/>
  <c r="DY60" i="43"/>
  <c r="DR60" i="43"/>
  <c r="DK60" i="43"/>
  <c r="DZ60" i="43" s="1"/>
  <c r="DJ60" i="43"/>
  <c r="DE60" i="43"/>
  <c r="CX60" i="43"/>
  <c r="CS60" i="43"/>
  <c r="AP60" i="43"/>
  <c r="DW60" i="43" s="1"/>
  <c r="AN60" i="43"/>
  <c r="K60" i="43"/>
  <c r="I60" i="43"/>
  <c r="EU59" i="43"/>
  <c r="EP59" i="43"/>
  <c r="EO59" i="43"/>
  <c r="EI59" i="43"/>
  <c r="EH59" i="43"/>
  <c r="EK59" i="43" s="1"/>
  <c r="EG59" i="43"/>
  <c r="DZ59" i="43"/>
  <c r="DY59" i="43"/>
  <c r="DR59" i="43"/>
  <c r="DK59" i="43"/>
  <c r="DJ59" i="43"/>
  <c r="DE59" i="43"/>
  <c r="CS59" i="43"/>
  <c r="AN59" i="43"/>
  <c r="K59" i="43"/>
  <c r="I59" i="43"/>
  <c r="EJ59" i="43" s="1"/>
  <c r="ER58" i="43"/>
  <c r="EO58" i="43"/>
  <c r="EQ58" i="43" s="1"/>
  <c r="EJ58" i="43"/>
  <c r="EP58" i="43" s="1"/>
  <c r="EI58" i="43"/>
  <c r="EH58" i="43"/>
  <c r="EK58" i="43" s="1"/>
  <c r="EM58" i="43" s="1"/>
  <c r="EG58" i="43"/>
  <c r="EE58" i="43"/>
  <c r="DY58" i="43"/>
  <c r="DR58" i="43"/>
  <c r="DK58" i="43"/>
  <c r="DJ58" i="43"/>
  <c r="DA58" i="43"/>
  <c r="CZ58" i="43"/>
  <c r="CY58" i="43"/>
  <c r="CX58" i="43"/>
  <c r="CW58" i="43"/>
  <c r="CS58" i="43"/>
  <c r="DE58" i="43" s="1"/>
  <c r="AP58" i="43"/>
  <c r="AN58" i="43"/>
  <c r="K58" i="43"/>
  <c r="I58" i="43"/>
  <c r="EX57" i="43"/>
  <c r="ER57" i="43"/>
  <c r="EQ57" i="43"/>
  <c r="EP57" i="43"/>
  <c r="EK57" i="43"/>
  <c r="EI57" i="43"/>
  <c r="EH57" i="43"/>
  <c r="EG57" i="43"/>
  <c r="EO57" i="43" s="1"/>
  <c r="DY57" i="43"/>
  <c r="DR57" i="43"/>
  <c r="DJ57" i="43"/>
  <c r="DE57" i="43"/>
  <c r="DA57" i="43"/>
  <c r="CX57" i="43"/>
  <c r="CW57" i="43"/>
  <c r="CS57" i="43"/>
  <c r="AN57" i="43"/>
  <c r="K57" i="43"/>
  <c r="I57" i="43"/>
  <c r="EJ57" i="43" s="1"/>
  <c r="EX56" i="43"/>
  <c r="ER56" i="43"/>
  <c r="EO56" i="43"/>
  <c r="EJ56" i="43"/>
  <c r="EP56" i="43" s="1"/>
  <c r="EI56" i="43"/>
  <c r="EG56" i="43"/>
  <c r="DY56" i="43"/>
  <c r="DR56" i="43"/>
  <c r="DJ56" i="43"/>
  <c r="DA56" i="43"/>
  <c r="CZ56" i="43"/>
  <c r="CY56" i="43"/>
  <c r="CX56" i="43"/>
  <c r="CS56" i="43"/>
  <c r="DE56" i="43" s="1"/>
  <c r="AN56" i="43"/>
  <c r="K56" i="43"/>
  <c r="I56" i="43"/>
  <c r="EX55" i="43"/>
  <c r="EI55" i="43"/>
  <c r="EH55" i="43"/>
  <c r="EG55" i="43"/>
  <c r="DY55" i="43"/>
  <c r="DR55" i="43"/>
  <c r="DJ55" i="43"/>
  <c r="DE55" i="43"/>
  <c r="CZ55" i="43"/>
  <c r="CW55" i="43"/>
  <c r="CS55" i="43"/>
  <c r="AP55" i="43"/>
  <c r="AN55" i="43"/>
  <c r="K55" i="43"/>
  <c r="I55" i="43"/>
  <c r="EX54" i="43"/>
  <c r="EO54" i="43"/>
  <c r="EI54" i="43"/>
  <c r="EG54" i="43"/>
  <c r="DY54" i="43"/>
  <c r="DR54" i="43"/>
  <c r="DJ54" i="43"/>
  <c r="DE54" i="43"/>
  <c r="CY54" i="43"/>
  <c r="CS54" i="43"/>
  <c r="AN54" i="43"/>
  <c r="K54" i="43"/>
  <c r="I54" i="43"/>
  <c r="ER53" i="43"/>
  <c r="EI53" i="43"/>
  <c r="EH53" i="43"/>
  <c r="EK53" i="43" s="1"/>
  <c r="EM53" i="43" s="1"/>
  <c r="EG53" i="43"/>
  <c r="DY53" i="43"/>
  <c r="DR53" i="43"/>
  <c r="EX53" i="43" s="1"/>
  <c r="DK53" i="43"/>
  <c r="DZ53" i="43" s="1"/>
  <c r="DJ53" i="43"/>
  <c r="CZ53" i="43"/>
  <c r="CX53" i="43"/>
  <c r="CS53" i="43"/>
  <c r="DE53" i="43" s="1"/>
  <c r="AP53" i="43"/>
  <c r="AN53" i="43"/>
  <c r="K53" i="43"/>
  <c r="DA53" i="43" s="1"/>
  <c r="I53" i="43"/>
  <c r="EJ53" i="43" s="1"/>
  <c r="EP53" i="43" s="1"/>
  <c r="EX52" i="43"/>
  <c r="ER52" i="43"/>
  <c r="EJ52" i="43"/>
  <c r="EP52" i="43" s="1"/>
  <c r="EI52" i="43"/>
  <c r="EH52" i="43"/>
  <c r="EG52" i="43"/>
  <c r="EO52" i="43" s="1"/>
  <c r="EA52" i="43"/>
  <c r="DY52" i="43"/>
  <c r="DR52" i="43"/>
  <c r="DJ52" i="43"/>
  <c r="DH52" i="43"/>
  <c r="DA52" i="43"/>
  <c r="CZ52" i="43"/>
  <c r="CY52" i="43"/>
  <c r="CX52" i="43"/>
  <c r="CW52" i="43"/>
  <c r="CU52" i="43"/>
  <c r="EV52" i="43" s="1"/>
  <c r="CS52" i="43"/>
  <c r="DE52" i="43" s="1"/>
  <c r="AP52" i="43"/>
  <c r="AN52" i="43"/>
  <c r="K52" i="43"/>
  <c r="I52" i="43"/>
  <c r="DK52" i="43" s="1"/>
  <c r="ER51" i="43"/>
  <c r="EJ51" i="43"/>
  <c r="EP51" i="43" s="1"/>
  <c r="EI51" i="43"/>
  <c r="EH51" i="43"/>
  <c r="EG51" i="43"/>
  <c r="EA51" i="43"/>
  <c r="DY51" i="43"/>
  <c r="DW51" i="43"/>
  <c r="DR51" i="43"/>
  <c r="DJ51" i="43"/>
  <c r="DE51" i="43"/>
  <c r="DD51" i="43"/>
  <c r="DF51" i="43" s="1"/>
  <c r="DG51" i="43" s="1"/>
  <c r="DB51" i="43"/>
  <c r="DA51" i="43"/>
  <c r="CZ51" i="43"/>
  <c r="CY51" i="43"/>
  <c r="CX51" i="43"/>
  <c r="CW51" i="43"/>
  <c r="CU51" i="43"/>
  <c r="CS51" i="43"/>
  <c r="AN51" i="43"/>
  <c r="K51" i="43"/>
  <c r="AP51" i="43" s="1"/>
  <c r="DH51" i="43" s="1"/>
  <c r="I51" i="43"/>
  <c r="DK51" i="43" s="1"/>
  <c r="EX50" i="43"/>
  <c r="EU50" i="43"/>
  <c r="EJ50" i="43"/>
  <c r="EP50" i="43" s="1"/>
  <c r="EI50" i="43"/>
  <c r="EG50" i="43"/>
  <c r="DZ50" i="43"/>
  <c r="DY50" i="43"/>
  <c r="DR50" i="43"/>
  <c r="DJ50" i="43"/>
  <c r="DE50" i="43"/>
  <c r="CY50" i="43"/>
  <c r="CX50" i="43"/>
  <c r="CS50" i="43"/>
  <c r="AN50" i="43"/>
  <c r="K50" i="43"/>
  <c r="ER50" i="43" s="1"/>
  <c r="I50" i="43"/>
  <c r="DK50" i="43" s="1"/>
  <c r="EX49" i="43"/>
  <c r="ER49" i="43"/>
  <c r="EI49" i="43"/>
  <c r="EH49" i="43"/>
  <c r="EG49" i="43"/>
  <c r="DY49" i="43"/>
  <c r="DR49" i="43"/>
  <c r="DJ49" i="43"/>
  <c r="DE49" i="43"/>
  <c r="CS49" i="43"/>
  <c r="AP49" i="43"/>
  <c r="EA49" i="43" s="1"/>
  <c r="AN49" i="43"/>
  <c r="K49" i="43"/>
  <c r="I49" i="43"/>
  <c r="EX48" i="43"/>
  <c r="EU48" i="43"/>
  <c r="EP48" i="43"/>
  <c r="EO48" i="43"/>
  <c r="EJ48" i="43"/>
  <c r="EI48" i="43"/>
  <c r="EG48" i="43"/>
  <c r="DY48" i="43"/>
  <c r="DR48" i="43"/>
  <c r="DK48" i="43"/>
  <c r="DZ48" i="43" s="1"/>
  <c r="DJ48" i="43"/>
  <c r="CS48" i="43"/>
  <c r="DE48" i="43" s="1"/>
  <c r="AN48" i="43"/>
  <c r="K48" i="43"/>
  <c r="I48" i="43"/>
  <c r="EP47" i="43"/>
  <c r="EI47" i="43"/>
  <c r="EG47" i="43"/>
  <c r="DY47" i="43"/>
  <c r="DR47" i="43"/>
  <c r="DK47" i="43"/>
  <c r="DJ47" i="43"/>
  <c r="CY47" i="43"/>
  <c r="CS47" i="43"/>
  <c r="DE47" i="43" s="1"/>
  <c r="AN47" i="43"/>
  <c r="K47" i="43"/>
  <c r="I47" i="43"/>
  <c r="EJ47" i="43" s="1"/>
  <c r="EI46" i="43"/>
  <c r="EH46" i="43"/>
  <c r="EG46" i="43"/>
  <c r="DY46" i="43"/>
  <c r="DR46" i="43"/>
  <c r="DJ46" i="43"/>
  <c r="DE46" i="43"/>
  <c r="DA46" i="43"/>
  <c r="CY46" i="43"/>
  <c r="CS46" i="43"/>
  <c r="AP46" i="43"/>
  <c r="AN46" i="43"/>
  <c r="K46" i="43"/>
  <c r="CX46" i="43" s="1"/>
  <c r="I46" i="43"/>
  <c r="EJ46" i="43" s="1"/>
  <c r="EP46" i="43" s="1"/>
  <c r="EP45" i="43"/>
  <c r="EK45" i="43"/>
  <c r="EM45" i="43" s="1"/>
  <c r="EI45" i="43"/>
  <c r="EH45" i="43"/>
  <c r="EG45" i="43"/>
  <c r="DY45" i="43"/>
  <c r="DR45" i="43"/>
  <c r="EX45" i="43" s="1"/>
  <c r="DK45" i="43"/>
  <c r="DZ45" i="43" s="1"/>
  <c r="DJ45" i="43"/>
  <c r="DE45" i="43"/>
  <c r="CZ45" i="43"/>
  <c r="CY45" i="43"/>
  <c r="CW45" i="43"/>
  <c r="CS45" i="43"/>
  <c r="AN45" i="43"/>
  <c r="K45" i="43"/>
  <c r="I45" i="43"/>
  <c r="EJ45" i="43" s="1"/>
  <c r="EX44" i="43"/>
  <c r="ER44" i="43"/>
  <c r="EI44" i="43"/>
  <c r="EH44" i="43"/>
  <c r="EG44" i="43"/>
  <c r="EO44" i="43" s="1"/>
  <c r="EE44" i="43"/>
  <c r="EA44" i="43"/>
  <c r="DY44" i="43"/>
  <c r="DW44" i="43"/>
  <c r="DR44" i="43"/>
  <c r="DJ44" i="43"/>
  <c r="DH44" i="43"/>
  <c r="DE44" i="43"/>
  <c r="DD44" i="43"/>
  <c r="DF44" i="43" s="1"/>
  <c r="DA44" i="43"/>
  <c r="CZ44" i="43"/>
  <c r="CY44" i="43"/>
  <c r="CX44" i="43"/>
  <c r="CU44" i="43"/>
  <c r="DB44" i="43" s="1"/>
  <c r="CS44" i="43"/>
  <c r="AP44" i="43"/>
  <c r="AN44" i="43"/>
  <c r="K44" i="43"/>
  <c r="CW44" i="43" s="1"/>
  <c r="I44" i="43"/>
  <c r="EX43" i="43"/>
  <c r="EO43" i="43"/>
  <c r="EJ43" i="43"/>
  <c r="EP43" i="43" s="1"/>
  <c r="EQ43" i="43" s="1"/>
  <c r="EI43" i="43"/>
  <c r="EG43" i="43"/>
  <c r="DY43" i="43"/>
  <c r="DR43" i="43"/>
  <c r="DK43" i="43"/>
  <c r="DJ43" i="43"/>
  <c r="CS43" i="43"/>
  <c r="DE43" i="43" s="1"/>
  <c r="AN43" i="43"/>
  <c r="K43" i="43"/>
  <c r="ER43" i="43" s="1"/>
  <c r="I43" i="43"/>
  <c r="EX42" i="43"/>
  <c r="EO42" i="43"/>
  <c r="EI42" i="43"/>
  <c r="EG42" i="43"/>
  <c r="DY42" i="43"/>
  <c r="DR42" i="43"/>
  <c r="DJ42" i="43"/>
  <c r="DE42" i="43"/>
  <c r="CZ42" i="43"/>
  <c r="CY42" i="43"/>
  <c r="CX42" i="43"/>
  <c r="CW42" i="43"/>
  <c r="CS42" i="43"/>
  <c r="AN42" i="43"/>
  <c r="K42" i="43"/>
  <c r="I42" i="43"/>
  <c r="EX41" i="43"/>
  <c r="EU41" i="43"/>
  <c r="ER41" i="43"/>
  <c r="EP41" i="43"/>
  <c r="EO41" i="43"/>
  <c r="EI41" i="43"/>
  <c r="EG41" i="43"/>
  <c r="DZ41" i="43"/>
  <c r="DY41" i="43"/>
  <c r="DR41" i="43"/>
  <c r="DK41" i="43"/>
  <c r="DJ41" i="43"/>
  <c r="DE41" i="43"/>
  <c r="DA41" i="43"/>
  <c r="CX41" i="43"/>
  <c r="CS41" i="43"/>
  <c r="AN41" i="43"/>
  <c r="K41" i="43"/>
  <c r="I41" i="43"/>
  <c r="EJ41" i="43" s="1"/>
  <c r="EU40" i="43"/>
  <c r="ER40" i="43"/>
  <c r="EO40" i="43"/>
  <c r="EI40" i="43"/>
  <c r="EH40" i="43"/>
  <c r="EG40" i="43"/>
  <c r="DZ40" i="43"/>
  <c r="DY40" i="43"/>
  <c r="DR40" i="43"/>
  <c r="DJ40" i="43"/>
  <c r="DD40" i="43"/>
  <c r="DF40" i="43" s="1"/>
  <c r="DG40" i="43" s="1"/>
  <c r="DA40" i="43"/>
  <c r="CZ40" i="43"/>
  <c r="CY40" i="43"/>
  <c r="CX40" i="43"/>
  <c r="CW40" i="43"/>
  <c r="CS40" i="43"/>
  <c r="DE40" i="43" s="1"/>
  <c r="AN40" i="43"/>
  <c r="AP40" i="43" s="1"/>
  <c r="K40" i="43"/>
  <c r="I40" i="43"/>
  <c r="EU39" i="43"/>
  <c r="ER39" i="43"/>
  <c r="EJ39" i="43"/>
  <c r="EP39" i="43" s="1"/>
  <c r="EI39" i="43"/>
  <c r="EG39" i="43"/>
  <c r="EA39" i="43"/>
  <c r="DZ39" i="43"/>
  <c r="DY39" i="43"/>
  <c r="DR39" i="43"/>
  <c r="DJ39" i="43"/>
  <c r="DA39" i="43"/>
  <c r="CZ39" i="43"/>
  <c r="CS39" i="43"/>
  <c r="DE39" i="43" s="1"/>
  <c r="AP39" i="43"/>
  <c r="AN39" i="43"/>
  <c r="K39" i="43"/>
  <c r="EH39" i="43" s="1"/>
  <c r="EK39" i="43" s="1"/>
  <c r="EM39" i="43" s="1"/>
  <c r="I39" i="43"/>
  <c r="EQ38" i="43"/>
  <c r="EJ38" i="43"/>
  <c r="EP38" i="43" s="1"/>
  <c r="EI38" i="43"/>
  <c r="EH38" i="43"/>
  <c r="EK38" i="43" s="1"/>
  <c r="EM38" i="43" s="1"/>
  <c r="EG38" i="43"/>
  <c r="EO38" i="43" s="1"/>
  <c r="DY38" i="43"/>
  <c r="DR38" i="43"/>
  <c r="EX38" i="43" s="1"/>
  <c r="DJ38" i="43"/>
  <c r="DE38" i="43"/>
  <c r="DA38" i="43"/>
  <c r="CZ38" i="43"/>
  <c r="CS38" i="43"/>
  <c r="AN38" i="43"/>
  <c r="AP38" i="43" s="1"/>
  <c r="K38" i="43"/>
  <c r="I38" i="43"/>
  <c r="DK38" i="43" s="1"/>
  <c r="EX37" i="43"/>
  <c r="EU37" i="43"/>
  <c r="EO37" i="43"/>
  <c r="EI37" i="43"/>
  <c r="EG37" i="43"/>
  <c r="DZ37" i="43"/>
  <c r="DY37" i="43"/>
  <c r="DR37" i="43"/>
  <c r="DJ37" i="43"/>
  <c r="DE37" i="43"/>
  <c r="CS37" i="43"/>
  <c r="AN37" i="43"/>
  <c r="K37" i="43"/>
  <c r="I37" i="43"/>
  <c r="EJ37" i="43" s="1"/>
  <c r="EP37" i="43" s="1"/>
  <c r="EU36" i="43"/>
  <c r="EP36" i="43"/>
  <c r="EQ36" i="43" s="1"/>
  <c r="EJ36" i="43"/>
  <c r="EI36" i="43"/>
  <c r="EG36" i="43"/>
  <c r="EO36" i="43" s="1"/>
  <c r="DZ36" i="43"/>
  <c r="DY36" i="43"/>
  <c r="DR36" i="43"/>
  <c r="DJ36" i="43"/>
  <c r="DA36" i="43"/>
  <c r="CZ36" i="43"/>
  <c r="CY36" i="43"/>
  <c r="CX36" i="43"/>
  <c r="CS36" i="43"/>
  <c r="DE36" i="43" s="1"/>
  <c r="AN36" i="43"/>
  <c r="AP36" i="43" s="1"/>
  <c r="K36" i="43"/>
  <c r="I36" i="43"/>
  <c r="EX35" i="43"/>
  <c r="ER35" i="43"/>
  <c r="EI35" i="43"/>
  <c r="EH35" i="43"/>
  <c r="EG35" i="43"/>
  <c r="DY35" i="43"/>
  <c r="DR35" i="43"/>
  <c r="DJ35" i="43"/>
  <c r="DE35" i="43"/>
  <c r="CZ35" i="43"/>
  <c r="CX35" i="43"/>
  <c r="CW35" i="43"/>
  <c r="CS35" i="43"/>
  <c r="AN35" i="43"/>
  <c r="K35" i="43"/>
  <c r="I35" i="43"/>
  <c r="ER34" i="43"/>
  <c r="EO34" i="43"/>
  <c r="EI34" i="43"/>
  <c r="EG34" i="43"/>
  <c r="DY34" i="43"/>
  <c r="DR34" i="43"/>
  <c r="EX34" i="43" s="1"/>
  <c r="DJ34" i="43"/>
  <c r="CZ34" i="43"/>
  <c r="CS34" i="43"/>
  <c r="DE34" i="43" s="1"/>
  <c r="AN34" i="43"/>
  <c r="K34" i="43"/>
  <c r="I34" i="43"/>
  <c r="EU33" i="43"/>
  <c r="ER33" i="43"/>
  <c r="EP33" i="43"/>
  <c r="EO33" i="43"/>
  <c r="EQ33" i="43" s="1"/>
  <c r="EM33" i="43"/>
  <c r="EI33" i="43"/>
  <c r="EH33" i="43"/>
  <c r="EK33" i="43" s="1"/>
  <c r="EL33" i="43" s="1"/>
  <c r="EG33" i="43"/>
  <c r="EE33" i="43"/>
  <c r="DY33" i="43"/>
  <c r="DR33" i="43"/>
  <c r="DK33" i="43"/>
  <c r="DZ33" i="43" s="1"/>
  <c r="DJ33" i="43"/>
  <c r="DH33" i="43"/>
  <c r="DA33" i="43"/>
  <c r="CZ33" i="43"/>
  <c r="CY33" i="43"/>
  <c r="CX33" i="43"/>
  <c r="CW33" i="43"/>
  <c r="CS33" i="43"/>
  <c r="DE33" i="43" s="1"/>
  <c r="AN33" i="43"/>
  <c r="AP33" i="43" s="1"/>
  <c r="K33" i="43"/>
  <c r="I33" i="43"/>
  <c r="EJ33" i="43" s="1"/>
  <c r="EX32" i="43"/>
  <c r="EI32" i="43"/>
  <c r="EH32" i="43"/>
  <c r="EG32" i="43"/>
  <c r="EE32" i="43"/>
  <c r="DY32" i="43"/>
  <c r="DR32" i="43"/>
  <c r="DJ32" i="43"/>
  <c r="DD32" i="43"/>
  <c r="DA32" i="43"/>
  <c r="CZ32" i="43"/>
  <c r="CY32" i="43"/>
  <c r="CX32" i="43"/>
  <c r="CW32" i="43"/>
  <c r="CS32" i="43"/>
  <c r="CU32" i="43" s="1"/>
  <c r="AN32" i="43"/>
  <c r="K32" i="43"/>
  <c r="AP32" i="43" s="1"/>
  <c r="DW32" i="43" s="1"/>
  <c r="I32" i="43"/>
  <c r="EI31" i="43"/>
  <c r="EH31" i="43"/>
  <c r="EG31" i="43"/>
  <c r="EO31" i="43" s="1"/>
  <c r="EQ31" i="43" s="1"/>
  <c r="DY31" i="43"/>
  <c r="DR31" i="43"/>
  <c r="EX31" i="43" s="1"/>
  <c r="DJ31" i="43"/>
  <c r="DE31" i="43"/>
  <c r="CX31" i="43"/>
  <c r="CW31" i="43"/>
  <c r="CS31" i="43"/>
  <c r="AN31" i="43"/>
  <c r="AP31" i="43" s="1"/>
  <c r="K31" i="43"/>
  <c r="I31" i="43"/>
  <c r="EJ31" i="43" s="1"/>
  <c r="EP31" i="43" s="1"/>
  <c r="EP30" i="43"/>
  <c r="EO30" i="43"/>
  <c r="EK30" i="43"/>
  <c r="EM30" i="43" s="1"/>
  <c r="EJ30" i="43"/>
  <c r="EI30" i="43"/>
  <c r="EH30" i="43"/>
  <c r="EG30" i="43"/>
  <c r="DZ30" i="43"/>
  <c r="DY30" i="43"/>
  <c r="DR30" i="43"/>
  <c r="DK30" i="43"/>
  <c r="EU30" i="43" s="1"/>
  <c r="DJ30" i="43"/>
  <c r="DE30" i="43"/>
  <c r="DD30" i="43"/>
  <c r="DF30" i="43" s="1"/>
  <c r="DG30" i="43" s="1"/>
  <c r="DA30" i="43"/>
  <c r="CZ30" i="43"/>
  <c r="CY30" i="43"/>
  <c r="CS30" i="43"/>
  <c r="AP30" i="43"/>
  <c r="CU30" i="43" s="1"/>
  <c r="AN30" i="43"/>
  <c r="K30" i="43"/>
  <c r="I30" i="43"/>
  <c r="EW30" i="43" s="1"/>
  <c r="EX29" i="43"/>
  <c r="EQ29" i="43"/>
  <c r="EP29" i="43"/>
  <c r="EO29" i="43"/>
  <c r="EJ29" i="43"/>
  <c r="EI29" i="43"/>
  <c r="EH29" i="43"/>
  <c r="EK29" i="43" s="1"/>
  <c r="EG29" i="43"/>
  <c r="DY29" i="43"/>
  <c r="DR29" i="43"/>
  <c r="DJ29" i="43"/>
  <c r="DA29" i="43"/>
  <c r="CY29" i="43"/>
  <c r="CS29" i="43"/>
  <c r="DE29" i="43" s="1"/>
  <c r="AP29" i="43"/>
  <c r="AN29" i="43"/>
  <c r="K29" i="43"/>
  <c r="I29" i="43"/>
  <c r="DK29" i="43" s="1"/>
  <c r="DZ29" i="43" s="1"/>
  <c r="EJ28" i="43"/>
  <c r="EP28" i="43" s="1"/>
  <c r="EI28" i="43"/>
  <c r="EH28" i="43"/>
  <c r="EK28" i="43" s="1"/>
  <c r="EM28" i="43" s="1"/>
  <c r="EG28" i="43"/>
  <c r="EO28" i="43" s="1"/>
  <c r="EQ28" i="43" s="1"/>
  <c r="DY28" i="43"/>
  <c r="DR28" i="43"/>
  <c r="EX28" i="43" s="1"/>
  <c r="DK28" i="43"/>
  <c r="DJ28" i="43"/>
  <c r="DE28" i="43"/>
  <c r="CZ28" i="43"/>
  <c r="CY28" i="43"/>
  <c r="CW28" i="43"/>
  <c r="CU28" i="43"/>
  <c r="CS28" i="43"/>
  <c r="AN28" i="43"/>
  <c r="K28" i="43"/>
  <c r="AP28" i="43" s="1"/>
  <c r="I28" i="43"/>
  <c r="EX27" i="43"/>
  <c r="ER27" i="43"/>
  <c r="EO27" i="43"/>
  <c r="EI27" i="43"/>
  <c r="EH27" i="43"/>
  <c r="EG27" i="43"/>
  <c r="DY27" i="43"/>
  <c r="DR27" i="43"/>
  <c r="DJ27" i="43"/>
  <c r="DD27" i="43"/>
  <c r="DF27" i="43" s="1"/>
  <c r="DA27" i="43"/>
  <c r="CZ27" i="43"/>
  <c r="CY27" i="43"/>
  <c r="CX27" i="43"/>
  <c r="CW27" i="43"/>
  <c r="CS27" i="43"/>
  <c r="DE27" i="43" s="1"/>
  <c r="AP27" i="43"/>
  <c r="DH27" i="43" s="1"/>
  <c r="AN27" i="43"/>
  <c r="K27" i="43"/>
  <c r="I27" i="43"/>
  <c r="ER26" i="43"/>
  <c r="EI26" i="43"/>
  <c r="EH26" i="43"/>
  <c r="EG26" i="43"/>
  <c r="EO26" i="43" s="1"/>
  <c r="DY26" i="43"/>
  <c r="DR26" i="43"/>
  <c r="EX26" i="43" s="1"/>
  <c r="DK26" i="43"/>
  <c r="EU26" i="43" s="1"/>
  <c r="DJ26" i="43"/>
  <c r="DA26" i="43"/>
  <c r="CZ26" i="43"/>
  <c r="CY26" i="43"/>
  <c r="CX26" i="43"/>
  <c r="CW26" i="43"/>
  <c r="CS26" i="43"/>
  <c r="DE26" i="43" s="1"/>
  <c r="AN26" i="43"/>
  <c r="K26" i="43"/>
  <c r="I26" i="43"/>
  <c r="EJ26" i="43" s="1"/>
  <c r="EP26" i="43" s="1"/>
  <c r="EX25" i="43"/>
  <c r="EO25" i="43"/>
  <c r="EJ25" i="43"/>
  <c r="EP25" i="43" s="1"/>
  <c r="EI25" i="43"/>
  <c r="EH25" i="43"/>
  <c r="EK25" i="43" s="1"/>
  <c r="EM25" i="43" s="1"/>
  <c r="EG25" i="43"/>
  <c r="EL25" i="43" s="1"/>
  <c r="DZ25" i="43"/>
  <c r="DY25" i="43"/>
  <c r="DR25" i="43"/>
  <c r="DK25" i="43"/>
  <c r="EU25" i="43" s="1"/>
  <c r="DJ25" i="43"/>
  <c r="CS25" i="43"/>
  <c r="DE25" i="43" s="1"/>
  <c r="AP25" i="43"/>
  <c r="AN25" i="43"/>
  <c r="K25" i="43"/>
  <c r="I25" i="43"/>
  <c r="EX24" i="43"/>
  <c r="EO24" i="43"/>
  <c r="EQ24" i="43" s="1"/>
  <c r="EJ24" i="43"/>
  <c r="EP24" i="43" s="1"/>
  <c r="EI24" i="43"/>
  <c r="EH24" i="43"/>
  <c r="EK24" i="43" s="1"/>
  <c r="EM24" i="43" s="1"/>
  <c r="EG24" i="43"/>
  <c r="EL24" i="43" s="1"/>
  <c r="DY24" i="43"/>
  <c r="DR24" i="43"/>
  <c r="DJ24" i="43"/>
  <c r="CZ24" i="43"/>
  <c r="CY24" i="43"/>
  <c r="CS24" i="43"/>
  <c r="DE24" i="43" s="1"/>
  <c r="AN24" i="43"/>
  <c r="AP24" i="43" s="1"/>
  <c r="K24" i="43"/>
  <c r="DA24" i="43" s="1"/>
  <c r="I24" i="43"/>
  <c r="DK24" i="43" s="1"/>
  <c r="EU24" i="43" s="1"/>
  <c r="ER23" i="43"/>
  <c r="EO23" i="43"/>
  <c r="EI23" i="43"/>
  <c r="EG23" i="43"/>
  <c r="DY23" i="43"/>
  <c r="DR23" i="43"/>
  <c r="DJ23" i="43"/>
  <c r="DE23" i="43"/>
  <c r="CY23" i="43"/>
  <c r="CX23" i="43"/>
  <c r="CS23" i="43"/>
  <c r="AP23" i="43"/>
  <c r="AN23" i="43"/>
  <c r="K23" i="43"/>
  <c r="I23" i="43"/>
  <c r="EU22" i="43"/>
  <c r="ER22" i="43"/>
  <c r="EJ22" i="43"/>
  <c r="EP22" i="43" s="1"/>
  <c r="EI22" i="43"/>
  <c r="EG22" i="43"/>
  <c r="DY22" i="43"/>
  <c r="DW22" i="43"/>
  <c r="DR22" i="43"/>
  <c r="EX22" i="43" s="1"/>
  <c r="DK22" i="43"/>
  <c r="DZ22" i="43" s="1"/>
  <c r="DJ22" i="43"/>
  <c r="DH22" i="43"/>
  <c r="DD22" i="43"/>
  <c r="DF22" i="43" s="1"/>
  <c r="DG22" i="43" s="1"/>
  <c r="DA22" i="43"/>
  <c r="CZ22" i="43"/>
  <c r="CX22" i="43"/>
  <c r="CW22" i="43"/>
  <c r="CU22" i="43"/>
  <c r="CS22" i="43"/>
  <c r="DE22" i="43" s="1"/>
  <c r="AP22" i="43"/>
  <c r="AN22" i="43"/>
  <c r="K22" i="43"/>
  <c r="I22" i="43"/>
  <c r="EX21" i="43"/>
  <c r="ER21" i="43"/>
  <c r="EP21" i="43"/>
  <c r="EQ21" i="43" s="1"/>
  <c r="EI21" i="43"/>
  <c r="EH21" i="43"/>
  <c r="EG21" i="43"/>
  <c r="EO21" i="43" s="1"/>
  <c r="DY21" i="43"/>
  <c r="DR21" i="43"/>
  <c r="DK21" i="43"/>
  <c r="EU21" i="43" s="1"/>
  <c r="DJ21" i="43"/>
  <c r="DA21" i="43"/>
  <c r="CZ21" i="43"/>
  <c r="CY21" i="43"/>
  <c r="CX21" i="43"/>
  <c r="CW21" i="43"/>
  <c r="CS21" i="43"/>
  <c r="DE21" i="43" s="1"/>
  <c r="AN21" i="43"/>
  <c r="AP21" i="43" s="1"/>
  <c r="K21" i="43"/>
  <c r="I21" i="43"/>
  <c r="EJ21" i="43" s="1"/>
  <c r="EX20" i="43"/>
  <c r="EJ20" i="43"/>
  <c r="EI20" i="43"/>
  <c r="EH20" i="43"/>
  <c r="EG20" i="43"/>
  <c r="EO20" i="43" s="1"/>
  <c r="DY20" i="43"/>
  <c r="DR20" i="43"/>
  <c r="DJ20" i="43"/>
  <c r="DE20" i="43"/>
  <c r="DA20" i="43"/>
  <c r="CZ20" i="43"/>
  <c r="CY20" i="43"/>
  <c r="CX20" i="43"/>
  <c r="CS20" i="43"/>
  <c r="AN20" i="43"/>
  <c r="K20" i="43"/>
  <c r="I20" i="43"/>
  <c r="EO19" i="43"/>
  <c r="EQ19" i="43" s="1"/>
  <c r="EJ19" i="43"/>
  <c r="EP19" i="43" s="1"/>
  <c r="EI19" i="43"/>
  <c r="EG19" i="43"/>
  <c r="DY19" i="43"/>
  <c r="DR19" i="43"/>
  <c r="EX19" i="43" s="1"/>
  <c r="DK19" i="43"/>
  <c r="DJ19" i="43"/>
  <c r="DE19" i="43"/>
  <c r="CX19" i="43"/>
  <c r="CS19" i="43"/>
  <c r="AN19" i="43"/>
  <c r="K19" i="43"/>
  <c r="I19" i="43"/>
  <c r="EX18" i="43"/>
  <c r="EO18" i="43"/>
  <c r="EQ18" i="43" s="1"/>
  <c r="EI18" i="43"/>
  <c r="EG18" i="43"/>
  <c r="EE18" i="43"/>
  <c r="EA18" i="43"/>
  <c r="DY18" i="43"/>
  <c r="DR18" i="43"/>
  <c r="DK18" i="43"/>
  <c r="DZ18" i="43" s="1"/>
  <c r="DJ18" i="43"/>
  <c r="DF18" i="43"/>
  <c r="DG18" i="43" s="1"/>
  <c r="DD18" i="43"/>
  <c r="DA18" i="43"/>
  <c r="CZ18" i="43"/>
  <c r="CS18" i="43"/>
  <c r="DE18" i="43" s="1"/>
  <c r="AP18" i="43"/>
  <c r="AN18" i="43"/>
  <c r="K18" i="43"/>
  <c r="I18" i="43"/>
  <c r="EJ18" i="43" s="1"/>
  <c r="EP18" i="43" s="1"/>
  <c r="EX17" i="43"/>
  <c r="ER17" i="43"/>
  <c r="EP17" i="43"/>
  <c r="EQ17" i="43" s="1"/>
  <c r="EJ17" i="43"/>
  <c r="EK17" i="43" s="1"/>
  <c r="EI17" i="43"/>
  <c r="EH17" i="43"/>
  <c r="EG17" i="43"/>
  <c r="EO17" i="43" s="1"/>
  <c r="DY17" i="43"/>
  <c r="DR17" i="43"/>
  <c r="DJ17" i="43"/>
  <c r="DE17" i="43"/>
  <c r="DA17" i="43"/>
  <c r="CZ17" i="43"/>
  <c r="CY17" i="43"/>
  <c r="CX17" i="43"/>
  <c r="CS17" i="43"/>
  <c r="AN17" i="43"/>
  <c r="AP17" i="43" s="1"/>
  <c r="K17" i="43"/>
  <c r="CW17" i="43" s="1"/>
  <c r="I17" i="43"/>
  <c r="DK17" i="43" s="1"/>
  <c r="EJ16" i="43"/>
  <c r="EP16" i="43" s="1"/>
  <c r="EI16" i="43"/>
  <c r="EG16" i="43"/>
  <c r="EO16" i="43" s="1"/>
  <c r="EQ16" i="43" s="1"/>
  <c r="DY16" i="43"/>
  <c r="DR16" i="43"/>
  <c r="DJ16" i="43"/>
  <c r="DE16" i="43"/>
  <c r="CZ16" i="43"/>
  <c r="CX16" i="43"/>
  <c r="CS16" i="43"/>
  <c r="AN16" i="43"/>
  <c r="K16" i="43"/>
  <c r="I16" i="43"/>
  <c r="DK16" i="43" s="1"/>
  <c r="EX15" i="43"/>
  <c r="EU15" i="43"/>
  <c r="ER15" i="43"/>
  <c r="EJ15" i="43"/>
  <c r="EP15" i="43" s="1"/>
  <c r="EI15" i="43"/>
  <c r="EH15" i="43"/>
  <c r="EK15" i="43" s="1"/>
  <c r="EG15" i="43"/>
  <c r="EO15" i="43" s="1"/>
  <c r="DZ15" i="43"/>
  <c r="DY15" i="43"/>
  <c r="DW15" i="43"/>
  <c r="DR15" i="43"/>
  <c r="DJ15" i="43"/>
  <c r="DH15" i="43"/>
  <c r="DD15" i="43"/>
  <c r="CZ15" i="43"/>
  <c r="CY15" i="43"/>
  <c r="CW15" i="43"/>
  <c r="CS15" i="43"/>
  <c r="DE15" i="43" s="1"/>
  <c r="AP15" i="43"/>
  <c r="AN15" i="43"/>
  <c r="K15" i="43"/>
  <c r="CX15" i="43" s="1"/>
  <c r="I15" i="43"/>
  <c r="EU14" i="43"/>
  <c r="ER14" i="43"/>
  <c r="EP14" i="43"/>
  <c r="EO14" i="43"/>
  <c r="EJ14" i="43"/>
  <c r="EI14" i="43"/>
  <c r="EH14" i="43"/>
  <c r="EG14" i="43"/>
  <c r="DY14" i="43"/>
  <c r="DR14" i="43"/>
  <c r="EX14" i="43" s="1"/>
  <c r="DK14" i="43"/>
  <c r="DZ14" i="43" s="1"/>
  <c r="DJ14" i="43"/>
  <c r="DA14" i="43"/>
  <c r="CY14" i="43"/>
  <c r="CX14" i="43"/>
  <c r="CW14" i="43"/>
  <c r="CS14" i="43"/>
  <c r="DE14" i="43" s="1"/>
  <c r="AN14" i="43"/>
  <c r="AP14" i="43" s="1"/>
  <c r="K14" i="43"/>
  <c r="CZ14" i="43" s="1"/>
  <c r="I14" i="43"/>
  <c r="EU13" i="43"/>
  <c r="ER13" i="43"/>
  <c r="EQ13" i="43"/>
  <c r="EP13" i="43"/>
  <c r="EO13" i="43"/>
  <c r="EJ13" i="43"/>
  <c r="EI13" i="43"/>
  <c r="EG13" i="43"/>
  <c r="DZ13" i="43"/>
  <c r="DY13" i="43"/>
  <c r="DR13" i="43"/>
  <c r="DK13" i="43"/>
  <c r="DJ13" i="43"/>
  <c r="CZ13" i="43"/>
  <c r="CY13" i="43"/>
  <c r="CS13" i="43"/>
  <c r="DE13" i="43" s="1"/>
  <c r="AN13" i="43"/>
  <c r="K13" i="43"/>
  <c r="EH13" i="43" s="1"/>
  <c r="EK13" i="43" s="1"/>
  <c r="EM13" i="43" s="1"/>
  <c r="I13" i="43"/>
  <c r="EX12" i="43"/>
  <c r="ER12" i="43"/>
  <c r="EI12" i="43"/>
  <c r="EH12" i="43"/>
  <c r="EG12" i="43"/>
  <c r="EO12" i="43" s="1"/>
  <c r="DY12" i="43"/>
  <c r="DR12" i="43"/>
  <c r="DJ12" i="43"/>
  <c r="DA12" i="43"/>
  <c r="CZ12" i="43"/>
  <c r="CY12" i="43"/>
  <c r="CX12" i="43"/>
  <c r="CW12" i="43"/>
  <c r="CS12" i="43"/>
  <c r="DE12" i="43" s="1"/>
  <c r="AN12" i="43"/>
  <c r="AP12" i="43" s="1"/>
  <c r="K12" i="43"/>
  <c r="I12" i="43"/>
  <c r="EP11" i="43"/>
  <c r="EO11" i="43"/>
  <c r="EQ11" i="43" s="1"/>
  <c r="EJ11" i="43"/>
  <c r="EI11" i="43"/>
  <c r="EG11" i="43"/>
  <c r="DY11" i="43"/>
  <c r="DR11" i="43"/>
  <c r="EX11" i="43" s="1"/>
  <c r="DJ11" i="43"/>
  <c r="CY11" i="43"/>
  <c r="CX11" i="43"/>
  <c r="CS11" i="43"/>
  <c r="DE11" i="43" s="1"/>
  <c r="AN11" i="43"/>
  <c r="AP11" i="43" s="1"/>
  <c r="K11" i="43"/>
  <c r="I11" i="43"/>
  <c r="ER10" i="43"/>
  <c r="EP10" i="43"/>
  <c r="EO10" i="43"/>
  <c r="EQ10" i="43" s="1"/>
  <c r="EI10" i="43"/>
  <c r="EH10" i="43"/>
  <c r="EK10" i="43" s="1"/>
  <c r="EG10" i="43"/>
  <c r="DY10" i="43"/>
  <c r="DR10" i="43"/>
  <c r="DK10" i="43"/>
  <c r="EU10" i="43" s="1"/>
  <c r="DJ10" i="43"/>
  <c r="DA10" i="43"/>
  <c r="CZ10" i="43"/>
  <c r="CY10" i="43"/>
  <c r="CX10" i="43"/>
  <c r="CW10" i="43"/>
  <c r="CS10" i="43"/>
  <c r="DE10" i="43" s="1"/>
  <c r="AN10" i="43"/>
  <c r="AP10" i="43" s="1"/>
  <c r="K10" i="43"/>
  <c r="I10" i="43"/>
  <c r="EJ10" i="43" s="1"/>
  <c r="EX9" i="43"/>
  <c r="ER9" i="43"/>
  <c r="EQ9" i="43"/>
  <c r="EO9" i="43"/>
  <c r="EJ9" i="43"/>
  <c r="EP9" i="43" s="1"/>
  <c r="EI9" i="43"/>
  <c r="EG9" i="43"/>
  <c r="DY9" i="43"/>
  <c r="DR9" i="43"/>
  <c r="DJ9" i="43"/>
  <c r="DE9" i="43"/>
  <c r="CY9" i="43"/>
  <c r="CX9" i="43"/>
  <c r="CW9" i="43"/>
  <c r="CS9" i="43"/>
  <c r="AN9" i="43"/>
  <c r="K9" i="43"/>
  <c r="CZ9" i="43" s="1"/>
  <c r="I9" i="43"/>
  <c r="EX8" i="43"/>
  <c r="EI8" i="43"/>
  <c r="EG8" i="43"/>
  <c r="EO8" i="43" s="1"/>
  <c r="DY8" i="43"/>
  <c r="DR8" i="43"/>
  <c r="DK8" i="43"/>
  <c r="DZ8" i="43" s="1"/>
  <c r="DJ8" i="43"/>
  <c r="DE8" i="43"/>
  <c r="DA8" i="43"/>
  <c r="CS8" i="43"/>
  <c r="AN8" i="43"/>
  <c r="K8" i="43"/>
  <c r="I8" i="43"/>
  <c r="EJ8" i="43" s="1"/>
  <c r="EP8" i="43" s="1"/>
  <c r="EX7" i="43"/>
  <c r="EI7" i="43"/>
  <c r="EG7" i="43"/>
  <c r="DY7" i="43"/>
  <c r="DR7" i="43"/>
  <c r="DJ7" i="43"/>
  <c r="CS7" i="43"/>
  <c r="DE7" i="43" s="1"/>
  <c r="AN7" i="43"/>
  <c r="K7" i="43"/>
  <c r="I7" i="43"/>
  <c r="ER6" i="43"/>
  <c r="EO6" i="43"/>
  <c r="EJ6" i="43"/>
  <c r="EI6" i="43"/>
  <c r="EH6" i="43"/>
  <c r="EG6" i="43"/>
  <c r="EA6" i="43"/>
  <c r="DY6" i="43"/>
  <c r="DW6" i="43"/>
  <c r="DR6" i="43"/>
  <c r="DK6" i="43"/>
  <c r="DJ6" i="43"/>
  <c r="DE6" i="43"/>
  <c r="DD6" i="43"/>
  <c r="DF6" i="43" s="1"/>
  <c r="DG6" i="43" s="1"/>
  <c r="CX6" i="43"/>
  <c r="CW6" i="43"/>
  <c r="CU6" i="43"/>
  <c r="EV6" i="43" s="1"/>
  <c r="CS6" i="43"/>
  <c r="AP6" i="43"/>
  <c r="AN6" i="43"/>
  <c r="K6" i="43"/>
  <c r="DA6" i="43" s="1"/>
  <c r="I6" i="43"/>
  <c r="EO5" i="43"/>
  <c r="EI5" i="43"/>
  <c r="EG5" i="43"/>
  <c r="DY5" i="43"/>
  <c r="DR5" i="43"/>
  <c r="EX5" i="43" s="1"/>
  <c r="DJ5" i="43"/>
  <c r="DE5" i="43"/>
  <c r="CS5" i="43"/>
  <c r="AN5" i="43"/>
  <c r="K5" i="43"/>
  <c r="I5" i="43"/>
  <c r="DQ107" i="42"/>
  <c r="DP107" i="42"/>
  <c r="DR107" i="42" s="1"/>
  <c r="CR107" i="42"/>
  <c r="CQ107" i="42"/>
  <c r="CP107" i="42"/>
  <c r="CO107" i="42"/>
  <c r="CN107" i="42"/>
  <c r="CM107" i="42"/>
  <c r="CL107" i="42"/>
  <c r="CK107" i="42"/>
  <c r="CJ107" i="42"/>
  <c r="CI107" i="42"/>
  <c r="CH107" i="42"/>
  <c r="CG107" i="42"/>
  <c r="CF107" i="42"/>
  <c r="CE107" i="42"/>
  <c r="CD107" i="42"/>
  <c r="CC107" i="42"/>
  <c r="CB107" i="42"/>
  <c r="CA107" i="42"/>
  <c r="BZ107" i="42"/>
  <c r="BY107" i="42"/>
  <c r="BX107" i="42"/>
  <c r="BW107" i="42"/>
  <c r="BV107" i="42"/>
  <c r="BU107" i="42"/>
  <c r="BT107" i="42"/>
  <c r="BS107" i="42"/>
  <c r="BR107" i="42"/>
  <c r="BQ107" i="42"/>
  <c r="BP107" i="42"/>
  <c r="BO107" i="42"/>
  <c r="BN107" i="42"/>
  <c r="BM107" i="42"/>
  <c r="BL107" i="42"/>
  <c r="BK107" i="42"/>
  <c r="BJ107" i="42"/>
  <c r="BI107" i="42"/>
  <c r="BH107" i="42"/>
  <c r="BG107" i="42"/>
  <c r="BF107" i="42"/>
  <c r="BE107" i="42"/>
  <c r="BD107" i="42"/>
  <c r="BC107" i="42"/>
  <c r="BB107" i="42"/>
  <c r="BA107" i="42"/>
  <c r="AZ107" i="42"/>
  <c r="AY107" i="42"/>
  <c r="AX107" i="42"/>
  <c r="AW107" i="42"/>
  <c r="AV107" i="42"/>
  <c r="AU107" i="42"/>
  <c r="AR107" i="42"/>
  <c r="AM107" i="42"/>
  <c r="AL107" i="42"/>
  <c r="AK107" i="42"/>
  <c r="AJ107" i="42"/>
  <c r="AI107" i="42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G107" i="42"/>
  <c r="E107" i="42"/>
  <c r="EX106" i="42"/>
  <c r="EI106" i="42"/>
  <c r="EG106" i="42"/>
  <c r="EO106" i="42" s="1"/>
  <c r="DY106" i="42"/>
  <c r="DR106" i="42"/>
  <c r="DJ106" i="42"/>
  <c r="DE106" i="42"/>
  <c r="CS106" i="42"/>
  <c r="AN106" i="42"/>
  <c r="K106" i="42"/>
  <c r="I106" i="42"/>
  <c r="EI105" i="42"/>
  <c r="EH105" i="42"/>
  <c r="EG105" i="42"/>
  <c r="DY105" i="42"/>
  <c r="DR105" i="42"/>
  <c r="DJ105" i="42"/>
  <c r="DE105" i="42"/>
  <c r="DA105" i="42"/>
  <c r="CS105" i="42"/>
  <c r="AN105" i="42"/>
  <c r="K105" i="42"/>
  <c r="CZ105" i="42" s="1"/>
  <c r="I105" i="42"/>
  <c r="EJ105" i="42" s="1"/>
  <c r="EX104" i="42"/>
  <c r="EO104" i="42"/>
  <c r="EI104" i="42"/>
  <c r="EH104" i="42"/>
  <c r="EG104" i="42"/>
  <c r="DY104" i="42"/>
  <c r="DR104" i="42"/>
  <c r="DJ104" i="42"/>
  <c r="DA104" i="42"/>
  <c r="CW104" i="42"/>
  <c r="CS104" i="42"/>
  <c r="DE104" i="42" s="1"/>
  <c r="AN104" i="42"/>
  <c r="AP104" i="42" s="1"/>
  <c r="K104" i="42"/>
  <c r="CZ104" i="42" s="1"/>
  <c r="I104" i="42"/>
  <c r="EJ104" i="42" s="1"/>
  <c r="EP104" i="42" s="1"/>
  <c r="EQ104" i="42" s="1"/>
  <c r="EO103" i="42"/>
  <c r="EI103" i="42"/>
  <c r="EG103" i="42"/>
  <c r="DY103" i="42"/>
  <c r="DR103" i="42"/>
  <c r="EX103" i="42" s="1"/>
  <c r="DK103" i="42"/>
  <c r="DJ103" i="42"/>
  <c r="DE103" i="42"/>
  <c r="CS103" i="42"/>
  <c r="AN103" i="42"/>
  <c r="K103" i="42"/>
  <c r="I103" i="42"/>
  <c r="EU102" i="42"/>
  <c r="ER102" i="42"/>
  <c r="EI102" i="42"/>
  <c r="EH102" i="42"/>
  <c r="EG102" i="42"/>
  <c r="DZ102" i="42"/>
  <c r="DY102" i="42"/>
  <c r="DR102" i="42"/>
  <c r="EX102" i="42" s="1"/>
  <c r="DK102" i="42"/>
  <c r="DJ102" i="42"/>
  <c r="DA102" i="42"/>
  <c r="CZ102" i="42"/>
  <c r="CY102" i="42"/>
  <c r="CX102" i="42"/>
  <c r="CW102" i="42"/>
  <c r="CS102" i="42"/>
  <c r="DE102" i="42" s="1"/>
  <c r="AN102" i="42"/>
  <c r="AP102" i="42" s="1"/>
  <c r="K102" i="42"/>
  <c r="I102" i="42"/>
  <c r="EJ102" i="42" s="1"/>
  <c r="EP102" i="42" s="1"/>
  <c r="EX101" i="42"/>
  <c r="EW101" i="42"/>
  <c r="EZ101" i="42" s="1"/>
  <c r="FA101" i="42" s="1"/>
  <c r="EV101" i="42"/>
  <c r="EI101" i="42"/>
  <c r="EH101" i="42"/>
  <c r="EG101" i="42"/>
  <c r="EO101" i="42" s="1"/>
  <c r="EE101" i="42"/>
  <c r="EA101" i="42"/>
  <c r="DY101" i="42"/>
  <c r="DR101" i="42"/>
  <c r="DJ101" i="42"/>
  <c r="DH101" i="42"/>
  <c r="DA101" i="42"/>
  <c r="CZ101" i="42"/>
  <c r="CY101" i="42"/>
  <c r="CW101" i="42"/>
  <c r="CU101" i="42"/>
  <c r="DB101" i="42" s="1"/>
  <c r="CS101" i="42"/>
  <c r="DE101" i="42" s="1"/>
  <c r="AN101" i="42"/>
  <c r="AP101" i="42" s="1"/>
  <c r="DW101" i="42" s="1"/>
  <c r="K101" i="42"/>
  <c r="ER101" i="42" s="1"/>
  <c r="I101" i="42"/>
  <c r="EO100" i="42"/>
  <c r="EJ100" i="42"/>
  <c r="EP100" i="42" s="1"/>
  <c r="EI100" i="42"/>
  <c r="EH100" i="42"/>
  <c r="EK100" i="42" s="1"/>
  <c r="EG100" i="42"/>
  <c r="DY100" i="42"/>
  <c r="DR100" i="42"/>
  <c r="DJ100" i="42"/>
  <c r="DE100" i="42"/>
  <c r="DA100" i="42"/>
  <c r="CY100" i="42"/>
  <c r="CX100" i="42"/>
  <c r="CW100" i="42"/>
  <c r="CS100" i="42"/>
  <c r="AN100" i="42"/>
  <c r="K100" i="42"/>
  <c r="ER100" i="42" s="1"/>
  <c r="I100" i="42"/>
  <c r="DK100" i="42" s="1"/>
  <c r="EO99" i="42"/>
  <c r="EQ99" i="42" s="1"/>
  <c r="EI99" i="42"/>
  <c r="EG99" i="42"/>
  <c r="DY99" i="42"/>
  <c r="DR99" i="42"/>
  <c r="DJ99" i="42"/>
  <c r="DE99" i="42"/>
  <c r="CS99" i="42"/>
  <c r="AN99" i="42"/>
  <c r="K99" i="42"/>
  <c r="I99" i="42"/>
  <c r="EJ99" i="42" s="1"/>
  <c r="EP99" i="42" s="1"/>
  <c r="EX98" i="42"/>
  <c r="EO98" i="42"/>
  <c r="EI98" i="42"/>
  <c r="EH98" i="42"/>
  <c r="EG98" i="42"/>
  <c r="EE98" i="42"/>
  <c r="EA98" i="42"/>
  <c r="DY98" i="42"/>
  <c r="DR98" i="42"/>
  <c r="DJ98" i="42"/>
  <c r="DH98" i="42"/>
  <c r="DA98" i="42"/>
  <c r="CY98" i="42"/>
  <c r="CW98" i="42"/>
  <c r="CS98" i="42"/>
  <c r="DE98" i="42" s="1"/>
  <c r="AP98" i="42"/>
  <c r="DW98" i="42" s="1"/>
  <c r="AN98" i="42"/>
  <c r="K98" i="42"/>
  <c r="CZ98" i="42" s="1"/>
  <c r="I98" i="42"/>
  <c r="ER97" i="42"/>
  <c r="EO97" i="42"/>
  <c r="EQ97" i="42" s="1"/>
  <c r="EJ97" i="42"/>
  <c r="EP97" i="42" s="1"/>
  <c r="EI97" i="42"/>
  <c r="EH97" i="42"/>
  <c r="EK97" i="42" s="1"/>
  <c r="EG97" i="42"/>
  <c r="DY97" i="42"/>
  <c r="DR97" i="42"/>
  <c r="DJ97" i="42"/>
  <c r="DE97" i="42"/>
  <c r="DA97" i="42"/>
  <c r="CY97" i="42"/>
  <c r="CX97" i="42"/>
  <c r="CW97" i="42"/>
  <c r="CS97" i="42"/>
  <c r="AN97" i="42"/>
  <c r="K97" i="42"/>
  <c r="I97" i="42"/>
  <c r="ER96" i="42"/>
  <c r="EO96" i="42"/>
  <c r="EI96" i="42"/>
  <c r="EH96" i="42"/>
  <c r="EG96" i="42"/>
  <c r="DY96" i="42"/>
  <c r="DR96" i="42"/>
  <c r="EX96" i="42" s="1"/>
  <c r="DJ96" i="42"/>
  <c r="DD96" i="42"/>
  <c r="DF96" i="42" s="1"/>
  <c r="DL96" i="42" s="1"/>
  <c r="DA96" i="42"/>
  <c r="CZ96" i="42"/>
  <c r="CY96" i="42"/>
  <c r="CX96" i="42"/>
  <c r="CW96" i="42"/>
  <c r="CS96" i="42"/>
  <c r="DE96" i="42" s="1"/>
  <c r="AN96" i="42"/>
  <c r="AP96" i="42" s="1"/>
  <c r="DH96" i="42" s="1"/>
  <c r="K96" i="42"/>
  <c r="I96" i="42"/>
  <c r="EX95" i="42"/>
  <c r="EI95" i="42"/>
  <c r="EH95" i="42"/>
  <c r="EG95" i="42"/>
  <c r="EO95" i="42" s="1"/>
  <c r="EE95" i="42"/>
  <c r="EA95" i="42"/>
  <c r="DY95" i="42"/>
  <c r="DR95" i="42"/>
  <c r="DJ95" i="42"/>
  <c r="DH95" i="42"/>
  <c r="DA95" i="42"/>
  <c r="CZ95" i="42"/>
  <c r="CY95" i="42"/>
  <c r="CW95" i="42"/>
  <c r="CS95" i="42"/>
  <c r="DE95" i="42" s="1"/>
  <c r="AN95" i="42"/>
  <c r="AP95" i="42" s="1"/>
  <c r="DW95" i="42" s="1"/>
  <c r="K95" i="42"/>
  <c r="ER95" i="42" s="1"/>
  <c r="I95" i="42"/>
  <c r="EO94" i="42"/>
  <c r="EJ94" i="42"/>
  <c r="EP94" i="42" s="1"/>
  <c r="EI94" i="42"/>
  <c r="EH94" i="42"/>
  <c r="EK94" i="42" s="1"/>
  <c r="EG94" i="42"/>
  <c r="DY94" i="42"/>
  <c r="DR94" i="42"/>
  <c r="DJ94" i="42"/>
  <c r="DE94" i="42"/>
  <c r="DA94" i="42"/>
  <c r="CY94" i="42"/>
  <c r="CX94" i="42"/>
  <c r="CW94" i="42"/>
  <c r="CS94" i="42"/>
  <c r="AN94" i="42"/>
  <c r="K94" i="42"/>
  <c r="ER94" i="42" s="1"/>
  <c r="I94" i="42"/>
  <c r="DK94" i="42" s="1"/>
  <c r="EO93" i="42"/>
  <c r="EI93" i="42"/>
  <c r="EG93" i="42"/>
  <c r="DY93" i="42"/>
  <c r="DR93" i="42"/>
  <c r="DJ93" i="42"/>
  <c r="DE93" i="42"/>
  <c r="CS93" i="42"/>
  <c r="AN93" i="42"/>
  <c r="K93" i="42"/>
  <c r="I93" i="42"/>
  <c r="EX92" i="42"/>
  <c r="EO92" i="42"/>
  <c r="EI92" i="42"/>
  <c r="EH92" i="42"/>
  <c r="EK92" i="42" s="1"/>
  <c r="EG92" i="42"/>
  <c r="DY92" i="42"/>
  <c r="DR92" i="42"/>
  <c r="DK92" i="42"/>
  <c r="DJ92" i="42"/>
  <c r="DA92" i="42"/>
  <c r="CZ92" i="42"/>
  <c r="CY92" i="42"/>
  <c r="CW92" i="42"/>
  <c r="CS92" i="42"/>
  <c r="DE92" i="42" s="1"/>
  <c r="AN92" i="42"/>
  <c r="AP92" i="42" s="1"/>
  <c r="K92" i="42"/>
  <c r="ER92" i="42" s="1"/>
  <c r="I92" i="42"/>
  <c r="EJ92" i="42" s="1"/>
  <c r="EP92" i="42" s="1"/>
  <c r="EO91" i="42"/>
  <c r="EI91" i="42"/>
  <c r="EG91" i="42"/>
  <c r="DY91" i="42"/>
  <c r="DR91" i="42"/>
  <c r="EX91" i="42" s="1"/>
  <c r="DJ91" i="42"/>
  <c r="DA91" i="42"/>
  <c r="CY91" i="42"/>
  <c r="CS91" i="42"/>
  <c r="DE91" i="42" s="1"/>
  <c r="AN91" i="42"/>
  <c r="K91" i="42"/>
  <c r="EH91" i="42" s="1"/>
  <c r="I91" i="42"/>
  <c r="EJ91" i="42" s="1"/>
  <c r="ER90" i="42"/>
  <c r="EJ90" i="42"/>
  <c r="EP90" i="42" s="1"/>
  <c r="EI90" i="42"/>
  <c r="EH90" i="42"/>
  <c r="EG90" i="42"/>
  <c r="DY90" i="42"/>
  <c r="DR90" i="42"/>
  <c r="EX90" i="42" s="1"/>
  <c r="DK90" i="42"/>
  <c r="DJ90" i="42"/>
  <c r="DA90" i="42"/>
  <c r="CZ90" i="42"/>
  <c r="CY90" i="42"/>
  <c r="CX90" i="42"/>
  <c r="CW90" i="42"/>
  <c r="CS90" i="42"/>
  <c r="DE90" i="42" s="1"/>
  <c r="AP90" i="42"/>
  <c r="AN90" i="42"/>
  <c r="K90" i="42"/>
  <c r="I90" i="42"/>
  <c r="EX89" i="42"/>
  <c r="EO89" i="42"/>
  <c r="EI89" i="42"/>
  <c r="EH89" i="42"/>
  <c r="EG89" i="42"/>
  <c r="DY89" i="42"/>
  <c r="DR89" i="42"/>
  <c r="DJ89" i="42"/>
  <c r="DH89" i="42"/>
  <c r="DD89" i="42"/>
  <c r="DF89" i="42" s="1"/>
  <c r="DG89" i="42" s="1"/>
  <c r="DA89" i="42"/>
  <c r="CZ89" i="42"/>
  <c r="CY89" i="42"/>
  <c r="CX89" i="42"/>
  <c r="CW89" i="42"/>
  <c r="CS89" i="42"/>
  <c r="DE89" i="42" s="1"/>
  <c r="AN89" i="42"/>
  <c r="AP89" i="42" s="1"/>
  <c r="K89" i="42"/>
  <c r="ER89" i="42" s="1"/>
  <c r="I89" i="42"/>
  <c r="EI88" i="42"/>
  <c r="EH88" i="42"/>
  <c r="EG88" i="42"/>
  <c r="DY88" i="42"/>
  <c r="DR88" i="42"/>
  <c r="DK88" i="42"/>
  <c r="DJ88" i="42"/>
  <c r="DE88" i="42"/>
  <c r="CS88" i="42"/>
  <c r="AN88" i="42"/>
  <c r="K88" i="42"/>
  <c r="I88" i="42"/>
  <c r="EJ87" i="42"/>
  <c r="EP87" i="42" s="1"/>
  <c r="EI87" i="42"/>
  <c r="EG87" i="42"/>
  <c r="DY87" i="42"/>
  <c r="DR87" i="42"/>
  <c r="DJ87" i="42"/>
  <c r="DE87" i="42"/>
  <c r="CS87" i="42"/>
  <c r="AN87" i="42"/>
  <c r="K87" i="42"/>
  <c r="I87" i="42"/>
  <c r="DK87" i="42" s="1"/>
  <c r="EX86" i="42"/>
  <c r="EO86" i="42"/>
  <c r="EI86" i="42"/>
  <c r="EG86" i="42"/>
  <c r="DY86" i="42"/>
  <c r="DR86" i="42"/>
  <c r="DJ86" i="42"/>
  <c r="DE86" i="42"/>
  <c r="CS86" i="42"/>
  <c r="AN86" i="42"/>
  <c r="K86" i="42"/>
  <c r="I86" i="42"/>
  <c r="ER85" i="42"/>
  <c r="EO85" i="42"/>
  <c r="EI85" i="42"/>
  <c r="EG85" i="42"/>
  <c r="DY85" i="42"/>
  <c r="DR85" i="42"/>
  <c r="DJ85" i="42"/>
  <c r="DE85" i="42"/>
  <c r="DA85" i="42"/>
  <c r="CZ85" i="42"/>
  <c r="CS85" i="42"/>
  <c r="AN85" i="42"/>
  <c r="K85" i="42"/>
  <c r="EH85" i="42" s="1"/>
  <c r="I85" i="42"/>
  <c r="ER84" i="42"/>
  <c r="EJ84" i="42"/>
  <c r="EP84" i="42" s="1"/>
  <c r="EI84" i="42"/>
  <c r="EH84" i="42"/>
  <c r="EK84" i="42" s="1"/>
  <c r="EM84" i="42" s="1"/>
  <c r="EG84" i="42"/>
  <c r="EA84" i="42"/>
  <c r="DY84" i="42"/>
  <c r="DR84" i="42"/>
  <c r="DJ84" i="42"/>
  <c r="DA84" i="42"/>
  <c r="CZ84" i="42"/>
  <c r="CY84" i="42"/>
  <c r="CX84" i="42"/>
  <c r="CW84" i="42"/>
  <c r="CS84" i="42"/>
  <c r="DE84" i="42" s="1"/>
  <c r="AP84" i="42"/>
  <c r="AN84" i="42"/>
  <c r="K84" i="42"/>
  <c r="I84" i="42"/>
  <c r="DK84" i="42" s="1"/>
  <c r="EP83" i="42"/>
  <c r="EJ83" i="42"/>
  <c r="EI83" i="42"/>
  <c r="EH83" i="42"/>
  <c r="EK83" i="42" s="1"/>
  <c r="EM83" i="42" s="1"/>
  <c r="EG83" i="42"/>
  <c r="DY83" i="42"/>
  <c r="DR83" i="42"/>
  <c r="DJ83" i="42"/>
  <c r="DA83" i="42"/>
  <c r="CZ83" i="42"/>
  <c r="CY83" i="42"/>
  <c r="CX83" i="42"/>
  <c r="CS83" i="42"/>
  <c r="DE83" i="42" s="1"/>
  <c r="AN83" i="42"/>
  <c r="K83" i="42"/>
  <c r="I83" i="42"/>
  <c r="DK83" i="42" s="1"/>
  <c r="EX82" i="42"/>
  <c r="EM82" i="42"/>
  <c r="EJ82" i="42"/>
  <c r="EP82" i="42" s="1"/>
  <c r="EI82" i="42"/>
  <c r="EH82" i="42"/>
  <c r="EK82" i="42" s="1"/>
  <c r="EG82" i="42"/>
  <c r="DY82" i="42"/>
  <c r="DR82" i="42"/>
  <c r="DK82" i="42"/>
  <c r="DJ82" i="42"/>
  <c r="DE82" i="42"/>
  <c r="CX82" i="42"/>
  <c r="CS82" i="42"/>
  <c r="AN82" i="42"/>
  <c r="K82" i="42"/>
  <c r="I82" i="42"/>
  <c r="ER81" i="42"/>
  <c r="EI81" i="42"/>
  <c r="EH81" i="42"/>
  <c r="EG81" i="42"/>
  <c r="DY81" i="42"/>
  <c r="DR81" i="42"/>
  <c r="DJ81" i="42"/>
  <c r="DA81" i="42"/>
  <c r="CZ81" i="42"/>
  <c r="CY81" i="42"/>
  <c r="CX81" i="42"/>
  <c r="CS81" i="42"/>
  <c r="DE81" i="42" s="1"/>
  <c r="AP81" i="42"/>
  <c r="AN81" i="42"/>
  <c r="K81" i="42"/>
  <c r="CW81" i="42" s="1"/>
  <c r="I81" i="42"/>
  <c r="DK81" i="42" s="1"/>
  <c r="EI80" i="42"/>
  <c r="EH80" i="42"/>
  <c r="EG80" i="42"/>
  <c r="DY80" i="42"/>
  <c r="DR80" i="42"/>
  <c r="DJ80" i="42"/>
  <c r="DE80" i="42"/>
  <c r="DA80" i="42"/>
  <c r="CZ80" i="42"/>
  <c r="CS80" i="42"/>
  <c r="AN80" i="42"/>
  <c r="K80" i="42"/>
  <c r="I80" i="42"/>
  <c r="EX79" i="42"/>
  <c r="EO79" i="42"/>
  <c r="EI79" i="42"/>
  <c r="EG79" i="42"/>
  <c r="DY79" i="42"/>
  <c r="DR79" i="42"/>
  <c r="DJ79" i="42"/>
  <c r="DE79" i="42"/>
  <c r="CS79" i="42"/>
  <c r="AN79" i="42"/>
  <c r="K79" i="42"/>
  <c r="I79" i="42"/>
  <c r="EI78" i="42"/>
  <c r="EG78" i="42"/>
  <c r="EO78" i="42" s="1"/>
  <c r="EQ78" i="42" s="1"/>
  <c r="EA78" i="42"/>
  <c r="DZ78" i="42"/>
  <c r="DY78" i="42"/>
  <c r="DR78" i="42"/>
  <c r="EX78" i="42" s="1"/>
  <c r="DK78" i="42"/>
  <c r="EU78" i="42" s="1"/>
  <c r="DJ78" i="42"/>
  <c r="CZ78" i="42"/>
  <c r="CS78" i="42"/>
  <c r="DE78" i="42" s="1"/>
  <c r="AP78" i="42"/>
  <c r="AN78" i="42"/>
  <c r="K78" i="42"/>
  <c r="I78" i="42"/>
  <c r="EJ78" i="42" s="1"/>
  <c r="EP78" i="42" s="1"/>
  <c r="EX77" i="42"/>
  <c r="ER77" i="42"/>
  <c r="EO77" i="42"/>
  <c r="EQ77" i="42" s="1"/>
  <c r="EI77" i="42"/>
  <c r="EH77" i="42"/>
  <c r="EK77" i="42" s="1"/>
  <c r="EM77" i="42" s="1"/>
  <c r="EG77" i="42"/>
  <c r="DY77" i="42"/>
  <c r="DR77" i="42"/>
  <c r="DK77" i="42"/>
  <c r="DJ77" i="42"/>
  <c r="DA77" i="42"/>
  <c r="CZ77" i="42"/>
  <c r="CY77" i="42"/>
  <c r="CX77" i="42"/>
  <c r="CW77" i="42"/>
  <c r="CS77" i="42"/>
  <c r="DE77" i="42" s="1"/>
  <c r="AP77" i="42"/>
  <c r="EA77" i="42" s="1"/>
  <c r="AN77" i="42"/>
  <c r="K77" i="42"/>
  <c r="I77" i="42"/>
  <c r="EJ77" i="42" s="1"/>
  <c r="EP77" i="42" s="1"/>
  <c r="EP76" i="42"/>
  <c r="EI76" i="42"/>
  <c r="EG76" i="42"/>
  <c r="DY76" i="42"/>
  <c r="DR76" i="42"/>
  <c r="EX76" i="42" s="1"/>
  <c r="DK76" i="42"/>
  <c r="DZ76" i="42" s="1"/>
  <c r="DJ76" i="42"/>
  <c r="DE76" i="42"/>
  <c r="CZ76" i="42"/>
  <c r="CY76" i="42"/>
  <c r="CS76" i="42"/>
  <c r="AN76" i="42"/>
  <c r="K76" i="42"/>
  <c r="I76" i="42"/>
  <c r="EJ76" i="42" s="1"/>
  <c r="EX75" i="42"/>
  <c r="EU75" i="42"/>
  <c r="ER75" i="42"/>
  <c r="EJ75" i="42"/>
  <c r="EP75" i="42" s="1"/>
  <c r="EI75" i="42"/>
  <c r="EH75" i="42"/>
  <c r="EG75" i="42"/>
  <c r="EE75" i="42"/>
  <c r="DY75" i="42"/>
  <c r="DR75" i="42"/>
  <c r="DJ75" i="42"/>
  <c r="DD75" i="42"/>
  <c r="DA75" i="42"/>
  <c r="CZ75" i="42"/>
  <c r="CY75" i="42"/>
  <c r="CX75" i="42"/>
  <c r="CS75" i="42"/>
  <c r="DE75" i="42" s="1"/>
  <c r="AP75" i="42"/>
  <c r="AN75" i="42"/>
  <c r="K75" i="42"/>
  <c r="CW75" i="42" s="1"/>
  <c r="I75" i="42"/>
  <c r="DK75" i="42" s="1"/>
  <c r="DZ75" i="42" s="1"/>
  <c r="EX74" i="42"/>
  <c r="EP74" i="42"/>
  <c r="EQ74" i="42" s="1"/>
  <c r="EI74" i="42"/>
  <c r="EG74" i="42"/>
  <c r="EO74" i="42" s="1"/>
  <c r="DY74" i="42"/>
  <c r="DR74" i="42"/>
  <c r="DK74" i="42"/>
  <c r="DJ74" i="42"/>
  <c r="DE74" i="42"/>
  <c r="DA74" i="42"/>
  <c r="CZ74" i="42"/>
  <c r="CW74" i="42"/>
  <c r="CS74" i="42"/>
  <c r="AN74" i="42"/>
  <c r="K74" i="42"/>
  <c r="I74" i="42"/>
  <c r="EJ74" i="42" s="1"/>
  <c r="EX73" i="42"/>
  <c r="ER73" i="42"/>
  <c r="EO73" i="42"/>
  <c r="EI73" i="42"/>
  <c r="EG73" i="42"/>
  <c r="DY73" i="42"/>
  <c r="DR73" i="42"/>
  <c r="DJ73" i="42"/>
  <c r="DE73" i="42"/>
  <c r="CS73" i="42"/>
  <c r="AN73" i="42"/>
  <c r="K73" i="42"/>
  <c r="I73" i="42"/>
  <c r="EI72" i="42"/>
  <c r="EG72" i="42"/>
  <c r="DY72" i="42"/>
  <c r="DR72" i="42"/>
  <c r="EX72" i="42" s="1"/>
  <c r="DK72" i="42"/>
  <c r="DJ72" i="42"/>
  <c r="CS72" i="42"/>
  <c r="DE72" i="42" s="1"/>
  <c r="AN72" i="42"/>
  <c r="K72" i="42"/>
  <c r="I72" i="42"/>
  <c r="EJ72" i="42" s="1"/>
  <c r="EP72" i="42" s="1"/>
  <c r="ER71" i="42"/>
  <c r="EI71" i="42"/>
  <c r="EH71" i="42"/>
  <c r="EG71" i="42"/>
  <c r="EA71" i="42"/>
  <c r="DY71" i="42"/>
  <c r="DR71" i="42"/>
  <c r="DJ71" i="42"/>
  <c r="DA71" i="42"/>
  <c r="CZ71" i="42"/>
  <c r="CY71" i="42"/>
  <c r="CX71" i="42"/>
  <c r="CW71" i="42"/>
  <c r="CS71" i="42"/>
  <c r="DE71" i="42" s="1"/>
  <c r="AP71" i="42"/>
  <c r="AN71" i="42"/>
  <c r="K71" i="42"/>
  <c r="I71" i="42"/>
  <c r="EW70" i="42"/>
  <c r="EJ70" i="42"/>
  <c r="EP70" i="42" s="1"/>
  <c r="EQ70" i="42" s="1"/>
  <c r="EI70" i="42"/>
  <c r="EG70" i="42"/>
  <c r="EO70" i="42" s="1"/>
  <c r="EE70" i="42"/>
  <c r="DY70" i="42"/>
  <c r="DW70" i="42"/>
  <c r="DR70" i="42"/>
  <c r="EX70" i="42" s="1"/>
  <c r="DJ70" i="42"/>
  <c r="DE70" i="42"/>
  <c r="DD70" i="42"/>
  <c r="DF70" i="42" s="1"/>
  <c r="DG70" i="42" s="1"/>
  <c r="DB70" i="42"/>
  <c r="DA70" i="42"/>
  <c r="CZ70" i="42"/>
  <c r="CY70" i="42"/>
  <c r="CU70" i="42"/>
  <c r="EV70" i="42" s="1"/>
  <c r="CS70" i="42"/>
  <c r="AN70" i="42"/>
  <c r="K70" i="42"/>
  <c r="AP70" i="42" s="1"/>
  <c r="DH70" i="42" s="1"/>
  <c r="I70" i="42"/>
  <c r="DK70" i="42" s="1"/>
  <c r="EX69" i="42"/>
  <c r="ER69" i="42"/>
  <c r="EJ69" i="42"/>
  <c r="EP69" i="42" s="1"/>
  <c r="EI69" i="42"/>
  <c r="EH69" i="42"/>
  <c r="EK69" i="42" s="1"/>
  <c r="EM69" i="42" s="1"/>
  <c r="EG69" i="42"/>
  <c r="EL69" i="42" s="1"/>
  <c r="DY69" i="42"/>
  <c r="DR69" i="42"/>
  <c r="DJ69" i="42"/>
  <c r="DA69" i="42"/>
  <c r="CZ69" i="42"/>
  <c r="CY69" i="42"/>
  <c r="CX69" i="42"/>
  <c r="CS69" i="42"/>
  <c r="DE69" i="42" s="1"/>
  <c r="AN69" i="42"/>
  <c r="AP69" i="42" s="1"/>
  <c r="DW69" i="42" s="1"/>
  <c r="K69" i="42"/>
  <c r="CW69" i="42" s="1"/>
  <c r="I69" i="42"/>
  <c r="DK69" i="42" s="1"/>
  <c r="EU69" i="42" s="1"/>
  <c r="EO68" i="42"/>
  <c r="EI68" i="42"/>
  <c r="EG68" i="42"/>
  <c r="EA68" i="42"/>
  <c r="DY68" i="42"/>
  <c r="DR68" i="42"/>
  <c r="DJ68" i="42"/>
  <c r="DH68" i="42"/>
  <c r="DE68" i="42"/>
  <c r="DD68" i="42"/>
  <c r="CZ68" i="42"/>
  <c r="CS68" i="42"/>
  <c r="AP68" i="42"/>
  <c r="DW68" i="42" s="1"/>
  <c r="AN68" i="42"/>
  <c r="K68" i="42"/>
  <c r="I68" i="42"/>
  <c r="EX67" i="42"/>
  <c r="EO67" i="42"/>
  <c r="EI67" i="42"/>
  <c r="EG67" i="42"/>
  <c r="DY67" i="42"/>
  <c r="DR67" i="42"/>
  <c r="DJ67" i="42"/>
  <c r="CS67" i="42"/>
  <c r="DE67" i="42" s="1"/>
  <c r="AN67" i="42"/>
  <c r="K67" i="42"/>
  <c r="I67" i="42"/>
  <c r="EX66" i="42"/>
  <c r="EU66" i="42"/>
  <c r="EO66" i="42"/>
  <c r="EI66" i="42"/>
  <c r="EK66" i="42" s="1"/>
  <c r="EH66" i="42"/>
  <c r="EG66" i="42"/>
  <c r="DZ66" i="42"/>
  <c r="DY66" i="42"/>
  <c r="DR66" i="42"/>
  <c r="DK66" i="42"/>
  <c r="DJ66" i="42"/>
  <c r="DE66" i="42"/>
  <c r="DA66" i="42"/>
  <c r="CZ66" i="42"/>
  <c r="CY66" i="42"/>
  <c r="CS66" i="42"/>
  <c r="AN66" i="42"/>
  <c r="K66" i="42"/>
  <c r="CX66" i="42" s="1"/>
  <c r="I66" i="42"/>
  <c r="EJ66" i="42" s="1"/>
  <c r="EP66" i="42" s="1"/>
  <c r="EX65" i="42"/>
  <c r="EO65" i="42"/>
  <c r="EJ65" i="42"/>
  <c r="EP65" i="42" s="1"/>
  <c r="EI65" i="42"/>
  <c r="EG65" i="42"/>
  <c r="DY65" i="42"/>
  <c r="DR65" i="42"/>
  <c r="DJ65" i="42"/>
  <c r="DE65" i="42"/>
  <c r="CS65" i="42"/>
  <c r="AN65" i="42"/>
  <c r="K65" i="42"/>
  <c r="I65" i="42"/>
  <c r="DK65" i="42" s="1"/>
  <c r="EX64" i="42"/>
  <c r="EI64" i="42"/>
  <c r="EH64" i="42"/>
  <c r="EG64" i="42"/>
  <c r="EE64" i="42"/>
  <c r="EA64" i="42"/>
  <c r="DY64" i="42"/>
  <c r="DR64" i="42"/>
  <c r="DJ64" i="42"/>
  <c r="DE64" i="42"/>
  <c r="DD64" i="42"/>
  <c r="DF64" i="42" s="1"/>
  <c r="DL64" i="42" s="1"/>
  <c r="DA64" i="42"/>
  <c r="CZ64" i="42"/>
  <c r="CY64" i="42"/>
  <c r="CX64" i="42"/>
  <c r="CW64" i="42"/>
  <c r="CS64" i="42"/>
  <c r="AP64" i="42"/>
  <c r="AN64" i="42"/>
  <c r="K64" i="42"/>
  <c r="ER64" i="42" s="1"/>
  <c r="I64" i="42"/>
  <c r="EX63" i="42"/>
  <c r="EU63" i="42"/>
  <c r="EJ63" i="42"/>
  <c r="EP63" i="42" s="1"/>
  <c r="EI63" i="42"/>
  <c r="EH63" i="42"/>
  <c r="EK63" i="42" s="1"/>
  <c r="EM63" i="42" s="1"/>
  <c r="EG63" i="42"/>
  <c r="DY63" i="42"/>
  <c r="DR63" i="42"/>
  <c r="DJ63" i="42"/>
  <c r="DA63" i="42"/>
  <c r="CZ63" i="42"/>
  <c r="CS63" i="42"/>
  <c r="DE63" i="42" s="1"/>
  <c r="AN63" i="42"/>
  <c r="K63" i="42"/>
  <c r="I63" i="42"/>
  <c r="DK63" i="42" s="1"/>
  <c r="DZ63" i="42" s="1"/>
  <c r="EX62" i="42"/>
  <c r="ER62" i="42"/>
  <c r="EQ62" i="42"/>
  <c r="EP62" i="42"/>
  <c r="EJ62" i="42"/>
  <c r="EI62" i="42"/>
  <c r="EH62" i="42"/>
  <c r="EK62" i="42" s="1"/>
  <c r="EM62" i="42" s="1"/>
  <c r="EG62" i="42"/>
  <c r="EO62" i="42" s="1"/>
  <c r="DZ62" i="42"/>
  <c r="DY62" i="42"/>
  <c r="DR62" i="42"/>
  <c r="DK62" i="42"/>
  <c r="EU62" i="42" s="1"/>
  <c r="DJ62" i="42"/>
  <c r="DA62" i="42"/>
  <c r="CZ62" i="42"/>
  <c r="CX62" i="42"/>
  <c r="CW62" i="42"/>
  <c r="CS62" i="42"/>
  <c r="DE62" i="42" s="1"/>
  <c r="AN62" i="42"/>
  <c r="AP62" i="42" s="1"/>
  <c r="K62" i="42"/>
  <c r="CY62" i="42" s="1"/>
  <c r="I62" i="42"/>
  <c r="EX61" i="42"/>
  <c r="EU61" i="42"/>
  <c r="ER61" i="42"/>
  <c r="EO61" i="42"/>
  <c r="EJ61" i="42"/>
  <c r="EP61" i="42" s="1"/>
  <c r="EQ61" i="42" s="1"/>
  <c r="EI61" i="42"/>
  <c r="EG61" i="42"/>
  <c r="EE61" i="42"/>
  <c r="DZ61" i="42"/>
  <c r="DY61" i="42"/>
  <c r="DR61" i="42"/>
  <c r="DK61" i="42"/>
  <c r="DJ61" i="42"/>
  <c r="CX61" i="42"/>
  <c r="CS61" i="42"/>
  <c r="DE61" i="42" s="1"/>
  <c r="AN61" i="42"/>
  <c r="AP61" i="42" s="1"/>
  <c r="K61" i="42"/>
  <c r="I61" i="42"/>
  <c r="EX60" i="42"/>
  <c r="EU60" i="42"/>
  <c r="ER60" i="42"/>
  <c r="EO60" i="42"/>
  <c r="EI60" i="42"/>
  <c r="EH60" i="42"/>
  <c r="EG60" i="42"/>
  <c r="DZ60" i="42"/>
  <c r="DY60" i="42"/>
  <c r="DR60" i="42"/>
  <c r="DK60" i="42"/>
  <c r="DJ60" i="42"/>
  <c r="DE60" i="42"/>
  <c r="CY60" i="42"/>
  <c r="CS60" i="42"/>
  <c r="AN60" i="42"/>
  <c r="K60" i="42"/>
  <c r="I60" i="42"/>
  <c r="EJ60" i="42" s="1"/>
  <c r="EP60" i="42" s="1"/>
  <c r="EQ60" i="42" s="1"/>
  <c r="EX59" i="42"/>
  <c r="ER59" i="42"/>
  <c r="EI59" i="42"/>
  <c r="EG59" i="42"/>
  <c r="EA59" i="42"/>
  <c r="DZ59" i="42"/>
  <c r="DY59" i="42"/>
  <c r="DR59" i="42"/>
  <c r="DJ59" i="42"/>
  <c r="DD59" i="42"/>
  <c r="DA59" i="42"/>
  <c r="CX59" i="42"/>
  <c r="CS59" i="42"/>
  <c r="DE59" i="42" s="1"/>
  <c r="AP59" i="42"/>
  <c r="DH59" i="42" s="1"/>
  <c r="AN59" i="42"/>
  <c r="K59" i="42"/>
  <c r="I59" i="42"/>
  <c r="DK59" i="42" s="1"/>
  <c r="EU59" i="42" s="1"/>
  <c r="EP58" i="42"/>
  <c r="EQ58" i="42" s="1"/>
  <c r="EJ58" i="42"/>
  <c r="EI58" i="42"/>
  <c r="EG58" i="42"/>
  <c r="EO58" i="42" s="1"/>
  <c r="DY58" i="42"/>
  <c r="DR58" i="42"/>
  <c r="EX58" i="42" s="1"/>
  <c r="DJ58" i="42"/>
  <c r="DE58" i="42"/>
  <c r="CZ58" i="42"/>
  <c r="CW58" i="42"/>
  <c r="CS58" i="42"/>
  <c r="AP58" i="42"/>
  <c r="AN58" i="42"/>
  <c r="K58" i="42"/>
  <c r="DA58" i="42" s="1"/>
  <c r="I58" i="42"/>
  <c r="EO57" i="42"/>
  <c r="EI57" i="42"/>
  <c r="EG57" i="42"/>
  <c r="DY57" i="42"/>
  <c r="DR57" i="42"/>
  <c r="DJ57" i="42"/>
  <c r="DE57" i="42"/>
  <c r="CY57" i="42"/>
  <c r="CS57" i="42"/>
  <c r="AN57" i="42"/>
  <c r="K57" i="42"/>
  <c r="I57" i="42"/>
  <c r="EJ57" i="42" s="1"/>
  <c r="EP57" i="42" s="1"/>
  <c r="EX56" i="42"/>
  <c r="EJ56" i="42"/>
  <c r="EP56" i="42" s="1"/>
  <c r="EI56" i="42"/>
  <c r="EH56" i="42"/>
  <c r="EK56" i="42" s="1"/>
  <c r="EM56" i="42" s="1"/>
  <c r="EG56" i="42"/>
  <c r="DZ56" i="42"/>
  <c r="DY56" i="42"/>
  <c r="DR56" i="42"/>
  <c r="DK56" i="42"/>
  <c r="EU56" i="42" s="1"/>
  <c r="DJ56" i="42"/>
  <c r="DE56" i="42"/>
  <c r="DA56" i="42"/>
  <c r="CZ56" i="42"/>
  <c r="CX56" i="42"/>
  <c r="CW56" i="42"/>
  <c r="CS56" i="42"/>
  <c r="AN56" i="42"/>
  <c r="K56" i="42"/>
  <c r="CY56" i="42" s="1"/>
  <c r="I56" i="42"/>
  <c r="EX55" i="42"/>
  <c r="EJ55" i="42"/>
  <c r="EP55" i="42" s="1"/>
  <c r="EI55" i="42"/>
  <c r="EG55" i="42"/>
  <c r="DY55" i="42"/>
  <c r="DR55" i="42"/>
  <c r="DK55" i="42"/>
  <c r="DJ55" i="42"/>
  <c r="CS55" i="42"/>
  <c r="DE55" i="42" s="1"/>
  <c r="AN55" i="42"/>
  <c r="K55" i="42"/>
  <c r="I55" i="42"/>
  <c r="EX54" i="42"/>
  <c r="ER54" i="42"/>
  <c r="EP54" i="42"/>
  <c r="EI54" i="42"/>
  <c r="EH54" i="42"/>
  <c r="EK54" i="42" s="1"/>
  <c r="EM54" i="42" s="1"/>
  <c r="EG54" i="42"/>
  <c r="DY54" i="42"/>
  <c r="DR54" i="42"/>
  <c r="DK54" i="42"/>
  <c r="DJ54" i="42"/>
  <c r="DA54" i="42"/>
  <c r="CZ54" i="42"/>
  <c r="CY54" i="42"/>
  <c r="CX54" i="42"/>
  <c r="CW54" i="42"/>
  <c r="CS54" i="42"/>
  <c r="DE54" i="42" s="1"/>
  <c r="AN54" i="42"/>
  <c r="AP54" i="42" s="1"/>
  <c r="K54" i="42"/>
  <c r="I54" i="42"/>
  <c r="EJ54" i="42" s="1"/>
  <c r="EX53" i="42"/>
  <c r="EO53" i="42"/>
  <c r="EQ53" i="42" s="1"/>
  <c r="EJ53" i="42"/>
  <c r="EP53" i="42" s="1"/>
  <c r="EI53" i="42"/>
  <c r="EG53" i="42"/>
  <c r="DY53" i="42"/>
  <c r="DR53" i="42"/>
  <c r="DK53" i="42"/>
  <c r="DJ53" i="42"/>
  <c r="DH53" i="42"/>
  <c r="CU53" i="42"/>
  <c r="CS53" i="42"/>
  <c r="DE53" i="42" s="1"/>
  <c r="AP53" i="42"/>
  <c r="EE53" i="42" s="1"/>
  <c r="AN53" i="42"/>
  <c r="K53" i="42"/>
  <c r="I53" i="42"/>
  <c r="EI52" i="42"/>
  <c r="EG52" i="42"/>
  <c r="DY52" i="42"/>
  <c r="DR52" i="42"/>
  <c r="EX52" i="42" s="1"/>
  <c r="DJ52" i="42"/>
  <c r="DE52" i="42"/>
  <c r="CS52" i="42"/>
  <c r="AP52" i="42"/>
  <c r="AN52" i="42"/>
  <c r="K52" i="42"/>
  <c r="I52" i="42"/>
  <c r="DK52" i="42" s="1"/>
  <c r="EX51" i="42"/>
  <c r="EI51" i="42"/>
  <c r="EH51" i="42"/>
  <c r="EG51" i="42"/>
  <c r="DY51" i="42"/>
  <c r="DR51" i="42"/>
  <c r="DJ51" i="42"/>
  <c r="CY51" i="42"/>
  <c r="CX51" i="42"/>
  <c r="CU51" i="42"/>
  <c r="CS51" i="42"/>
  <c r="DE51" i="42" s="1"/>
  <c r="AP51" i="42"/>
  <c r="AN51" i="42"/>
  <c r="K51" i="42"/>
  <c r="ER51" i="42" s="1"/>
  <c r="I51" i="42"/>
  <c r="EO50" i="42"/>
  <c r="EI50" i="42"/>
  <c r="EG50" i="42"/>
  <c r="DY50" i="42"/>
  <c r="DR50" i="42"/>
  <c r="EX50" i="42" s="1"/>
  <c r="DJ50" i="42"/>
  <c r="DE50" i="42"/>
  <c r="DA50" i="42"/>
  <c r="CX50" i="42"/>
  <c r="CS50" i="42"/>
  <c r="AN50" i="42"/>
  <c r="AP50" i="42" s="1"/>
  <c r="DH50" i="42" s="1"/>
  <c r="K50" i="42"/>
  <c r="I50" i="42"/>
  <c r="EU49" i="42"/>
  <c r="ER49" i="42"/>
  <c r="EJ49" i="42"/>
  <c r="EP49" i="42" s="1"/>
  <c r="EI49" i="42"/>
  <c r="EG49" i="42"/>
  <c r="EO49" i="42" s="1"/>
  <c r="DY49" i="42"/>
  <c r="DW49" i="42"/>
  <c r="DR49" i="42"/>
  <c r="EX49" i="42" s="1"/>
  <c r="DK49" i="42"/>
  <c r="DZ49" i="42" s="1"/>
  <c r="DJ49" i="42"/>
  <c r="DD49" i="42"/>
  <c r="DF49" i="42" s="1"/>
  <c r="CZ49" i="42"/>
  <c r="CY49" i="42"/>
  <c r="CX49" i="42"/>
  <c r="CW49" i="42"/>
  <c r="CU49" i="42"/>
  <c r="DB49" i="42" s="1"/>
  <c r="CS49" i="42"/>
  <c r="DE49" i="42" s="1"/>
  <c r="AP49" i="42"/>
  <c r="EE49" i="42" s="1"/>
  <c r="AN49" i="42"/>
  <c r="K49" i="42"/>
  <c r="I49" i="42"/>
  <c r="EX48" i="42"/>
  <c r="EW48" i="42"/>
  <c r="EZ48" i="42" s="1"/>
  <c r="FA48" i="42" s="1"/>
  <c r="EU48" i="42"/>
  <c r="ER48" i="42"/>
  <c r="EQ48" i="42"/>
  <c r="EP48" i="42"/>
  <c r="EO48" i="42"/>
  <c r="EI48" i="42"/>
  <c r="EH48" i="42"/>
  <c r="EG48" i="42"/>
  <c r="EA48" i="42"/>
  <c r="DZ48" i="42"/>
  <c r="DY48" i="42"/>
  <c r="DW48" i="42"/>
  <c r="DR48" i="42"/>
  <c r="DK48" i="42"/>
  <c r="DJ48" i="42"/>
  <c r="DB48" i="42"/>
  <c r="DA48" i="42"/>
  <c r="CZ48" i="42"/>
  <c r="CY48" i="42"/>
  <c r="CX48" i="42"/>
  <c r="CW48" i="42"/>
  <c r="CU48" i="42"/>
  <c r="EV48" i="42" s="1"/>
  <c r="CS48" i="42"/>
  <c r="DE48" i="42" s="1"/>
  <c r="AN48" i="42"/>
  <c r="AP48" i="42" s="1"/>
  <c r="DD48" i="42" s="1"/>
  <c r="DF48" i="42" s="1"/>
  <c r="K48" i="42"/>
  <c r="I48" i="42"/>
  <c r="EJ48" i="42" s="1"/>
  <c r="EX47" i="42"/>
  <c r="EO47" i="42"/>
  <c r="EJ47" i="42"/>
  <c r="EP47" i="42" s="1"/>
  <c r="EQ47" i="42" s="1"/>
  <c r="EI47" i="42"/>
  <c r="EG47" i="42"/>
  <c r="DY47" i="42"/>
  <c r="DR47" i="42"/>
  <c r="DJ47" i="42"/>
  <c r="DE47" i="42"/>
  <c r="CZ47" i="42"/>
  <c r="CY47" i="42"/>
  <c r="CW47" i="42"/>
  <c r="CS47" i="42"/>
  <c r="AN47" i="42"/>
  <c r="K47" i="42"/>
  <c r="ER47" i="42" s="1"/>
  <c r="I47" i="42"/>
  <c r="EU46" i="42"/>
  <c r="EJ46" i="42"/>
  <c r="EP46" i="42" s="1"/>
  <c r="EI46" i="42"/>
  <c r="EH46" i="42"/>
  <c r="EK46" i="42" s="1"/>
  <c r="EM46" i="42" s="1"/>
  <c r="EG46" i="42"/>
  <c r="DY46" i="42"/>
  <c r="DR46" i="42"/>
  <c r="EX46" i="42" s="1"/>
  <c r="DK46" i="42"/>
  <c r="DZ46" i="42" s="1"/>
  <c r="DJ46" i="42"/>
  <c r="DE46" i="42"/>
  <c r="CS46" i="42"/>
  <c r="AP46" i="42"/>
  <c r="AN46" i="42"/>
  <c r="K46" i="42"/>
  <c r="I46" i="42"/>
  <c r="EX45" i="42"/>
  <c r="EI45" i="42"/>
  <c r="EG45" i="42"/>
  <c r="EE45" i="42"/>
  <c r="DY45" i="42"/>
  <c r="DW45" i="42"/>
  <c r="DR45" i="42"/>
  <c r="DJ45" i="42"/>
  <c r="DH45" i="42"/>
  <c r="DF45" i="42"/>
  <c r="DG45" i="42" s="1"/>
  <c r="DE45" i="42"/>
  <c r="DD45" i="42"/>
  <c r="DA45" i="42"/>
  <c r="CZ45" i="42"/>
  <c r="CS45" i="42"/>
  <c r="AP45" i="42"/>
  <c r="AN45" i="42"/>
  <c r="K45" i="42"/>
  <c r="I45" i="42"/>
  <c r="EX44" i="42"/>
  <c r="ER44" i="42"/>
  <c r="EO44" i="42"/>
  <c r="EJ44" i="42"/>
  <c r="EP44" i="42" s="1"/>
  <c r="EQ44" i="42" s="1"/>
  <c r="EI44" i="42"/>
  <c r="EH44" i="42"/>
  <c r="EG44" i="42"/>
  <c r="DY44" i="42"/>
  <c r="DR44" i="42"/>
  <c r="DK44" i="42"/>
  <c r="DJ44" i="42"/>
  <c r="DA44" i="42"/>
  <c r="CX44" i="42"/>
  <c r="CW44" i="42"/>
  <c r="CS44" i="42"/>
  <c r="DE44" i="42" s="1"/>
  <c r="AN44" i="42"/>
  <c r="AP44" i="42" s="1"/>
  <c r="DD44" i="42" s="1"/>
  <c r="DF44" i="42" s="1"/>
  <c r="DG44" i="42" s="1"/>
  <c r="K44" i="42"/>
  <c r="I44" i="42"/>
  <c r="ER43" i="42"/>
  <c r="EP43" i="42"/>
  <c r="EQ43" i="42" s="1"/>
  <c r="EO43" i="42"/>
  <c r="EJ43" i="42"/>
  <c r="EI43" i="42"/>
  <c r="EG43" i="42"/>
  <c r="DY43" i="42"/>
  <c r="DR43" i="42"/>
  <c r="EX43" i="42" s="1"/>
  <c r="DJ43" i="42"/>
  <c r="DE43" i="42"/>
  <c r="DD43" i="42"/>
  <c r="DF43" i="42" s="1"/>
  <c r="CY43" i="42"/>
  <c r="CW43" i="42"/>
  <c r="CS43" i="42"/>
  <c r="AP43" i="42"/>
  <c r="DW43" i="42" s="1"/>
  <c r="AN43" i="42"/>
  <c r="K43" i="42"/>
  <c r="I43" i="42"/>
  <c r="ER42" i="42"/>
  <c r="EQ42" i="42"/>
  <c r="EP42" i="42"/>
  <c r="EI42" i="42"/>
  <c r="EH42" i="42"/>
  <c r="EG42" i="42"/>
  <c r="EO42" i="42" s="1"/>
  <c r="DY42" i="42"/>
  <c r="DR42" i="42"/>
  <c r="EX42" i="42" s="1"/>
  <c r="DK42" i="42"/>
  <c r="DZ42" i="42" s="1"/>
  <c r="DJ42" i="42"/>
  <c r="DA42" i="42"/>
  <c r="CZ42" i="42"/>
  <c r="CY42" i="42"/>
  <c r="CX42" i="42"/>
  <c r="CW42" i="42"/>
  <c r="CS42" i="42"/>
  <c r="DE42" i="42" s="1"/>
  <c r="AN42" i="42"/>
  <c r="AP42" i="42" s="1"/>
  <c r="K42" i="42"/>
  <c r="I42" i="42"/>
  <c r="EJ42" i="42" s="1"/>
  <c r="EU41" i="42"/>
  <c r="ER41" i="42"/>
  <c r="EJ41" i="42"/>
  <c r="EP41" i="42" s="1"/>
  <c r="EI41" i="42"/>
  <c r="EG41" i="42"/>
  <c r="EO41" i="42" s="1"/>
  <c r="EQ41" i="42" s="1"/>
  <c r="DZ41" i="42"/>
  <c r="DY41" i="42"/>
  <c r="DR41" i="42"/>
  <c r="EX41" i="42" s="1"/>
  <c r="DJ41" i="42"/>
  <c r="CZ41" i="42"/>
  <c r="CY41" i="42"/>
  <c r="CS41" i="42"/>
  <c r="DE41" i="42" s="1"/>
  <c r="AN41" i="42"/>
  <c r="K41" i="42"/>
  <c r="CW41" i="42" s="1"/>
  <c r="I41" i="42"/>
  <c r="DK41" i="42" s="1"/>
  <c r="EU40" i="42"/>
  <c r="ER40" i="42"/>
  <c r="EJ40" i="42"/>
  <c r="EP40" i="42" s="1"/>
  <c r="EQ40" i="42" s="1"/>
  <c r="EI40" i="42"/>
  <c r="EH40" i="42"/>
  <c r="EK40" i="42" s="1"/>
  <c r="EG40" i="42"/>
  <c r="EO40" i="42" s="1"/>
  <c r="DZ40" i="42"/>
  <c r="DY40" i="42"/>
  <c r="DR40" i="42"/>
  <c r="EX40" i="42" s="1"/>
  <c r="DJ40" i="42"/>
  <c r="DE40" i="42"/>
  <c r="DA40" i="42"/>
  <c r="CZ40" i="42"/>
  <c r="CY40" i="42"/>
  <c r="CW40" i="42"/>
  <c r="CS40" i="42"/>
  <c r="AN40" i="42"/>
  <c r="K40" i="42"/>
  <c r="I40" i="42"/>
  <c r="EU39" i="42"/>
  <c r="ER39" i="42"/>
  <c r="EJ39" i="42"/>
  <c r="EP39" i="42" s="1"/>
  <c r="EI39" i="42"/>
  <c r="EH39" i="42"/>
  <c r="EG39" i="42"/>
  <c r="EO39" i="42" s="1"/>
  <c r="DZ39" i="42"/>
  <c r="DY39" i="42"/>
  <c r="DR39" i="42"/>
  <c r="EX39" i="42" s="1"/>
  <c r="DJ39" i="42"/>
  <c r="DE39" i="42"/>
  <c r="DA39" i="42"/>
  <c r="CZ39" i="42"/>
  <c r="CY39" i="42"/>
  <c r="CX39" i="42"/>
  <c r="CW39" i="42"/>
  <c r="CS39" i="42"/>
  <c r="AN39" i="42"/>
  <c r="AP39" i="42" s="1"/>
  <c r="K39" i="42"/>
  <c r="I39" i="42"/>
  <c r="EO38" i="42"/>
  <c r="EI38" i="42"/>
  <c r="EH38" i="42"/>
  <c r="EG38" i="42"/>
  <c r="DY38" i="42"/>
  <c r="DW38" i="42"/>
  <c r="DR38" i="42"/>
  <c r="DJ38" i="42"/>
  <c r="DA38" i="42"/>
  <c r="CY38" i="42"/>
  <c r="CS38" i="42"/>
  <c r="DE38" i="42" s="1"/>
  <c r="AP38" i="42"/>
  <c r="AN38" i="42"/>
  <c r="K38" i="42"/>
  <c r="I38" i="42"/>
  <c r="EU37" i="42"/>
  <c r="EP37" i="42"/>
  <c r="EO37" i="42"/>
  <c r="EJ37" i="42"/>
  <c r="EI37" i="42"/>
  <c r="EG37" i="42"/>
  <c r="DZ37" i="42"/>
  <c r="DY37" i="42"/>
  <c r="DR37" i="42"/>
  <c r="DJ37" i="42"/>
  <c r="CS37" i="42"/>
  <c r="DE37" i="42" s="1"/>
  <c r="AN37" i="42"/>
  <c r="K37" i="42"/>
  <c r="I37" i="42"/>
  <c r="EX36" i="42"/>
  <c r="EU36" i="42"/>
  <c r="EO36" i="42"/>
  <c r="EI36" i="42"/>
  <c r="EG36" i="42"/>
  <c r="DZ36" i="42"/>
  <c r="DY36" i="42"/>
  <c r="DR36" i="42"/>
  <c r="DJ36" i="42"/>
  <c r="CW36" i="42"/>
  <c r="CS36" i="42"/>
  <c r="DE36" i="42" s="1"/>
  <c r="AN36" i="42"/>
  <c r="AP36" i="42" s="1"/>
  <c r="K36" i="42"/>
  <c r="I36" i="42"/>
  <c r="EJ35" i="42"/>
  <c r="EP35" i="42" s="1"/>
  <c r="EI35" i="42"/>
  <c r="EG35" i="42"/>
  <c r="EO35" i="42" s="1"/>
  <c r="DY35" i="42"/>
  <c r="DR35" i="42"/>
  <c r="EX35" i="42" s="1"/>
  <c r="DJ35" i="42"/>
  <c r="DH35" i="42"/>
  <c r="DE35" i="42"/>
  <c r="CZ35" i="42"/>
  <c r="CY35" i="42"/>
  <c r="CX35" i="42"/>
  <c r="CS35" i="42"/>
  <c r="AP35" i="42"/>
  <c r="AN35" i="42"/>
  <c r="K35" i="42"/>
  <c r="DA35" i="42" s="1"/>
  <c r="I35" i="42"/>
  <c r="DK35" i="42" s="1"/>
  <c r="EV34" i="42"/>
  <c r="ER34" i="42"/>
  <c r="EO34" i="42"/>
  <c r="EI34" i="42"/>
  <c r="EH34" i="42"/>
  <c r="EG34" i="42"/>
  <c r="EA34" i="42"/>
  <c r="DY34" i="42"/>
  <c r="DW34" i="42"/>
  <c r="DR34" i="42"/>
  <c r="DJ34" i="42"/>
  <c r="DH34" i="42"/>
  <c r="DD34" i="42"/>
  <c r="DF34" i="42" s="1"/>
  <c r="DG34" i="42" s="1"/>
  <c r="DB34" i="42"/>
  <c r="DA34" i="42"/>
  <c r="CZ34" i="42"/>
  <c r="CY34" i="42"/>
  <c r="CX34" i="42"/>
  <c r="CW34" i="42"/>
  <c r="CS34" i="42"/>
  <c r="DE34" i="42" s="1"/>
  <c r="AP34" i="42"/>
  <c r="CU34" i="42" s="1"/>
  <c r="AN34" i="42"/>
  <c r="K34" i="42"/>
  <c r="I34" i="42"/>
  <c r="EX33" i="42"/>
  <c r="EU33" i="42"/>
  <c r="ER33" i="42"/>
  <c r="EJ33" i="42"/>
  <c r="EP33" i="42" s="1"/>
  <c r="EI33" i="42"/>
  <c r="EH33" i="42"/>
  <c r="EG33" i="42"/>
  <c r="EO33" i="42" s="1"/>
  <c r="DY33" i="42"/>
  <c r="DR33" i="42"/>
  <c r="DK33" i="42"/>
  <c r="DZ33" i="42" s="1"/>
  <c r="DJ33" i="42"/>
  <c r="DA33" i="42"/>
  <c r="CZ33" i="42"/>
  <c r="CY33" i="42"/>
  <c r="CX33" i="42"/>
  <c r="CW33" i="42"/>
  <c r="CS33" i="42"/>
  <c r="DE33" i="42" s="1"/>
  <c r="AN33" i="42"/>
  <c r="K33" i="42"/>
  <c r="I33" i="42"/>
  <c r="EX32" i="42"/>
  <c r="ER32" i="42"/>
  <c r="EQ32" i="42"/>
  <c r="EO32" i="42"/>
  <c r="EJ32" i="42"/>
  <c r="EP32" i="42" s="1"/>
  <c r="EI32" i="42"/>
  <c r="EG32" i="42"/>
  <c r="DY32" i="42"/>
  <c r="DW32" i="42"/>
  <c r="DR32" i="42"/>
  <c r="DK32" i="42"/>
  <c r="DJ32" i="42"/>
  <c r="CW32" i="42"/>
  <c r="CS32" i="42"/>
  <c r="DE32" i="42" s="1"/>
  <c r="AP32" i="42"/>
  <c r="AN32" i="42"/>
  <c r="K32" i="42"/>
  <c r="I32" i="42"/>
  <c r="EO31" i="42"/>
  <c r="EJ31" i="42"/>
  <c r="EP31" i="42" s="1"/>
  <c r="EI31" i="42"/>
  <c r="EG31" i="42"/>
  <c r="DY31" i="42"/>
  <c r="DR31" i="42"/>
  <c r="DJ31" i="42"/>
  <c r="DE31" i="42"/>
  <c r="CW31" i="42"/>
  <c r="CS31" i="42"/>
  <c r="AN31" i="42"/>
  <c r="K31" i="42"/>
  <c r="EH31" i="42" s="1"/>
  <c r="EK31" i="42" s="1"/>
  <c r="I31" i="42"/>
  <c r="ER30" i="42"/>
  <c r="EJ30" i="42"/>
  <c r="EP30" i="42" s="1"/>
  <c r="EI30" i="42"/>
  <c r="EH30" i="42"/>
  <c r="EK30" i="42" s="1"/>
  <c r="EM30" i="42" s="1"/>
  <c r="EG30" i="42"/>
  <c r="DY30" i="42"/>
  <c r="DR30" i="42"/>
  <c r="DK30" i="42"/>
  <c r="DJ30" i="42"/>
  <c r="DA30" i="42"/>
  <c r="CZ30" i="42"/>
  <c r="CY30" i="42"/>
  <c r="CX30" i="42"/>
  <c r="CW30" i="42"/>
  <c r="CS30" i="42"/>
  <c r="DE30" i="42" s="1"/>
  <c r="AN30" i="42"/>
  <c r="AP30" i="42" s="1"/>
  <c r="K30" i="42"/>
  <c r="I30" i="42"/>
  <c r="ER29" i="42"/>
  <c r="EI29" i="42"/>
  <c r="EH29" i="42"/>
  <c r="EG29" i="42"/>
  <c r="EO29" i="42" s="1"/>
  <c r="EE29" i="42"/>
  <c r="EA29" i="42"/>
  <c r="DY29" i="42"/>
  <c r="DW29" i="42"/>
  <c r="DR29" i="42"/>
  <c r="EX29" i="42" s="1"/>
  <c r="DJ29" i="42"/>
  <c r="DE29" i="42"/>
  <c r="DD29" i="42"/>
  <c r="DF29" i="42" s="1"/>
  <c r="DG29" i="42" s="1"/>
  <c r="DA29" i="42"/>
  <c r="CZ29" i="42"/>
  <c r="CY29" i="42"/>
  <c r="CX29" i="42"/>
  <c r="CW29" i="42"/>
  <c r="CS29" i="42"/>
  <c r="CU29" i="42" s="1"/>
  <c r="DB29" i="42" s="1"/>
  <c r="AN29" i="42"/>
  <c r="K29" i="42"/>
  <c r="AP29" i="42" s="1"/>
  <c r="DH29" i="42" s="1"/>
  <c r="I29" i="42"/>
  <c r="EX28" i="42"/>
  <c r="EU28" i="42"/>
  <c r="ER28" i="42"/>
  <c r="EO28" i="42"/>
  <c r="EJ28" i="42"/>
  <c r="EP28" i="42" s="1"/>
  <c r="EI28" i="42"/>
  <c r="EH28" i="42"/>
  <c r="EG28" i="42"/>
  <c r="DZ28" i="42"/>
  <c r="DY28" i="42"/>
  <c r="DR28" i="42"/>
  <c r="DK28" i="42"/>
  <c r="DJ28" i="42"/>
  <c r="DA28" i="42"/>
  <c r="CZ28" i="42"/>
  <c r="CY28" i="42"/>
  <c r="CX28" i="42"/>
  <c r="CW28" i="42"/>
  <c r="CS28" i="42"/>
  <c r="DE28" i="42" s="1"/>
  <c r="AN28" i="42"/>
  <c r="AP28" i="42" s="1"/>
  <c r="K28" i="42"/>
  <c r="I28" i="42"/>
  <c r="EJ27" i="42"/>
  <c r="EP27" i="42" s="1"/>
  <c r="EI27" i="42"/>
  <c r="EH27" i="42"/>
  <c r="EG27" i="42"/>
  <c r="EO27" i="42" s="1"/>
  <c r="EQ27" i="42" s="1"/>
  <c r="EA27" i="42"/>
  <c r="DZ27" i="42"/>
  <c r="EB27" i="42" s="1"/>
  <c r="DY27" i="42"/>
  <c r="DW27" i="42"/>
  <c r="DR27" i="42"/>
  <c r="DJ27" i="42"/>
  <c r="DE27" i="42"/>
  <c r="DF27" i="42" s="1"/>
  <c r="DG27" i="42" s="1"/>
  <c r="DA27" i="42"/>
  <c r="CZ27" i="42"/>
  <c r="CW27" i="42"/>
  <c r="CU27" i="42"/>
  <c r="CS27" i="42"/>
  <c r="AP27" i="42"/>
  <c r="DD27" i="42" s="1"/>
  <c r="AN27" i="42"/>
  <c r="K27" i="42"/>
  <c r="CY27" i="42" s="1"/>
  <c r="I27" i="42"/>
  <c r="DK27" i="42" s="1"/>
  <c r="EU27" i="42" s="1"/>
  <c r="EX26" i="42"/>
  <c r="EO26" i="42"/>
  <c r="EI26" i="42"/>
  <c r="EG26" i="42"/>
  <c r="DY26" i="42"/>
  <c r="DR26" i="42"/>
  <c r="DJ26" i="42"/>
  <c r="DE26" i="42"/>
  <c r="CS26" i="42"/>
  <c r="AP26" i="42"/>
  <c r="EE26" i="42" s="1"/>
  <c r="AN26" i="42"/>
  <c r="K26" i="42"/>
  <c r="I26" i="42"/>
  <c r="EJ26" i="42" s="1"/>
  <c r="EP26" i="42" s="1"/>
  <c r="EU25" i="42"/>
  <c r="EO25" i="42"/>
  <c r="EJ25" i="42"/>
  <c r="EP25" i="42" s="1"/>
  <c r="EQ25" i="42" s="1"/>
  <c r="EI25" i="42"/>
  <c r="EG25" i="42"/>
  <c r="EE25" i="42"/>
  <c r="DY25" i="42"/>
  <c r="DR25" i="42"/>
  <c r="EX25" i="42" s="1"/>
  <c r="DK25" i="42"/>
  <c r="DZ25" i="42" s="1"/>
  <c r="DJ25" i="42"/>
  <c r="DA25" i="42"/>
  <c r="CY25" i="42"/>
  <c r="CX25" i="42"/>
  <c r="CW25" i="42"/>
  <c r="CS25" i="42"/>
  <c r="DE25" i="42" s="1"/>
  <c r="AP25" i="42"/>
  <c r="AN25" i="42"/>
  <c r="K25" i="42"/>
  <c r="I25" i="42"/>
  <c r="EX24" i="42"/>
  <c r="ER24" i="42"/>
  <c r="EO24" i="42"/>
  <c r="EI24" i="42"/>
  <c r="EH24" i="42"/>
  <c r="EG24" i="42"/>
  <c r="DY24" i="42"/>
  <c r="DR24" i="42"/>
  <c r="DK24" i="42"/>
  <c r="DJ24" i="42"/>
  <c r="DA24" i="42"/>
  <c r="CZ24" i="42"/>
  <c r="CY24" i="42"/>
  <c r="CX24" i="42"/>
  <c r="CW24" i="42"/>
  <c r="CS24" i="42"/>
  <c r="DE24" i="42" s="1"/>
  <c r="AP24" i="42"/>
  <c r="AN24" i="42"/>
  <c r="K24" i="42"/>
  <c r="I24" i="42"/>
  <c r="EO23" i="42"/>
  <c r="EI23" i="42"/>
  <c r="EG23" i="42"/>
  <c r="DY23" i="42"/>
  <c r="DR23" i="42"/>
  <c r="EX23" i="42" s="1"/>
  <c r="DJ23" i="42"/>
  <c r="DE23" i="42"/>
  <c r="CZ23" i="42"/>
  <c r="CY23" i="42"/>
  <c r="CS23" i="42"/>
  <c r="AN23" i="42"/>
  <c r="K23" i="42"/>
  <c r="DA23" i="42" s="1"/>
  <c r="I23" i="42"/>
  <c r="EJ23" i="42" s="1"/>
  <c r="EP23" i="42" s="1"/>
  <c r="EQ23" i="42" s="1"/>
  <c r="ER22" i="42"/>
  <c r="EJ22" i="42"/>
  <c r="EP22" i="42" s="1"/>
  <c r="EI22" i="42"/>
  <c r="EG22" i="42"/>
  <c r="EO22" i="42" s="1"/>
  <c r="EQ22" i="42" s="1"/>
  <c r="DY22" i="42"/>
  <c r="DR22" i="42"/>
  <c r="DJ22" i="42"/>
  <c r="CZ22" i="42"/>
  <c r="CY22" i="42"/>
  <c r="CX22" i="42"/>
  <c r="CS22" i="42"/>
  <c r="DE22" i="42" s="1"/>
  <c r="AN22" i="42"/>
  <c r="K22" i="42"/>
  <c r="EH22" i="42" s="1"/>
  <c r="EK22" i="42" s="1"/>
  <c r="EM22" i="42" s="1"/>
  <c r="I22" i="42"/>
  <c r="EO21" i="42"/>
  <c r="EI21" i="42"/>
  <c r="EG21" i="42"/>
  <c r="DZ21" i="42"/>
  <c r="DY21" i="42"/>
  <c r="DR21" i="42"/>
  <c r="DJ21" i="42"/>
  <c r="DE21" i="42"/>
  <c r="CS21" i="42"/>
  <c r="AN21" i="42"/>
  <c r="K21" i="42"/>
  <c r="I21" i="42"/>
  <c r="DK21" i="42" s="1"/>
  <c r="EU21" i="42" s="1"/>
  <c r="EU20" i="42"/>
  <c r="ER20" i="42"/>
  <c r="EO20" i="42"/>
  <c r="EJ20" i="42"/>
  <c r="EP20" i="42" s="1"/>
  <c r="EQ20" i="42" s="1"/>
  <c r="EI20" i="42"/>
  <c r="EG20" i="42"/>
  <c r="DY20" i="42"/>
  <c r="DR20" i="42"/>
  <c r="EX20" i="42" s="1"/>
  <c r="DK20" i="42"/>
  <c r="DZ20" i="42" s="1"/>
  <c r="DJ20" i="42"/>
  <c r="DA20" i="42"/>
  <c r="CY20" i="42"/>
  <c r="CX20" i="42"/>
  <c r="CS20" i="42"/>
  <c r="DE20" i="42" s="1"/>
  <c r="AP20" i="42"/>
  <c r="AN20" i="42"/>
  <c r="K20" i="42"/>
  <c r="CZ20" i="42" s="1"/>
  <c r="I20" i="42"/>
  <c r="EI19" i="42"/>
  <c r="EG19" i="42"/>
  <c r="EO19" i="42" s="1"/>
  <c r="DY19" i="42"/>
  <c r="DR19" i="42"/>
  <c r="EX19" i="42" s="1"/>
  <c r="DJ19" i="42"/>
  <c r="DA19" i="42"/>
  <c r="CX19" i="42"/>
  <c r="CW19" i="42"/>
  <c r="CS19" i="42"/>
  <c r="DE19" i="42" s="1"/>
  <c r="AN19" i="42"/>
  <c r="K19" i="42"/>
  <c r="I19" i="42"/>
  <c r="EX18" i="42"/>
  <c r="EI18" i="42"/>
  <c r="EG18" i="42"/>
  <c r="DY18" i="42"/>
  <c r="DR18" i="42"/>
  <c r="DK18" i="42"/>
  <c r="DJ18" i="42"/>
  <c r="CW18" i="42"/>
  <c r="CS18" i="42"/>
  <c r="DE18" i="42" s="1"/>
  <c r="AN18" i="42"/>
  <c r="K18" i="42"/>
  <c r="I18" i="42"/>
  <c r="EJ18" i="42" s="1"/>
  <c r="EP18" i="42" s="1"/>
  <c r="EP17" i="42"/>
  <c r="EJ17" i="42"/>
  <c r="EI17" i="42"/>
  <c r="EG17" i="42"/>
  <c r="EO17" i="42" s="1"/>
  <c r="EQ17" i="42" s="1"/>
  <c r="DY17" i="42"/>
  <c r="DR17" i="42"/>
  <c r="EX17" i="42" s="1"/>
  <c r="DK17" i="42"/>
  <c r="DZ17" i="42" s="1"/>
  <c r="DJ17" i="42"/>
  <c r="DE17" i="42"/>
  <c r="CZ17" i="42"/>
  <c r="CY17" i="42"/>
  <c r="CX17" i="42"/>
  <c r="CS17" i="42"/>
  <c r="AN17" i="42"/>
  <c r="K17" i="42"/>
  <c r="CW17" i="42" s="1"/>
  <c r="I17" i="42"/>
  <c r="ER16" i="42"/>
  <c r="EO16" i="42"/>
  <c r="EI16" i="42"/>
  <c r="EH16" i="42"/>
  <c r="EK16" i="42" s="1"/>
  <c r="EM16" i="42" s="1"/>
  <c r="EG16" i="42"/>
  <c r="EA16" i="42"/>
  <c r="DY16" i="42"/>
  <c r="DS16" i="42"/>
  <c r="DT16" i="42" s="1"/>
  <c r="DR16" i="42"/>
  <c r="EX16" i="42" s="1"/>
  <c r="DJ16" i="42"/>
  <c r="DF16" i="42"/>
  <c r="DL16" i="42" s="1"/>
  <c r="DA16" i="42"/>
  <c r="CZ16" i="42"/>
  <c r="CY16" i="42"/>
  <c r="CX16" i="42"/>
  <c r="CS16" i="42"/>
  <c r="DE16" i="42" s="1"/>
  <c r="AP16" i="42"/>
  <c r="DD16" i="42" s="1"/>
  <c r="AN16" i="42"/>
  <c r="K16" i="42"/>
  <c r="CW16" i="42" s="1"/>
  <c r="I16" i="42"/>
  <c r="EJ16" i="42" s="1"/>
  <c r="EP16" i="42" s="1"/>
  <c r="EX15" i="42"/>
  <c r="EU15" i="42"/>
  <c r="ER15" i="42"/>
  <c r="EI15" i="42"/>
  <c r="EH15" i="42"/>
  <c r="EG15" i="42"/>
  <c r="DZ15" i="42"/>
  <c r="DY15" i="42"/>
  <c r="DR15" i="42"/>
  <c r="DJ15" i="42"/>
  <c r="DA15" i="42"/>
  <c r="CZ15" i="42"/>
  <c r="CS15" i="42"/>
  <c r="DE15" i="42" s="1"/>
  <c r="AP15" i="42"/>
  <c r="AN15" i="42"/>
  <c r="K15" i="42"/>
  <c r="CX15" i="42" s="1"/>
  <c r="I15" i="42"/>
  <c r="EJ14" i="42"/>
  <c r="EP14" i="42" s="1"/>
  <c r="EQ14" i="42" s="1"/>
  <c r="EI14" i="42"/>
  <c r="EG14" i="42"/>
  <c r="EO14" i="42" s="1"/>
  <c r="DY14" i="42"/>
  <c r="DR14" i="42"/>
  <c r="EX14" i="42" s="1"/>
  <c r="DJ14" i="42"/>
  <c r="DE14" i="42"/>
  <c r="CY14" i="42"/>
  <c r="CX14" i="42"/>
  <c r="CS14" i="42"/>
  <c r="AN14" i="42"/>
  <c r="K14" i="42"/>
  <c r="CZ14" i="42" s="1"/>
  <c r="I14" i="42"/>
  <c r="EV13" i="42"/>
  <c r="EU13" i="42"/>
  <c r="EO13" i="42"/>
  <c r="EJ13" i="42"/>
  <c r="EP13" i="42" s="1"/>
  <c r="EI13" i="42"/>
  <c r="EH13" i="42"/>
  <c r="EK13" i="42" s="1"/>
  <c r="EM13" i="42" s="1"/>
  <c r="EG13" i="42"/>
  <c r="DY13" i="42"/>
  <c r="DR13" i="42"/>
  <c r="EX13" i="42" s="1"/>
  <c r="DJ13" i="42"/>
  <c r="DE13" i="42"/>
  <c r="CZ13" i="42"/>
  <c r="CY13" i="42"/>
  <c r="CX13" i="42"/>
  <c r="CU13" i="42"/>
  <c r="DB13" i="42" s="1"/>
  <c r="CS13" i="42"/>
  <c r="AP13" i="42"/>
  <c r="AN13" i="42"/>
  <c r="K13" i="42"/>
  <c r="CW13" i="42" s="1"/>
  <c r="I13" i="42"/>
  <c r="DK13" i="42" s="1"/>
  <c r="DZ13" i="42" s="1"/>
  <c r="ER12" i="42"/>
  <c r="EO12" i="42"/>
  <c r="EI12" i="42"/>
  <c r="EH12" i="42"/>
  <c r="EG12" i="42"/>
  <c r="DY12" i="42"/>
  <c r="DR12" i="42"/>
  <c r="EX12" i="42" s="1"/>
  <c r="DJ12" i="42"/>
  <c r="DD12" i="42"/>
  <c r="DF12" i="42" s="1"/>
  <c r="DA12" i="42"/>
  <c r="CZ12" i="42"/>
  <c r="CY12" i="42"/>
  <c r="CX12" i="42"/>
  <c r="CW12" i="42"/>
  <c r="CS12" i="42"/>
  <c r="DE12" i="42" s="1"/>
  <c r="AN12" i="42"/>
  <c r="AP12" i="42" s="1"/>
  <c r="K12" i="42"/>
  <c r="I12" i="42"/>
  <c r="EJ11" i="42"/>
  <c r="EP11" i="42" s="1"/>
  <c r="EI11" i="42"/>
  <c r="EG11" i="42"/>
  <c r="EO11" i="42" s="1"/>
  <c r="DY11" i="42"/>
  <c r="DR11" i="42"/>
  <c r="DJ11" i="42"/>
  <c r="DE11" i="42"/>
  <c r="DA11" i="42"/>
  <c r="CS11" i="42"/>
  <c r="AN11" i="42"/>
  <c r="K11" i="42"/>
  <c r="I11" i="42"/>
  <c r="EX10" i="42"/>
  <c r="EO10" i="42"/>
  <c r="EJ10" i="42"/>
  <c r="EP10" i="42" s="1"/>
  <c r="EI10" i="42"/>
  <c r="EH10" i="42"/>
  <c r="EK10" i="42" s="1"/>
  <c r="EM10" i="42" s="1"/>
  <c r="EG10" i="42"/>
  <c r="DY10" i="42"/>
  <c r="DR10" i="42"/>
  <c r="DJ10" i="42"/>
  <c r="DA10" i="42"/>
  <c r="CZ10" i="42"/>
  <c r="CY10" i="42"/>
  <c r="CS10" i="42"/>
  <c r="DE10" i="42" s="1"/>
  <c r="AP10" i="42"/>
  <c r="DW10" i="42" s="1"/>
  <c r="AN10" i="42"/>
  <c r="K10" i="42"/>
  <c r="ER10" i="42" s="1"/>
  <c r="I10" i="42"/>
  <c r="EO9" i="42"/>
  <c r="EI9" i="42"/>
  <c r="EH9" i="42"/>
  <c r="EK9" i="42" s="1"/>
  <c r="EM9" i="42" s="1"/>
  <c r="EG9" i="42"/>
  <c r="DZ9" i="42"/>
  <c r="DY9" i="42"/>
  <c r="DR9" i="42"/>
  <c r="EX9" i="42" s="1"/>
  <c r="DK9" i="42"/>
  <c r="EU9" i="42" s="1"/>
  <c r="DJ9" i="42"/>
  <c r="DA9" i="42"/>
  <c r="CW9" i="42"/>
  <c r="CS9" i="42"/>
  <c r="DE9" i="42" s="1"/>
  <c r="AN9" i="42"/>
  <c r="K9" i="42"/>
  <c r="CZ9" i="42" s="1"/>
  <c r="I9" i="42"/>
  <c r="EJ9" i="42" s="1"/>
  <c r="EP9" i="42" s="1"/>
  <c r="EX8" i="42"/>
  <c r="ER8" i="42"/>
  <c r="EO8" i="42"/>
  <c r="EQ8" i="42" s="1"/>
  <c r="EI8" i="42"/>
  <c r="EG8" i="42"/>
  <c r="EE8" i="42"/>
  <c r="DZ8" i="42"/>
  <c r="DY8" i="42"/>
  <c r="DR8" i="42"/>
  <c r="DK8" i="42"/>
  <c r="EU8" i="42" s="1"/>
  <c r="DJ8" i="42"/>
  <c r="DH8" i="42"/>
  <c r="DD8" i="42"/>
  <c r="CZ8" i="42"/>
  <c r="CY8" i="42"/>
  <c r="CX8" i="42"/>
  <c r="CW8" i="42"/>
  <c r="CS8" i="42"/>
  <c r="DE8" i="42" s="1"/>
  <c r="AP8" i="42"/>
  <c r="DW8" i="42" s="1"/>
  <c r="AN8" i="42"/>
  <c r="K8" i="42"/>
  <c r="EH8" i="42" s="1"/>
  <c r="EK8" i="42" s="1"/>
  <c r="EM8" i="42" s="1"/>
  <c r="I8" i="42"/>
  <c r="EJ8" i="42" s="1"/>
  <c r="EP8" i="42" s="1"/>
  <c r="EI7" i="42"/>
  <c r="EH7" i="42"/>
  <c r="EG7" i="42"/>
  <c r="DY7" i="42"/>
  <c r="DR7" i="42"/>
  <c r="EX7" i="42" s="1"/>
  <c r="DK7" i="42"/>
  <c r="DZ7" i="42" s="1"/>
  <c r="DJ7" i="42"/>
  <c r="DA7" i="42"/>
  <c r="CZ7" i="42"/>
  <c r="CY7" i="42"/>
  <c r="CX7" i="42"/>
  <c r="CW7" i="42"/>
  <c r="CS7" i="42"/>
  <c r="DE7" i="42" s="1"/>
  <c r="AN7" i="42"/>
  <c r="AP7" i="42" s="1"/>
  <c r="K7" i="42"/>
  <c r="ER7" i="42" s="1"/>
  <c r="I7" i="42"/>
  <c r="EJ7" i="42" s="1"/>
  <c r="EP7" i="42" s="1"/>
  <c r="ER6" i="42"/>
  <c r="EO6" i="42"/>
  <c r="EI6" i="42"/>
  <c r="EH6" i="42"/>
  <c r="EG6" i="42"/>
  <c r="DY6" i="42"/>
  <c r="DR6" i="42"/>
  <c r="DJ6" i="42"/>
  <c r="DA6" i="42"/>
  <c r="CY6" i="42"/>
  <c r="CX6" i="42"/>
  <c r="CS6" i="42"/>
  <c r="DE6" i="42" s="1"/>
  <c r="AN6" i="42"/>
  <c r="K6" i="42"/>
  <c r="CW6" i="42" s="1"/>
  <c r="I6" i="42"/>
  <c r="DK6" i="42" s="1"/>
  <c r="DZ6" i="42" s="1"/>
  <c r="EJ5" i="42"/>
  <c r="EP5" i="42" s="1"/>
  <c r="EI5" i="42"/>
  <c r="EG5" i="42"/>
  <c r="EO5" i="42" s="1"/>
  <c r="DY5" i="42"/>
  <c r="DR5" i="42"/>
  <c r="DJ5" i="42"/>
  <c r="DE5" i="42"/>
  <c r="DA5" i="42"/>
  <c r="CS5" i="42"/>
  <c r="AN5" i="42"/>
  <c r="K5" i="42"/>
  <c r="I5" i="42"/>
  <c r="DK5" i="42" s="1"/>
  <c r="CS5" i="28"/>
  <c r="EB21" i="44" l="1"/>
  <c r="ED21" i="44" s="1"/>
  <c r="EA69" i="44"/>
  <c r="EB69" i="44" s="1"/>
  <c r="ED69" i="44" s="1"/>
  <c r="CU69" i="44"/>
  <c r="DH69" i="44"/>
  <c r="DW69" i="44"/>
  <c r="DD69" i="44"/>
  <c r="DF69" i="44" s="1"/>
  <c r="DG69" i="44" s="1"/>
  <c r="EE69" i="44"/>
  <c r="EE8" i="44"/>
  <c r="EA8" i="44"/>
  <c r="DW8" i="44"/>
  <c r="DD8" i="44"/>
  <c r="DF8" i="44" s="1"/>
  <c r="DH8" i="44"/>
  <c r="CU8" i="44"/>
  <c r="EL15" i="44"/>
  <c r="EM15" i="44"/>
  <c r="EB27" i="44"/>
  <c r="ED27" i="44" s="1"/>
  <c r="DD78" i="44"/>
  <c r="DF78" i="44" s="1"/>
  <c r="DW78" i="44"/>
  <c r="DH78" i="44"/>
  <c r="CU78" i="44"/>
  <c r="EE78" i="44"/>
  <c r="EA78" i="44"/>
  <c r="ED26" i="44"/>
  <c r="EB49" i="44"/>
  <c r="ED49" i="44" s="1"/>
  <c r="EB10" i="44"/>
  <c r="ED10" i="44" s="1"/>
  <c r="EG107" i="44"/>
  <c r="EO5" i="44"/>
  <c r="EL5" i="44"/>
  <c r="EE29" i="44"/>
  <c r="DH29" i="44"/>
  <c r="EA29" i="44"/>
  <c r="DW29" i="44"/>
  <c r="DD29" i="44"/>
  <c r="DF29" i="44" s="1"/>
  <c r="CU29" i="44"/>
  <c r="EK37" i="44"/>
  <c r="EE46" i="44"/>
  <c r="DW46" i="44"/>
  <c r="CU46" i="44"/>
  <c r="DD46" i="44"/>
  <c r="DF46" i="44" s="1"/>
  <c r="DH46" i="44"/>
  <c r="EJ47" i="44"/>
  <c r="EP47" i="44" s="1"/>
  <c r="EQ47" i="44" s="1"/>
  <c r="DK47" i="44"/>
  <c r="DZ72" i="44"/>
  <c r="EU72" i="44"/>
  <c r="EX82" i="44"/>
  <c r="EK5" i="44"/>
  <c r="DA10" i="44"/>
  <c r="CZ10" i="44"/>
  <c r="CY10" i="44"/>
  <c r="EH10" i="44"/>
  <c r="EK10" i="44" s="1"/>
  <c r="EM10" i="44" s="1"/>
  <c r="CX10" i="44"/>
  <c r="CU13" i="44"/>
  <c r="EE15" i="44"/>
  <c r="DH15" i="44"/>
  <c r="EA15" i="44"/>
  <c r="EB15" i="44" s="1"/>
  <c r="ED15" i="44" s="1"/>
  <c r="DD15" i="44"/>
  <c r="DF15" i="44" s="1"/>
  <c r="DG15" i="44" s="1"/>
  <c r="CW16" i="44"/>
  <c r="CZ16" i="44"/>
  <c r="ER16" i="44"/>
  <c r="DA16" i="44"/>
  <c r="CY16" i="44"/>
  <c r="CZ47" i="44"/>
  <c r="DA47" i="44"/>
  <c r="CX47" i="44"/>
  <c r="ER47" i="44"/>
  <c r="CY47" i="44"/>
  <c r="CW47" i="44"/>
  <c r="AP47" i="44"/>
  <c r="EB60" i="44"/>
  <c r="ED60" i="44" s="1"/>
  <c r="CU61" i="44"/>
  <c r="EO62" i="44"/>
  <c r="EQ62" i="44" s="1"/>
  <c r="EL62" i="44"/>
  <c r="EI107" i="44"/>
  <c r="EQ6" i="44"/>
  <c r="EK8" i="44"/>
  <c r="CU9" i="44"/>
  <c r="EE9" i="44"/>
  <c r="DH9" i="44"/>
  <c r="EA9" i="44"/>
  <c r="DW9" i="44"/>
  <c r="DL11" i="44"/>
  <c r="DA57" i="44"/>
  <c r="CX57" i="44"/>
  <c r="CW57" i="44"/>
  <c r="ER57" i="44"/>
  <c r="CY57" i="44"/>
  <c r="EH57" i="44"/>
  <c r="EK57" i="44" s="1"/>
  <c r="EM57" i="44" s="1"/>
  <c r="DH97" i="44"/>
  <c r="DW97" i="44"/>
  <c r="DD97" i="44"/>
  <c r="DF97" i="44" s="1"/>
  <c r="EE97" i="44"/>
  <c r="EA97" i="44"/>
  <c r="CU97" i="44"/>
  <c r="EK6" i="44"/>
  <c r="EM6" i="44" s="1"/>
  <c r="EA10" i="44"/>
  <c r="CU10" i="44"/>
  <c r="DH10" i="44"/>
  <c r="DW10" i="44"/>
  <c r="DD10" i="44"/>
  <c r="DF10" i="44" s="1"/>
  <c r="EV15" i="44"/>
  <c r="DB15" i="44"/>
  <c r="EA16" i="44"/>
  <c r="CU16" i="44"/>
  <c r="DD16" i="44"/>
  <c r="DF16" i="44" s="1"/>
  <c r="DW16" i="44"/>
  <c r="EO16" i="44"/>
  <c r="EM21" i="44"/>
  <c r="EL21" i="44"/>
  <c r="EB26" i="44"/>
  <c r="EH28" i="44"/>
  <c r="EK28" i="44" s="1"/>
  <c r="EM28" i="44" s="1"/>
  <c r="DA28" i="44"/>
  <c r="CY28" i="44"/>
  <c r="ER28" i="44"/>
  <c r="CZ28" i="44"/>
  <c r="CW28" i="44"/>
  <c r="CX28" i="44"/>
  <c r="AP28" i="44"/>
  <c r="EL28" i="44"/>
  <c r="CX43" i="44"/>
  <c r="CW43" i="44"/>
  <c r="ER43" i="44"/>
  <c r="AP43" i="44"/>
  <c r="EH43" i="44"/>
  <c r="EK43" i="44" s="1"/>
  <c r="EM43" i="44" s="1"/>
  <c r="CZ43" i="44"/>
  <c r="EO43" i="44"/>
  <c r="EQ43" i="44" s="1"/>
  <c r="EL43" i="44"/>
  <c r="EV45" i="44"/>
  <c r="DB45" i="44"/>
  <c r="CU60" i="44"/>
  <c r="DH60" i="44"/>
  <c r="DD60" i="44"/>
  <c r="DF60" i="44" s="1"/>
  <c r="DW60" i="44"/>
  <c r="EE60" i="44"/>
  <c r="DK66" i="44"/>
  <c r="EJ66" i="44"/>
  <c r="EP66" i="44" s="1"/>
  <c r="EV71" i="44"/>
  <c r="DB71" i="44"/>
  <c r="EW71" i="44"/>
  <c r="EZ71" i="44" s="1"/>
  <c r="FA71" i="44" s="1"/>
  <c r="EX95" i="44"/>
  <c r="EX15" i="44"/>
  <c r="EX107" i="44" s="1"/>
  <c r="EV51" i="44"/>
  <c r="DB51" i="44"/>
  <c r="EW51" i="44"/>
  <c r="EZ51" i="44" s="1"/>
  <c r="FA51" i="44" s="1"/>
  <c r="EJ7" i="44"/>
  <c r="EP7" i="44" s="1"/>
  <c r="EQ7" i="44" s="1"/>
  <c r="DK7" i="44"/>
  <c r="DZ28" i="44"/>
  <c r="EU28" i="44"/>
  <c r="EE30" i="44"/>
  <c r="DD30" i="44"/>
  <c r="DF30" i="44" s="1"/>
  <c r="DG30" i="44" s="1"/>
  <c r="DW30" i="44"/>
  <c r="CU30" i="44"/>
  <c r="DH30" i="44"/>
  <c r="EH7" i="44"/>
  <c r="DA7" i="44"/>
  <c r="CZ7" i="44"/>
  <c r="CW7" i="44"/>
  <c r="CY7" i="44"/>
  <c r="CX7" i="44"/>
  <c r="ER7" i="44"/>
  <c r="AP7" i="44"/>
  <c r="EO19" i="44"/>
  <c r="EQ19" i="44" s="1"/>
  <c r="EL19" i="44"/>
  <c r="DK32" i="44"/>
  <c r="EX36" i="44"/>
  <c r="EM52" i="44"/>
  <c r="EL52" i="44"/>
  <c r="EJ14" i="44"/>
  <c r="EP14" i="44" s="1"/>
  <c r="EQ14" i="44" s="1"/>
  <c r="DK14" i="44"/>
  <c r="AP32" i="44"/>
  <c r="DA32" i="44"/>
  <c r="CY32" i="44"/>
  <c r="EH32" i="44"/>
  <c r="CZ32" i="44"/>
  <c r="CX32" i="44"/>
  <c r="CW32" i="44"/>
  <c r="EJ32" i="44"/>
  <c r="EP32" i="44" s="1"/>
  <c r="CU35" i="44"/>
  <c r="EO57" i="44"/>
  <c r="EQ57" i="44" s="1"/>
  <c r="EL57" i="44"/>
  <c r="EX58" i="44"/>
  <c r="DD12" i="44"/>
  <c r="DF12" i="44" s="1"/>
  <c r="CU12" i="44"/>
  <c r="EE12" i="44"/>
  <c r="DH12" i="44"/>
  <c r="EJ41" i="44"/>
  <c r="EP41" i="44" s="1"/>
  <c r="EQ41" i="44" s="1"/>
  <c r="EW41" i="44"/>
  <c r="EZ41" i="44" s="1"/>
  <c r="FA41" i="44" s="1"/>
  <c r="EA57" i="44"/>
  <c r="EB57" i="44" s="1"/>
  <c r="ED57" i="44" s="1"/>
  <c r="CU57" i="44"/>
  <c r="EE57" i="44"/>
  <c r="DW57" i="44"/>
  <c r="DD57" i="44"/>
  <c r="DF57" i="44" s="1"/>
  <c r="DG57" i="44" s="1"/>
  <c r="DH57" i="44"/>
  <c r="CZ66" i="44"/>
  <c r="EH66" i="44"/>
  <c r="CY66" i="44"/>
  <c r="CX66" i="44"/>
  <c r="CW66" i="44"/>
  <c r="ER66" i="44"/>
  <c r="DA66" i="44"/>
  <c r="AP66" i="44"/>
  <c r="EL6" i="44"/>
  <c r="EQ8" i="44"/>
  <c r="CW10" i="44"/>
  <c r="EO10" i="44"/>
  <c r="EQ10" i="44" s="1"/>
  <c r="CX16" i="44"/>
  <c r="DW18" i="44"/>
  <c r="EE18" i="44"/>
  <c r="EA18" i="44"/>
  <c r="DD18" i="44"/>
  <c r="DF18" i="44" s="1"/>
  <c r="EU29" i="44"/>
  <c r="DZ29" i="44"/>
  <c r="EB29" i="44" s="1"/>
  <c r="ED29" i="44" s="1"/>
  <c r="EV33" i="44"/>
  <c r="EQ55" i="44"/>
  <c r="EU77" i="44"/>
  <c r="DZ77" i="44"/>
  <c r="DL55" i="44"/>
  <c r="DG55" i="44"/>
  <c r="DD21" i="44"/>
  <c r="DF21" i="44" s="1"/>
  <c r="DG21" i="44" s="1"/>
  <c r="DW21" i="44"/>
  <c r="CU21" i="44"/>
  <c r="EE21" i="44"/>
  <c r="DH21" i="44"/>
  <c r="DL25" i="44"/>
  <c r="DG25" i="44"/>
  <c r="DL26" i="44"/>
  <c r="DG26" i="44"/>
  <c r="EO30" i="44"/>
  <c r="EK47" i="44"/>
  <c r="DW86" i="44"/>
  <c r="DD86" i="44"/>
  <c r="DF86" i="44" s="1"/>
  <c r="DG86" i="44" s="1"/>
  <c r="EE86" i="44"/>
  <c r="DH86" i="44"/>
  <c r="CU86" i="44"/>
  <c r="EA86" i="44"/>
  <c r="EL18" i="44"/>
  <c r="EO18" i="44"/>
  <c r="EQ18" i="44" s="1"/>
  <c r="EM42" i="44"/>
  <c r="EL42" i="44"/>
  <c r="EO50" i="44"/>
  <c r="EQ50" i="44" s="1"/>
  <c r="EO63" i="44"/>
  <c r="EQ63" i="44" s="1"/>
  <c r="EL63" i="44"/>
  <c r="CU6" i="44"/>
  <c r="EA6" i="44"/>
  <c r="DH6" i="44"/>
  <c r="DW6" i="44"/>
  <c r="DD6" i="44"/>
  <c r="DF6" i="44" s="1"/>
  <c r="DG6" i="44" s="1"/>
  <c r="EA13" i="44"/>
  <c r="DH13" i="44"/>
  <c r="DW13" i="44"/>
  <c r="DD13" i="44"/>
  <c r="DF13" i="44" s="1"/>
  <c r="EX39" i="44"/>
  <c r="EK41" i="44"/>
  <c r="DZ5" i="44"/>
  <c r="EU5" i="44"/>
  <c r="EO13" i="44"/>
  <c r="EQ13" i="44" s="1"/>
  <c r="EL23" i="44"/>
  <c r="EL11" i="44"/>
  <c r="EO11" i="44"/>
  <c r="EQ11" i="44" s="1"/>
  <c r="DW12" i="44"/>
  <c r="DH16" i="44"/>
  <c r="DG17" i="44"/>
  <c r="DL17" i="44"/>
  <c r="EO27" i="44"/>
  <c r="EQ27" i="44" s="1"/>
  <c r="EL27" i="44"/>
  <c r="EQ28" i="44"/>
  <c r="EW33" i="44"/>
  <c r="EZ33" i="44" s="1"/>
  <c r="FA33" i="44" s="1"/>
  <c r="EQ36" i="44"/>
  <c r="CY43" i="44"/>
  <c r="DB48" i="44"/>
  <c r="EW48" i="44"/>
  <c r="EZ48" i="44" s="1"/>
  <c r="FA48" i="44" s="1"/>
  <c r="EV48" i="44"/>
  <c r="EQ48" i="44"/>
  <c r="CZ57" i="44"/>
  <c r="EQ88" i="44"/>
  <c r="CZ19" i="44"/>
  <c r="AP19" i="44"/>
  <c r="DA19" i="44"/>
  <c r="CW19" i="44"/>
  <c r="ER19" i="44"/>
  <c r="CY19" i="44"/>
  <c r="CX19" i="44"/>
  <c r="DD27" i="44"/>
  <c r="DF27" i="44" s="1"/>
  <c r="EE27" i="44"/>
  <c r="DH27" i="44"/>
  <c r="DW27" i="44"/>
  <c r="CU27" i="44"/>
  <c r="EO31" i="44"/>
  <c r="EQ31" i="44" s="1"/>
  <c r="DK41" i="44"/>
  <c r="EX74" i="44"/>
  <c r="EU8" i="44"/>
  <c r="DZ8" i="44"/>
  <c r="DD9" i="44"/>
  <c r="DF9" i="44" s="1"/>
  <c r="DG9" i="44" s="1"/>
  <c r="ED12" i="44"/>
  <c r="EU13" i="44"/>
  <c r="DZ13" i="44"/>
  <c r="CU18" i="44"/>
  <c r="AP20" i="44"/>
  <c r="CZ20" i="44"/>
  <c r="DA20" i="44"/>
  <c r="ER20" i="44"/>
  <c r="CY20" i="44"/>
  <c r="CW20" i="44"/>
  <c r="CX20" i="44"/>
  <c r="EH20" i="44"/>
  <c r="EK20" i="44" s="1"/>
  <c r="EM20" i="44" s="1"/>
  <c r="EQ23" i="44"/>
  <c r="DA43" i="44"/>
  <c r="DW59" i="44"/>
  <c r="EA59" i="44"/>
  <c r="CU59" i="44"/>
  <c r="DH59" i="44"/>
  <c r="DD59" i="44"/>
  <c r="DF59" i="44" s="1"/>
  <c r="EE59" i="44"/>
  <c r="EX69" i="44"/>
  <c r="DZ9" i="44"/>
  <c r="CZ14" i="44"/>
  <c r="CY14" i="44"/>
  <c r="DA14" i="44"/>
  <c r="EA17" i="44"/>
  <c r="EB17" i="44" s="1"/>
  <c r="ED17" i="44" s="1"/>
  <c r="EW25" i="44"/>
  <c r="EZ25" i="44" s="1"/>
  <c r="FA25" i="44" s="1"/>
  <c r="EJ25" i="44"/>
  <c r="EP25" i="44" s="1"/>
  <c r="EQ25" i="44" s="1"/>
  <c r="CY36" i="44"/>
  <c r="CX36" i="44"/>
  <c r="ER36" i="44"/>
  <c r="CW36" i="44"/>
  <c r="CZ36" i="44"/>
  <c r="EX56" i="44"/>
  <c r="ER9" i="44"/>
  <c r="CX9" i="44"/>
  <c r="CW9" i="44"/>
  <c r="DD11" i="44"/>
  <c r="DF11" i="44" s="1"/>
  <c r="DG11" i="44" s="1"/>
  <c r="EV17" i="44"/>
  <c r="DK22" i="44"/>
  <c r="DK24" i="44"/>
  <c r="EH25" i="44"/>
  <c r="EK25" i="44" s="1"/>
  <c r="CY25" i="44"/>
  <c r="CX25" i="44"/>
  <c r="ER25" i="44"/>
  <c r="EX37" i="44"/>
  <c r="EW54" i="44"/>
  <c r="EZ54" i="44" s="1"/>
  <c r="FA54" i="44" s="1"/>
  <c r="EJ54" i="44"/>
  <c r="EP54" i="44" s="1"/>
  <c r="EQ54" i="44" s="1"/>
  <c r="DK54" i="44"/>
  <c r="EW9" i="44"/>
  <c r="EZ9" i="44" s="1"/>
  <c r="FA9" i="44" s="1"/>
  <c r="AP14" i="44"/>
  <c r="EH14" i="44"/>
  <c r="EW15" i="44"/>
  <c r="EQ21" i="44"/>
  <c r="EH22" i="44"/>
  <c r="EK22" i="44" s="1"/>
  <c r="EM22" i="44" s="1"/>
  <c r="DA22" i="44"/>
  <c r="AP22" i="44"/>
  <c r="CW22" i="44"/>
  <c r="ER22" i="44"/>
  <c r="CW24" i="44"/>
  <c r="CX24" i="44"/>
  <c r="EH24" i="44"/>
  <c r="EJ24" i="44"/>
  <c r="EP24" i="44" s="1"/>
  <c r="DK25" i="44"/>
  <c r="DK30" i="44"/>
  <c r="EJ30" i="44"/>
  <c r="EP30" i="44" s="1"/>
  <c r="DL30" i="44"/>
  <c r="EW30" i="44"/>
  <c r="EZ30" i="44" s="1"/>
  <c r="FA30" i="44" s="1"/>
  <c r="EK33" i="44"/>
  <c r="EM33" i="44" s="1"/>
  <c r="AP36" i="44"/>
  <c r="EJ37" i="44"/>
  <c r="EP37" i="44" s="1"/>
  <c r="EJ40" i="44"/>
  <c r="EP40" i="44" s="1"/>
  <c r="EW40" i="44"/>
  <c r="EK51" i="44"/>
  <c r="EM51" i="44" s="1"/>
  <c r="EL56" i="44"/>
  <c r="EO56" i="44"/>
  <c r="EQ56" i="44" s="1"/>
  <c r="EE67" i="44"/>
  <c r="DH67" i="44"/>
  <c r="DD67" i="44"/>
  <c r="DF67" i="44" s="1"/>
  <c r="CU67" i="44"/>
  <c r="EW67" i="44" s="1"/>
  <c r="EZ67" i="44" s="1"/>
  <c r="FA67" i="44" s="1"/>
  <c r="EA67" i="44"/>
  <c r="DW67" i="44"/>
  <c r="CX76" i="44"/>
  <c r="CW76" i="44"/>
  <c r="ER76" i="44"/>
  <c r="DA76" i="44"/>
  <c r="CZ76" i="44"/>
  <c r="CY76" i="44"/>
  <c r="EH76" i="44"/>
  <c r="EK76" i="44" s="1"/>
  <c r="AP76" i="44"/>
  <c r="DL93" i="44"/>
  <c r="EX93" i="44"/>
  <c r="AN107" i="44"/>
  <c r="EH9" i="44"/>
  <c r="EK12" i="44"/>
  <c r="EM12" i="44" s="1"/>
  <c r="EW13" i="44"/>
  <c r="EZ13" i="44" s="1"/>
  <c r="FA13" i="44" s="1"/>
  <c r="CW17" i="44"/>
  <c r="EQ17" i="44"/>
  <c r="EJ22" i="44"/>
  <c r="EP22" i="44" s="1"/>
  <c r="EQ22" i="44" s="1"/>
  <c r="AP24" i="44"/>
  <c r="EO33" i="44"/>
  <c r="EQ33" i="44" s="1"/>
  <c r="DA36" i="44"/>
  <c r="CW38" i="44"/>
  <c r="EH38" i="44"/>
  <c r="EK38" i="44" s="1"/>
  <c r="AP38" i="44"/>
  <c r="ER38" i="44"/>
  <c r="ER42" i="44"/>
  <c r="CX42" i="44"/>
  <c r="AP42" i="44"/>
  <c r="DA42" i="44"/>
  <c r="CZ42" i="44"/>
  <c r="EX44" i="44"/>
  <c r="DZ48" i="44"/>
  <c r="EB48" i="44" s="1"/>
  <c r="ED48" i="44" s="1"/>
  <c r="DZ50" i="44"/>
  <c r="EU50" i="44"/>
  <c r="DV51" i="44"/>
  <c r="EA54" i="44"/>
  <c r="EE54" i="44"/>
  <c r="DD54" i="44"/>
  <c r="DF54" i="44" s="1"/>
  <c r="DG54" i="44" s="1"/>
  <c r="DW54" i="44"/>
  <c r="DG63" i="44"/>
  <c r="DL63" i="44"/>
  <c r="EH77" i="44"/>
  <c r="EK77" i="44" s="1"/>
  <c r="EM77" i="44" s="1"/>
  <c r="CY77" i="44"/>
  <c r="CX77" i="44"/>
  <c r="AP77" i="44"/>
  <c r="ER77" i="44"/>
  <c r="DA77" i="44"/>
  <c r="CZ77" i="44"/>
  <c r="DK102" i="44"/>
  <c r="EJ102" i="44"/>
  <c r="EP102" i="44" s="1"/>
  <c r="EA11" i="44"/>
  <c r="EQ20" i="44"/>
  <c r="EU23" i="44"/>
  <c r="DZ23" i="44"/>
  <c r="DH25" i="44"/>
  <c r="CU25" i="44"/>
  <c r="EA25" i="44"/>
  <c r="DW26" i="44"/>
  <c r="DH26" i="44"/>
  <c r="EO39" i="44"/>
  <c r="EQ39" i="44" s="1"/>
  <c r="EL39" i="44"/>
  <c r="EJ68" i="44"/>
  <c r="EP68" i="44" s="1"/>
  <c r="EQ68" i="44" s="1"/>
  <c r="DK68" i="44"/>
  <c r="CX72" i="44"/>
  <c r="ER72" i="44"/>
  <c r="CZ72" i="44"/>
  <c r="EQ72" i="44"/>
  <c r="CY72" i="44"/>
  <c r="CW72" i="44"/>
  <c r="EH72" i="44"/>
  <c r="EK72" i="44" s="1"/>
  <c r="EM72" i="44" s="1"/>
  <c r="AP72" i="44"/>
  <c r="EB78" i="44"/>
  <c r="ED78" i="44" s="1"/>
  <c r="CS107" i="44"/>
  <c r="AY108" i="44" s="1"/>
  <c r="DK11" i="44"/>
  <c r="EH13" i="44"/>
  <c r="EK13" i="44" s="1"/>
  <c r="EM13" i="44" s="1"/>
  <c r="DA13" i="44"/>
  <c r="CW14" i="44"/>
  <c r="CX17" i="44"/>
  <c r="EH17" i="44"/>
  <c r="EK17" i="44" s="1"/>
  <c r="DL21" i="44"/>
  <c r="CW25" i="44"/>
  <c r="CU26" i="44"/>
  <c r="EO26" i="44"/>
  <c r="EQ26" i="44" s="1"/>
  <c r="DK31" i="44"/>
  <c r="DW33" i="44"/>
  <c r="DD33" i="44"/>
  <c r="DF33" i="44" s="1"/>
  <c r="EE33" i="44"/>
  <c r="EW35" i="44"/>
  <c r="EZ35" i="44" s="1"/>
  <c r="FA35" i="44" s="1"/>
  <c r="DK35" i="44"/>
  <c r="EH36" i="44"/>
  <c r="EK36" i="44" s="1"/>
  <c r="EX40" i="44"/>
  <c r="DL40" i="44"/>
  <c r="EX42" i="44"/>
  <c r="DW48" i="44"/>
  <c r="DD48" i="44"/>
  <c r="DF48" i="44" s="1"/>
  <c r="DG48" i="44" s="1"/>
  <c r="EE48" i="44"/>
  <c r="EA48" i="44"/>
  <c r="DK53" i="44"/>
  <c r="EW59" i="44"/>
  <c r="EZ59" i="44" s="1"/>
  <c r="FA59" i="44" s="1"/>
  <c r="EJ59" i="44"/>
  <c r="EP59" i="44" s="1"/>
  <c r="EQ59" i="44" s="1"/>
  <c r="DK59" i="44"/>
  <c r="EA84" i="44"/>
  <c r="EB84" i="44" s="1"/>
  <c r="ED84" i="44" s="1"/>
  <c r="EE84" i="44"/>
  <c r="DH84" i="44"/>
  <c r="DW84" i="44"/>
  <c r="DD84" i="44"/>
  <c r="DF84" i="44" s="1"/>
  <c r="CU84" i="44"/>
  <c r="K107" i="44"/>
  <c r="AP5" i="44"/>
  <c r="DH11" i="44"/>
  <c r="ER11" i="44"/>
  <c r="CY23" i="44"/>
  <c r="ER23" i="44"/>
  <c r="AP23" i="44"/>
  <c r="CX23" i="44"/>
  <c r="CY30" i="44"/>
  <c r="ER30" i="44"/>
  <c r="CX30" i="44"/>
  <c r="CW30" i="44"/>
  <c r="CX37" i="44"/>
  <c r="ER37" i="44"/>
  <c r="CW37" i="44"/>
  <c r="DA37" i="44"/>
  <c r="CZ37" i="44"/>
  <c r="AP37" i="44"/>
  <c r="ER5" i="44"/>
  <c r="DK6" i="44"/>
  <c r="CZ8" i="44"/>
  <c r="CY8" i="44"/>
  <c r="CY9" i="44"/>
  <c r="EJ9" i="44"/>
  <c r="EP9" i="44" s="1"/>
  <c r="EQ9" i="44" s="1"/>
  <c r="CU11" i="44"/>
  <c r="EW11" i="44" s="1"/>
  <c r="EZ11" i="44" s="1"/>
  <c r="FA11" i="44" s="1"/>
  <c r="EE11" i="44"/>
  <c r="CX14" i="44"/>
  <c r="DK16" i="44"/>
  <c r="EJ16" i="44"/>
  <c r="EP16" i="44" s="1"/>
  <c r="CY17" i="44"/>
  <c r="EW18" i="44"/>
  <c r="EZ18" i="44" s="1"/>
  <c r="FA18" i="44" s="1"/>
  <c r="DK18" i="44"/>
  <c r="DK107" i="44" s="1"/>
  <c r="EU107" i="44" s="1"/>
  <c r="EU19" i="44"/>
  <c r="CX22" i="44"/>
  <c r="CY24" i="44"/>
  <c r="CZ25" i="44"/>
  <c r="CW31" i="44"/>
  <c r="CZ31" i="44"/>
  <c r="CY31" i="44"/>
  <c r="EH31" i="44"/>
  <c r="EK31" i="44" s="1"/>
  <c r="EM31" i="44" s="1"/>
  <c r="AP31" i="44"/>
  <c r="CX31" i="44"/>
  <c r="CY37" i="44"/>
  <c r="EQ37" i="44"/>
  <c r="EW45" i="44"/>
  <c r="DK45" i="44"/>
  <c r="EJ45" i="44"/>
  <c r="EP45" i="44" s="1"/>
  <c r="EQ45" i="44" s="1"/>
  <c r="EL48" i="44"/>
  <c r="DZ51" i="44"/>
  <c r="EB51" i="44" s="1"/>
  <c r="ED51" i="44" s="1"/>
  <c r="EU51" i="44"/>
  <c r="CZ53" i="44"/>
  <c r="CX53" i="44"/>
  <c r="CW53" i="44"/>
  <c r="ER53" i="44"/>
  <c r="AP53" i="44"/>
  <c r="EH53" i="44"/>
  <c r="EK53" i="44" s="1"/>
  <c r="CU54" i="44"/>
  <c r="EA55" i="44"/>
  <c r="CU55" i="44"/>
  <c r="EE55" i="44"/>
  <c r="DH55" i="44"/>
  <c r="DA72" i="44"/>
  <c r="DF73" i="44"/>
  <c r="DA27" i="44"/>
  <c r="CZ27" i="44"/>
  <c r="EH34" i="44"/>
  <c r="EK34" i="44" s="1"/>
  <c r="EM34" i="44" s="1"/>
  <c r="DA34" i="44"/>
  <c r="CX34" i="44"/>
  <c r="CW34" i="44"/>
  <c r="AP34" i="44"/>
  <c r="EE35" i="44"/>
  <c r="DH35" i="44"/>
  <c r="EJ44" i="44"/>
  <c r="EP44" i="44" s="1"/>
  <c r="EQ44" i="44" s="1"/>
  <c r="DK44" i="44"/>
  <c r="EJ46" i="44"/>
  <c r="EP46" i="44" s="1"/>
  <c r="EQ46" i="44" s="1"/>
  <c r="EW46" i="44"/>
  <c r="EZ46" i="44" s="1"/>
  <c r="FA46" i="44" s="1"/>
  <c r="DK46" i="44"/>
  <c r="EK48" i="44"/>
  <c r="EM48" i="44" s="1"/>
  <c r="EA49" i="44"/>
  <c r="CU49" i="44"/>
  <c r="DW49" i="44"/>
  <c r="EE49" i="44"/>
  <c r="DH49" i="44"/>
  <c r="DD49" i="44"/>
  <c r="DF49" i="44" s="1"/>
  <c r="EK50" i="44"/>
  <c r="EM50" i="44" s="1"/>
  <c r="EQ52" i="44"/>
  <c r="DK70" i="44"/>
  <c r="EJ70" i="44"/>
  <c r="EP70" i="44" s="1"/>
  <c r="EQ70" i="44" s="1"/>
  <c r="EE45" i="44"/>
  <c r="DH45" i="44"/>
  <c r="EO49" i="44"/>
  <c r="EQ49" i="44" s="1"/>
  <c r="EL49" i="44"/>
  <c r="DK52" i="44"/>
  <c r="DK63" i="44"/>
  <c r="EW63" i="44"/>
  <c r="EZ63" i="44" s="1"/>
  <c r="FA63" i="44" s="1"/>
  <c r="ER68" i="44"/>
  <c r="CX68" i="44"/>
  <c r="DA68" i="44"/>
  <c r="CZ68" i="44"/>
  <c r="EH68" i="44"/>
  <c r="CY68" i="44"/>
  <c r="CW68" i="44"/>
  <c r="EH99" i="44"/>
  <c r="EK99" i="44" s="1"/>
  <c r="DA99" i="44"/>
  <c r="CZ99" i="44"/>
  <c r="CY99" i="44"/>
  <c r="AP99" i="44"/>
  <c r="CX99" i="44"/>
  <c r="CW99" i="44"/>
  <c r="CX15" i="44"/>
  <c r="ER15" i="44"/>
  <c r="CW15" i="44"/>
  <c r="EQ24" i="44"/>
  <c r="CZ26" i="44"/>
  <c r="EH26" i="44"/>
  <c r="EK26" i="44" s="1"/>
  <c r="EM26" i="44" s="1"/>
  <c r="CY26" i="44"/>
  <c r="CX27" i="44"/>
  <c r="EX32" i="44"/>
  <c r="DD35" i="44"/>
  <c r="DF35" i="44" s="1"/>
  <c r="EQ38" i="44"/>
  <c r="AP39" i="44"/>
  <c r="CZ39" i="44"/>
  <c r="ER48" i="44"/>
  <c r="CX48" i="44"/>
  <c r="CZ48" i="44"/>
  <c r="CW48" i="44"/>
  <c r="CW52" i="44"/>
  <c r="ER52" i="44"/>
  <c r="DA52" i="44"/>
  <c r="CZ52" i="44"/>
  <c r="EO79" i="44"/>
  <c r="EJ55" i="44"/>
  <c r="EP55" i="44" s="1"/>
  <c r="EW55" i="44"/>
  <c r="EZ55" i="44" s="1"/>
  <c r="FA55" i="44" s="1"/>
  <c r="DK55" i="44"/>
  <c r="EJ58" i="44"/>
  <c r="EP58" i="44" s="1"/>
  <c r="EQ58" i="44" s="1"/>
  <c r="DK58" i="44"/>
  <c r="EJ60" i="44"/>
  <c r="DD68" i="44"/>
  <c r="DF68" i="44" s="1"/>
  <c r="DG68" i="44" s="1"/>
  <c r="EE68" i="44"/>
  <c r="EA68" i="44"/>
  <c r="CU68" i="44"/>
  <c r="EH79" i="44"/>
  <c r="EK79" i="44" s="1"/>
  <c r="EM79" i="44" s="1"/>
  <c r="DA79" i="44"/>
  <c r="CW79" i="44"/>
  <c r="CY79" i="44"/>
  <c r="CX79" i="44"/>
  <c r="AP79" i="44"/>
  <c r="EL51" i="44"/>
  <c r="EE52" i="44"/>
  <c r="CU52" i="44"/>
  <c r="EW52" i="44" s="1"/>
  <c r="EZ52" i="44" s="1"/>
  <c r="FA52" i="44" s="1"/>
  <c r="DW52" i="44"/>
  <c r="EU56" i="44"/>
  <c r="DZ56" i="44"/>
  <c r="AP58" i="44"/>
  <c r="CY58" i="44"/>
  <c r="CX58" i="44"/>
  <c r="ER58" i="44"/>
  <c r="DA58" i="44"/>
  <c r="CZ58" i="44"/>
  <c r="EH58" i="44"/>
  <c r="EJ77" i="44"/>
  <c r="EP77" i="44" s="1"/>
  <c r="EQ77" i="44" s="1"/>
  <c r="ER79" i="44"/>
  <c r="AJ109" i="44"/>
  <c r="EA63" i="44"/>
  <c r="CU63" i="44"/>
  <c r="DH63" i="44"/>
  <c r="DW63" i="44"/>
  <c r="EX70" i="44"/>
  <c r="EW73" i="44"/>
  <c r="EZ73" i="44" s="1"/>
  <c r="FA73" i="44" s="1"/>
  <c r="EJ73" i="44"/>
  <c r="EP73" i="44" s="1"/>
  <c r="EQ73" i="44" s="1"/>
  <c r="DK73" i="44"/>
  <c r="ER80" i="44"/>
  <c r="CZ80" i="44"/>
  <c r="EH80" i="44"/>
  <c r="EK80" i="44" s="1"/>
  <c r="CY80" i="44"/>
  <c r="CX80" i="44"/>
  <c r="DA80" i="44"/>
  <c r="CW80" i="44"/>
  <c r="AP80" i="44"/>
  <c r="EO91" i="44"/>
  <c r="EQ91" i="44" s="1"/>
  <c r="EO95" i="44"/>
  <c r="EQ95" i="44" s="1"/>
  <c r="EL95" i="44"/>
  <c r="EO40" i="44"/>
  <c r="EQ40" i="44" s="1"/>
  <c r="AP44" i="44"/>
  <c r="CY44" i="44"/>
  <c r="CX44" i="44"/>
  <c r="CW44" i="44"/>
  <c r="DA46" i="44"/>
  <c r="CZ46" i="44"/>
  <c r="EH46" i="44"/>
  <c r="CY46" i="44"/>
  <c r="CW46" i="44"/>
  <c r="EX52" i="44"/>
  <c r="DL52" i="44"/>
  <c r="ER56" i="44"/>
  <c r="CX56" i="44"/>
  <c r="AP56" i="44"/>
  <c r="DA56" i="44"/>
  <c r="EW62" i="44"/>
  <c r="EZ62" i="44" s="1"/>
  <c r="FA62" i="44" s="1"/>
  <c r="EV62" i="44"/>
  <c r="EO69" i="44"/>
  <c r="EQ69" i="44" s="1"/>
  <c r="DD71" i="44"/>
  <c r="DF71" i="44" s="1"/>
  <c r="EE71" i="44"/>
  <c r="DW71" i="44"/>
  <c r="DH71" i="44"/>
  <c r="EO78" i="44"/>
  <c r="EQ78" i="44" s="1"/>
  <c r="EL78" i="44"/>
  <c r="DK82" i="44"/>
  <c r="EJ82" i="44"/>
  <c r="EP82" i="44" s="1"/>
  <c r="EQ82" i="44"/>
  <c r="DL86" i="44"/>
  <c r="EX86" i="44"/>
  <c r="EW29" i="44"/>
  <c r="EZ29" i="44" s="1"/>
  <c r="FA29" i="44" s="1"/>
  <c r="EH35" i="44"/>
  <c r="EK35" i="44" s="1"/>
  <c r="DA35" i="44"/>
  <c r="CZ35" i="44"/>
  <c r="CY35" i="44"/>
  <c r="EA41" i="44"/>
  <c r="DH41" i="44"/>
  <c r="DD41" i="44"/>
  <c r="DF41" i="44" s="1"/>
  <c r="EU42" i="44"/>
  <c r="DZ42" i="44"/>
  <c r="EX45" i="44"/>
  <c r="DL45" i="44"/>
  <c r="ER54" i="44"/>
  <c r="CX54" i="44"/>
  <c r="CZ54" i="44"/>
  <c r="EH54" i="44"/>
  <c r="EK54" i="44" s="1"/>
  <c r="CY54" i="44"/>
  <c r="CW54" i="44"/>
  <c r="DA55" i="44"/>
  <c r="EH55" i="44"/>
  <c r="EK55" i="44" s="1"/>
  <c r="CZ55" i="44"/>
  <c r="CX55" i="44"/>
  <c r="DK64" i="44"/>
  <c r="EJ64" i="44"/>
  <c r="EP64" i="44" s="1"/>
  <c r="EQ64" i="44" s="1"/>
  <c r="EQ66" i="44"/>
  <c r="EA71" i="44"/>
  <c r="EU83" i="44"/>
  <c r="DZ83" i="44"/>
  <c r="EQ84" i="44"/>
  <c r="EQ90" i="44"/>
  <c r="EH29" i="44"/>
  <c r="EK29" i="44" s="1"/>
  <c r="DA29" i="44"/>
  <c r="CZ29" i="44"/>
  <c r="CY29" i="44"/>
  <c r="EO32" i="44"/>
  <c r="CZ44" i="44"/>
  <c r="CW56" i="44"/>
  <c r="DF61" i="44"/>
  <c r="DG61" i="44" s="1"/>
  <c r="AP64" i="44"/>
  <c r="CX64" i="44"/>
  <c r="CW64" i="44"/>
  <c r="ER64" i="44"/>
  <c r="EH64" i="44"/>
  <c r="DA64" i="44"/>
  <c r="EJ79" i="44"/>
  <c r="EP79" i="44" s="1"/>
  <c r="DK79" i="44"/>
  <c r="DE93" i="44"/>
  <c r="DE107" i="44" s="1"/>
  <c r="CU93" i="44"/>
  <c r="DZ97" i="44"/>
  <c r="EB97" i="44" s="1"/>
  <c r="ED97" i="44" s="1"/>
  <c r="EU97" i="44"/>
  <c r="EE101" i="44"/>
  <c r="EA101" i="44"/>
  <c r="CU101" i="44"/>
  <c r="DH101" i="44"/>
  <c r="DD101" i="44"/>
  <c r="DF101" i="44" s="1"/>
  <c r="DG101" i="44" s="1"/>
  <c r="DW101" i="44"/>
  <c r="DK65" i="44"/>
  <c r="EJ65" i="44"/>
  <c r="EP65" i="44" s="1"/>
  <c r="EQ65" i="44" s="1"/>
  <c r="EK69" i="44"/>
  <c r="EM69" i="44" s="1"/>
  <c r="EL71" i="44"/>
  <c r="EO71" i="44"/>
  <c r="EQ71" i="44" s="1"/>
  <c r="EQ76" i="44"/>
  <c r="DL94" i="44"/>
  <c r="AP50" i="44"/>
  <c r="EU62" i="44"/>
  <c r="EE65" i="44"/>
  <c r="CU65" i="44"/>
  <c r="EW65" i="44" s="1"/>
  <c r="EZ65" i="44" s="1"/>
  <c r="FA65" i="44" s="1"/>
  <c r="EA65" i="44"/>
  <c r="DH65" i="44"/>
  <c r="EJ67" i="44"/>
  <c r="EP67" i="44" s="1"/>
  <c r="EQ67" i="44" s="1"/>
  <c r="DK67" i="44"/>
  <c r="EL72" i="44"/>
  <c r="DL75" i="44"/>
  <c r="EX75" i="44"/>
  <c r="DZ76" i="44"/>
  <c r="EU76" i="44"/>
  <c r="DZ80" i="44"/>
  <c r="EU80" i="44"/>
  <c r="AP82" i="44"/>
  <c r="CW82" i="44"/>
  <c r="DA82" i="44"/>
  <c r="CZ82" i="44"/>
  <c r="CY82" i="44"/>
  <c r="CX82" i="44"/>
  <c r="EH82" i="44"/>
  <c r="EK82" i="44" s="1"/>
  <c r="EM82" i="44" s="1"/>
  <c r="DK86" i="44"/>
  <c r="EJ86" i="44"/>
  <c r="EP86" i="44" s="1"/>
  <c r="EQ86" i="44" s="1"/>
  <c r="EU90" i="44"/>
  <c r="DZ90" i="44"/>
  <c r="DA92" i="44"/>
  <c r="EH92" i="44"/>
  <c r="EK92" i="44" s="1"/>
  <c r="EM92" i="44" s="1"/>
  <c r="CZ92" i="44"/>
  <c r="CY92" i="44"/>
  <c r="AP92" i="44"/>
  <c r="ER92" i="44"/>
  <c r="EB93" i="44"/>
  <c r="ED93" i="44" s="1"/>
  <c r="EH100" i="44"/>
  <c r="EK100" i="44" s="1"/>
  <c r="EM100" i="44" s="1"/>
  <c r="DA100" i="44"/>
  <c r="CZ100" i="44"/>
  <c r="CY100" i="44"/>
  <c r="ER100" i="44"/>
  <c r="CX100" i="44"/>
  <c r="CW100" i="44"/>
  <c r="AP100" i="44"/>
  <c r="DH51" i="44"/>
  <c r="EM61" i="44"/>
  <c r="EL61" i="44"/>
  <c r="EA62" i="44"/>
  <c r="EB62" i="44" s="1"/>
  <c r="DH62" i="44"/>
  <c r="DW62" i="44"/>
  <c r="DD62" i="44"/>
  <c r="DF62" i="44" s="1"/>
  <c r="DG62" i="44" s="1"/>
  <c r="DL62" i="44"/>
  <c r="DL65" i="44"/>
  <c r="CZ67" i="44"/>
  <c r="DA67" i="44"/>
  <c r="EH67" i="44"/>
  <c r="CY67" i="44"/>
  <c r="CX67" i="44"/>
  <c r="CW67" i="44"/>
  <c r="EE75" i="44"/>
  <c r="CU75" i="44"/>
  <c r="DW75" i="44"/>
  <c r="DH75" i="44"/>
  <c r="EA75" i="44"/>
  <c r="DD75" i="44"/>
  <c r="DF75" i="44" s="1"/>
  <c r="DG75" i="44" s="1"/>
  <c r="EJ81" i="44"/>
  <c r="EP81" i="44" s="1"/>
  <c r="EQ81" i="44" s="1"/>
  <c r="DK81" i="44"/>
  <c r="DW91" i="44"/>
  <c r="DD91" i="44"/>
  <c r="DF91" i="44" s="1"/>
  <c r="EA91" i="44"/>
  <c r="CU91" i="44"/>
  <c r="EW91" i="44" s="1"/>
  <c r="EZ91" i="44" s="1"/>
  <c r="FA91" i="44" s="1"/>
  <c r="DH91" i="44"/>
  <c r="CY95" i="44"/>
  <c r="CW95" i="44"/>
  <c r="DA95" i="44"/>
  <c r="ER95" i="44"/>
  <c r="CZ95" i="44"/>
  <c r="AP95" i="44"/>
  <c r="CX95" i="44"/>
  <c r="S109" i="44"/>
  <c r="AE109" i="44"/>
  <c r="AE108" i="44"/>
  <c r="AW109" i="44"/>
  <c r="BI109" i="44"/>
  <c r="BU109" i="44"/>
  <c r="DL54" i="44"/>
  <c r="EU71" i="44"/>
  <c r="DZ71" i="44"/>
  <c r="EX76" i="44"/>
  <c r="CZ78" i="44"/>
  <c r="EH78" i="44"/>
  <c r="EK78" i="44" s="1"/>
  <c r="EM78" i="44" s="1"/>
  <c r="CY78" i="44"/>
  <c r="ER78" i="44"/>
  <c r="DA78" i="44"/>
  <c r="CX78" i="44"/>
  <c r="CW78" i="44"/>
  <c r="ER81" i="44"/>
  <c r="CX81" i="44"/>
  <c r="DA81" i="44"/>
  <c r="CZ81" i="44"/>
  <c r="AP81" i="44"/>
  <c r="EH81" i="44"/>
  <c r="EK81" i="44" s="1"/>
  <c r="ED85" i="44"/>
  <c r="EB91" i="44"/>
  <c r="ED91" i="44" s="1"/>
  <c r="EO103" i="44"/>
  <c r="EQ103" i="44" s="1"/>
  <c r="EL103" i="44"/>
  <c r="CZ60" i="44"/>
  <c r="DA69" i="44"/>
  <c r="AP70" i="44"/>
  <c r="EH70" i="44"/>
  <c r="ED75" i="44"/>
  <c r="EK59" i="44"/>
  <c r="DL68" i="44"/>
  <c r="EE73" i="44"/>
  <c r="EB75" i="44"/>
  <c r="EQ80" i="44"/>
  <c r="EX85" i="44"/>
  <c r="DL85" i="44"/>
  <c r="EE88" i="44"/>
  <c r="CU88" i="44"/>
  <c r="DH88" i="44"/>
  <c r="DW88" i="44"/>
  <c r="ER62" i="44"/>
  <c r="CX62" i="44"/>
  <c r="ED62" i="44"/>
  <c r="CU73" i="44"/>
  <c r="CZ85" i="44"/>
  <c r="EH85" i="44"/>
  <c r="EK85" i="44" s="1"/>
  <c r="CW85" i="44"/>
  <c r="DA85" i="44"/>
  <c r="CU94" i="44"/>
  <c r="CY74" i="44"/>
  <c r="AP74" i="44"/>
  <c r="EU74" i="44"/>
  <c r="DZ74" i="44"/>
  <c r="EK84" i="44"/>
  <c r="CW96" i="44"/>
  <c r="AP96" i="44"/>
  <c r="EH96" i="44"/>
  <c r="EK96" i="44" s="1"/>
  <c r="EM96" i="44" s="1"/>
  <c r="DA96" i="44"/>
  <c r="CZ96" i="44"/>
  <c r="CY96" i="44"/>
  <c r="ER96" i="44"/>
  <c r="EO96" i="44"/>
  <c r="EQ96" i="44" s="1"/>
  <c r="EL96" i="44"/>
  <c r="EH75" i="44"/>
  <c r="EK75" i="44" s="1"/>
  <c r="CU85" i="44"/>
  <c r="EE85" i="44"/>
  <c r="DH85" i="44"/>
  <c r="DW85" i="44"/>
  <c r="EA89" i="44"/>
  <c r="EB89" i="44" s="1"/>
  <c r="ED89" i="44" s="1"/>
  <c r="CU89" i="44"/>
  <c r="EW89" i="44" s="1"/>
  <c r="EZ89" i="44" s="1"/>
  <c r="FA89" i="44" s="1"/>
  <c r="EE89" i="44"/>
  <c r="DH89" i="44"/>
  <c r="DW89" i="44"/>
  <c r="EQ93" i="44"/>
  <c r="EO101" i="44"/>
  <c r="EQ101" i="44" s="1"/>
  <c r="EL101" i="44"/>
  <c r="AP83" i="44"/>
  <c r="AP90" i="44"/>
  <c r="DA90" i="44"/>
  <c r="EH90" i="44"/>
  <c r="EK90" i="44" s="1"/>
  <c r="CZ90" i="44"/>
  <c r="CY90" i="44"/>
  <c r="DK100" i="44"/>
  <c r="EK101" i="44"/>
  <c r="EM101" i="44" s="1"/>
  <c r="AH109" i="44"/>
  <c r="EH73" i="44"/>
  <c r="EK73" i="44" s="1"/>
  <c r="DA73" i="44"/>
  <c r="EK83" i="44"/>
  <c r="EH89" i="44"/>
  <c r="EK89" i="44" s="1"/>
  <c r="CZ89" i="44"/>
  <c r="CY89" i="44"/>
  <c r="CX89" i="44"/>
  <c r="EX89" i="44"/>
  <c r="DL89" i="44"/>
  <c r="CW90" i="44"/>
  <c r="EW85" i="44"/>
  <c r="EZ85" i="44" s="1"/>
  <c r="FA85" i="44" s="1"/>
  <c r="CX90" i="44"/>
  <c r="DB98" i="44"/>
  <c r="EV98" i="44"/>
  <c r="CZ86" i="44"/>
  <c r="ER86" i="44"/>
  <c r="CX86" i="44"/>
  <c r="EH86" i="44"/>
  <c r="EL92" i="44"/>
  <c r="EQ94" i="44"/>
  <c r="DK106" i="44"/>
  <c r="EJ106" i="44"/>
  <c r="EP106" i="44" s="1"/>
  <c r="ER87" i="44"/>
  <c r="CX87" i="44"/>
  <c r="CW87" i="44"/>
  <c r="AP87" i="44"/>
  <c r="EH87" i="44"/>
  <c r="EK87" i="44" s="1"/>
  <c r="DL88" i="44"/>
  <c r="EE94" i="44"/>
  <c r="DH94" i="44"/>
  <c r="EA94" i="44"/>
  <c r="EZ103" i="44"/>
  <c r="FA103" i="44" s="1"/>
  <c r="EQ106" i="44"/>
  <c r="R109" i="44"/>
  <c r="R108" i="44"/>
  <c r="AV109" i="44"/>
  <c r="BH109" i="44"/>
  <c r="BT109" i="44"/>
  <c r="BT108" i="44"/>
  <c r="CF109" i="44"/>
  <c r="CF108" i="44"/>
  <c r="DK95" i="44"/>
  <c r="EQ100" i="44"/>
  <c r="EH106" i="44"/>
  <c r="DA106" i="44"/>
  <c r="CZ106" i="44"/>
  <c r="CY106" i="44"/>
  <c r="ER106" i="44"/>
  <c r="CX106" i="44"/>
  <c r="CW106" i="44"/>
  <c r="DK88" i="44"/>
  <c r="EO97" i="44"/>
  <c r="EQ97" i="44" s="1"/>
  <c r="EL97" i="44"/>
  <c r="DW98" i="44"/>
  <c r="DD98" i="44"/>
  <c r="DF98" i="44" s="1"/>
  <c r="DH98" i="44"/>
  <c r="CW102" i="44"/>
  <c r="AP102" i="44"/>
  <c r="EH102" i="44"/>
  <c r="DA102" i="44"/>
  <c r="CZ102" i="44"/>
  <c r="CY102" i="44"/>
  <c r="AP106" i="44"/>
  <c r="O109" i="44"/>
  <c r="AA109" i="44"/>
  <c r="AM109" i="44"/>
  <c r="ER88" i="44"/>
  <c r="CX88" i="44"/>
  <c r="CW88" i="44"/>
  <c r="EH88" i="44"/>
  <c r="EK88" i="44" s="1"/>
  <c r="DW93" i="44"/>
  <c r="DD93" i="44"/>
  <c r="DF93" i="44" s="1"/>
  <c r="DG93" i="44" s="1"/>
  <c r="EK93" i="44"/>
  <c r="DK96" i="44"/>
  <c r="EK97" i="44"/>
  <c r="EM97" i="44" s="1"/>
  <c r="DW104" i="44"/>
  <c r="DD104" i="44"/>
  <c r="DF104" i="44" s="1"/>
  <c r="EE104" i="44"/>
  <c r="EA104" i="44"/>
  <c r="CU104" i="44"/>
  <c r="P109" i="44"/>
  <c r="AB109" i="44"/>
  <c r="BR109" i="44"/>
  <c r="CD109" i="44"/>
  <c r="CP109" i="44"/>
  <c r="CP108" i="44"/>
  <c r="EL104" i="44"/>
  <c r="DB105" i="44"/>
  <c r="EV105" i="44"/>
  <c r="AC109" i="44"/>
  <c r="AU109" i="44"/>
  <c r="BG109" i="44"/>
  <c r="BG108" i="44"/>
  <c r="BS109" i="44"/>
  <c r="BS108" i="44"/>
  <c r="CQ109" i="44"/>
  <c r="EU99" i="44"/>
  <c r="DZ99" i="44"/>
  <c r="T108" i="44"/>
  <c r="AF108" i="44"/>
  <c r="AX109" i="44"/>
  <c r="BJ109" i="44"/>
  <c r="CH109" i="44"/>
  <c r="EK91" i="44"/>
  <c r="EM91" i="44" s="1"/>
  <c r="DZ94" i="44"/>
  <c r="EL98" i="44"/>
  <c r="EU105" i="44"/>
  <c r="DZ105" i="44"/>
  <c r="EB105" i="44" s="1"/>
  <c r="ED105" i="44" s="1"/>
  <c r="U108" i="44"/>
  <c r="AG108" i="44"/>
  <c r="ER94" i="44"/>
  <c r="CX94" i="44"/>
  <c r="CW94" i="44"/>
  <c r="DZ103" i="44"/>
  <c r="EB103" i="44" s="1"/>
  <c r="ED103" i="44" s="1"/>
  <c r="EU103" i="44"/>
  <c r="EH105" i="44"/>
  <c r="EK105" i="44" s="1"/>
  <c r="DA105" i="44"/>
  <c r="CZ105" i="44"/>
  <c r="CY105" i="44"/>
  <c r="BL108" i="44"/>
  <c r="BX108" i="44"/>
  <c r="CJ108" i="44"/>
  <c r="EH98" i="44"/>
  <c r="EK98" i="44" s="1"/>
  <c r="EM98" i="44" s="1"/>
  <c r="DA98" i="44"/>
  <c r="CW98" i="44"/>
  <c r="CY101" i="44"/>
  <c r="ER101" i="44"/>
  <c r="CX101" i="44"/>
  <c r="CW101" i="44"/>
  <c r="W108" i="44"/>
  <c r="W109" i="44"/>
  <c r="AI109" i="44"/>
  <c r="DL101" i="44"/>
  <c r="EO102" i="44"/>
  <c r="EQ102" i="44" s="1"/>
  <c r="DD105" i="44"/>
  <c r="DF105" i="44" s="1"/>
  <c r="EE105" i="44"/>
  <c r="DH105" i="44"/>
  <c r="AX108" i="44"/>
  <c r="BV108" i="44"/>
  <c r="DK98" i="44"/>
  <c r="EE103" i="44"/>
  <c r="CW104" i="44"/>
  <c r="DK104" i="44"/>
  <c r="BB109" i="44"/>
  <c r="BN109" i="44"/>
  <c r="BZ109" i="44"/>
  <c r="CL109" i="44"/>
  <c r="EW98" i="44"/>
  <c r="EZ98" i="44" s="1"/>
  <c r="FA98" i="44" s="1"/>
  <c r="DZ101" i="44"/>
  <c r="DD103" i="44"/>
  <c r="DF103" i="44" s="1"/>
  <c r="DG103" i="44" s="1"/>
  <c r="DA104" i="44"/>
  <c r="EW104" i="44"/>
  <c r="EZ104" i="44" s="1"/>
  <c r="FA104" i="44" s="1"/>
  <c r="DW103" i="44"/>
  <c r="EW105" i="44"/>
  <c r="EZ105" i="44" s="1"/>
  <c r="FA105" i="44" s="1"/>
  <c r="DL6" i="43"/>
  <c r="EX6" i="43"/>
  <c r="EE11" i="43"/>
  <c r="DH11" i="43"/>
  <c r="DD11" i="43"/>
  <c r="DF11" i="43" s="1"/>
  <c r="EA11" i="43"/>
  <c r="DW11" i="43"/>
  <c r="CU11" i="43"/>
  <c r="EW11" i="43" s="1"/>
  <c r="EZ11" i="43" s="1"/>
  <c r="FA11" i="43" s="1"/>
  <c r="EX16" i="43"/>
  <c r="EA31" i="43"/>
  <c r="CU31" i="43"/>
  <c r="DH31" i="43"/>
  <c r="EE31" i="43"/>
  <c r="DD31" i="43"/>
  <c r="DF31" i="43" s="1"/>
  <c r="DW31" i="43"/>
  <c r="CZ8" i="43"/>
  <c r="CY8" i="43"/>
  <c r="CX8" i="43"/>
  <c r="AP8" i="43"/>
  <c r="CW8" i="43"/>
  <c r="EH8" i="43"/>
  <c r="EK8" i="43" s="1"/>
  <c r="EM8" i="43" s="1"/>
  <c r="ER8" i="43"/>
  <c r="DK20" i="43"/>
  <c r="EX10" i="43"/>
  <c r="EX107" i="43" s="1"/>
  <c r="EW12" i="43"/>
  <c r="EZ12" i="43" s="1"/>
  <c r="FA12" i="43" s="1"/>
  <c r="EV32" i="43"/>
  <c r="DB32" i="43"/>
  <c r="EQ8" i="43"/>
  <c r="ED10" i="43"/>
  <c r="EB22" i="43"/>
  <c r="ED22" i="43" s="1"/>
  <c r="CU23" i="43"/>
  <c r="EE23" i="43"/>
  <c r="EA23" i="43"/>
  <c r="DH23" i="43"/>
  <c r="DD23" i="43"/>
  <c r="DF23" i="43" s="1"/>
  <c r="DG23" i="43" s="1"/>
  <c r="DW23" i="43"/>
  <c r="EK26" i="43"/>
  <c r="EM26" i="43" s="1"/>
  <c r="DB6" i="43"/>
  <c r="EP6" i="43"/>
  <c r="EQ6" i="43" s="1"/>
  <c r="EK6" i="43"/>
  <c r="EO22" i="43"/>
  <c r="EQ22" i="43" s="1"/>
  <c r="CU12" i="43"/>
  <c r="DH12" i="43"/>
  <c r="EE12" i="43"/>
  <c r="DD12" i="43"/>
  <c r="DF12" i="43" s="1"/>
  <c r="DW12" i="43"/>
  <c r="EA12" i="43"/>
  <c r="EK20" i="43"/>
  <c r="EM20" i="43" s="1"/>
  <c r="EP20" i="43"/>
  <c r="EQ20" i="43" s="1"/>
  <c r="EB25" i="43"/>
  <c r="ED25" i="43" s="1"/>
  <c r="EM10" i="43"/>
  <c r="EL10" i="43"/>
  <c r="DH38" i="43"/>
  <c r="CU38" i="43"/>
  <c r="EE38" i="43"/>
  <c r="DD38" i="43"/>
  <c r="DF38" i="43" s="1"/>
  <c r="DG38" i="43" s="1"/>
  <c r="EA38" i="43"/>
  <c r="DW38" i="43"/>
  <c r="EE24" i="43"/>
  <c r="CU24" i="43"/>
  <c r="DH24" i="43"/>
  <c r="EA24" i="43"/>
  <c r="DD24" i="43"/>
  <c r="DF24" i="43" s="1"/>
  <c r="DG24" i="43" s="1"/>
  <c r="DW24" i="43"/>
  <c r="EB29" i="43"/>
  <c r="ED29" i="43" s="1"/>
  <c r="K107" i="43"/>
  <c r="EH5" i="43"/>
  <c r="DA5" i="43"/>
  <c r="CW5" i="43"/>
  <c r="CZ5" i="43"/>
  <c r="CY5" i="43"/>
  <c r="CX5" i="43"/>
  <c r="AP5" i="43"/>
  <c r="ER5" i="43"/>
  <c r="DW14" i="43"/>
  <c r="DD14" i="43"/>
  <c r="DF14" i="43" s="1"/>
  <c r="CU14" i="43"/>
  <c r="DH14" i="43"/>
  <c r="EE14" i="43"/>
  <c r="EA14" i="43"/>
  <c r="EB14" i="43" s="1"/>
  <c r="ED14" i="43" s="1"/>
  <c r="DH17" i="43"/>
  <c r="EE17" i="43"/>
  <c r="CU17" i="43"/>
  <c r="DW17" i="43"/>
  <c r="DD17" i="43"/>
  <c r="DF17" i="43" s="1"/>
  <c r="DG17" i="43" s="1"/>
  <c r="EA17" i="43"/>
  <c r="DD10" i="43"/>
  <c r="DF10" i="43" s="1"/>
  <c r="DG10" i="43" s="1"/>
  <c r="EE10" i="43"/>
  <c r="DH10" i="43"/>
  <c r="DW10" i="43"/>
  <c r="EA10" i="43"/>
  <c r="CU10" i="43"/>
  <c r="EX13" i="43"/>
  <c r="DK7" i="43"/>
  <c r="EJ7" i="43"/>
  <c r="EP7" i="43" s="1"/>
  <c r="EM15" i="43"/>
  <c r="EL15" i="43"/>
  <c r="EM17" i="43"/>
  <c r="EL17" i="43"/>
  <c r="EA25" i="43"/>
  <c r="CU25" i="43"/>
  <c r="DD25" i="43"/>
  <c r="DF25" i="43" s="1"/>
  <c r="DW25" i="43"/>
  <c r="EE25" i="43"/>
  <c r="DH25" i="43"/>
  <c r="EW6" i="43"/>
  <c r="EZ6" i="43" s="1"/>
  <c r="FA6" i="43" s="1"/>
  <c r="EW32" i="43"/>
  <c r="EZ32" i="43" s="1"/>
  <c r="FA32" i="43" s="1"/>
  <c r="ER19" i="43"/>
  <c r="AP19" i="43"/>
  <c r="EH19" i="43"/>
  <c r="EK19" i="43" s="1"/>
  <c r="EM19" i="43" s="1"/>
  <c r="CY19" i="43"/>
  <c r="DB22" i="43"/>
  <c r="EV22" i="43"/>
  <c r="EK35" i="43"/>
  <c r="EM35" i="43" s="1"/>
  <c r="DE107" i="43"/>
  <c r="ER7" i="43"/>
  <c r="CX7" i="43"/>
  <c r="CW7" i="43"/>
  <c r="DL17" i="43"/>
  <c r="EE21" i="43"/>
  <c r="DW21" i="43"/>
  <c r="DH21" i="43"/>
  <c r="EJ23" i="43"/>
  <c r="EP23" i="43" s="1"/>
  <c r="EQ23" i="43" s="1"/>
  <c r="DK23" i="43"/>
  <c r="EX23" i="43"/>
  <c r="DL23" i="43"/>
  <c r="EU29" i="43"/>
  <c r="EL39" i="43"/>
  <c r="EO39" i="43"/>
  <c r="EQ39" i="43" s="1"/>
  <c r="EJ42" i="43"/>
  <c r="EP42" i="43" s="1"/>
  <c r="DK42" i="43"/>
  <c r="EO45" i="43"/>
  <c r="EQ45" i="43" s="1"/>
  <c r="EL45" i="43"/>
  <c r="EH48" i="43"/>
  <c r="EK48" i="43" s="1"/>
  <c r="DA48" i="43"/>
  <c r="CY48" i="43"/>
  <c r="CX48" i="43"/>
  <c r="ER48" i="43"/>
  <c r="CW48" i="43"/>
  <c r="CZ48" i="43"/>
  <c r="AP48" i="43"/>
  <c r="DD53" i="43"/>
  <c r="DF53" i="43" s="1"/>
  <c r="DW53" i="43"/>
  <c r="CU53" i="43"/>
  <c r="DH53" i="43"/>
  <c r="EA53" i="43"/>
  <c r="EB53" i="43" s="1"/>
  <c r="ED53" i="43" s="1"/>
  <c r="EH7" i="43"/>
  <c r="EK7" i="43" s="1"/>
  <c r="EM7" i="43" s="1"/>
  <c r="EU8" i="43"/>
  <c r="EU16" i="43"/>
  <c r="DZ16" i="43"/>
  <c r="CY25" i="43"/>
  <c r="DA25" i="43"/>
  <c r="CZ25" i="43"/>
  <c r="CX25" i="43"/>
  <c r="CW25" i="43"/>
  <c r="DD28" i="43"/>
  <c r="DF28" i="43" s="1"/>
  <c r="EE28" i="43"/>
  <c r="DH28" i="43"/>
  <c r="EA28" i="43"/>
  <c r="DW28" i="43"/>
  <c r="EE39" i="43"/>
  <c r="CU39" i="43"/>
  <c r="DW39" i="43"/>
  <c r="DD39" i="43"/>
  <c r="DF39" i="43" s="1"/>
  <c r="DG39" i="43" s="1"/>
  <c r="DH39" i="43"/>
  <c r="DK5" i="43"/>
  <c r="AP7" i="43"/>
  <c r="CW13" i="43"/>
  <c r="DF15" i="43"/>
  <c r="DG15" i="43" s="1"/>
  <c r="EQ15" i="43"/>
  <c r="CW16" i="43"/>
  <c r="EH16" i="43"/>
  <c r="EK16" i="43" s="1"/>
  <c r="EM16" i="43" s="1"/>
  <c r="CY16" i="43"/>
  <c r="ER16" i="43"/>
  <c r="AP16" i="43"/>
  <c r="CW19" i="43"/>
  <c r="CU21" i="43"/>
  <c r="EL26" i="43"/>
  <c r="DE32" i="43"/>
  <c r="DF32" i="43" s="1"/>
  <c r="EX46" i="43"/>
  <c r="DL46" i="43"/>
  <c r="EQ52" i="43"/>
  <c r="DK54" i="43"/>
  <c r="EJ54" i="43"/>
  <c r="EP54" i="43" s="1"/>
  <c r="EQ54" i="43" s="1"/>
  <c r="CZ7" i="43"/>
  <c r="EO7" i="43"/>
  <c r="DZ10" i="43"/>
  <c r="EB10" i="43" s="1"/>
  <c r="EL19" i="43"/>
  <c r="EA21" i="43"/>
  <c r="EJ27" i="43"/>
  <c r="EP27" i="43" s="1"/>
  <c r="EQ27" i="43" s="1"/>
  <c r="DK27" i="43"/>
  <c r="EL29" i="43"/>
  <c r="EM29" i="43"/>
  <c r="EJ35" i="43"/>
  <c r="EP35" i="43" s="1"/>
  <c r="DK35" i="43"/>
  <c r="DW36" i="43"/>
  <c r="DD36" i="43"/>
  <c r="DF36" i="43" s="1"/>
  <c r="DG36" i="43" s="1"/>
  <c r="DH36" i="43"/>
  <c r="CU36" i="43"/>
  <c r="EE36" i="43"/>
  <c r="EA36" i="43"/>
  <c r="EB36" i="43" s="1"/>
  <c r="ED36" i="43" s="1"/>
  <c r="EK46" i="43"/>
  <c r="EM46" i="43" s="1"/>
  <c r="EJ55" i="43"/>
  <c r="EP55" i="43" s="1"/>
  <c r="DK55" i="43"/>
  <c r="EW55" i="43"/>
  <c r="EZ55" i="43" s="1"/>
  <c r="FA55" i="43" s="1"/>
  <c r="DW58" i="43"/>
  <c r="DD58" i="43"/>
  <c r="DF58" i="43" s="1"/>
  <c r="DG58" i="43" s="1"/>
  <c r="DH58" i="43"/>
  <c r="EA58" i="43"/>
  <c r="EM59" i="43"/>
  <c r="EL59" i="43"/>
  <c r="CU29" i="43"/>
  <c r="DW29" i="43"/>
  <c r="EE29" i="43"/>
  <c r="DH29" i="43"/>
  <c r="EA29" i="43"/>
  <c r="EJ32" i="43"/>
  <c r="EP32" i="43" s="1"/>
  <c r="DK32" i="43"/>
  <c r="EU43" i="43"/>
  <c r="DZ43" i="43"/>
  <c r="EU69" i="43"/>
  <c r="DZ69" i="43"/>
  <c r="EB69" i="43" s="1"/>
  <c r="DD93" i="43"/>
  <c r="DF93" i="43" s="1"/>
  <c r="DG93" i="43" s="1"/>
  <c r="EE93" i="43"/>
  <c r="DW93" i="43"/>
  <c r="CU93" i="43"/>
  <c r="DH93" i="43"/>
  <c r="EA93" i="43"/>
  <c r="EL30" i="43"/>
  <c r="DZ65" i="43"/>
  <c r="EU65" i="43"/>
  <c r="CY7" i="43"/>
  <c r="EL13" i="43"/>
  <c r="EB18" i="43"/>
  <c r="DA19" i="43"/>
  <c r="DZ21" i="43"/>
  <c r="DG27" i="43"/>
  <c r="DL27" i="43"/>
  <c r="ER37" i="43"/>
  <c r="AP37" i="43"/>
  <c r="DA37" i="43"/>
  <c r="CZ37" i="43"/>
  <c r="CY37" i="43"/>
  <c r="CX37" i="43"/>
  <c r="CW37" i="43"/>
  <c r="EH37" i="43"/>
  <c r="EK37" i="43" s="1"/>
  <c r="EL46" i="43"/>
  <c r="EO46" i="43"/>
  <c r="EQ46" i="43" s="1"/>
  <c r="EX58" i="43"/>
  <c r="DL58" i="43"/>
  <c r="EO63" i="43"/>
  <c r="EJ5" i="43"/>
  <c r="EP5" i="43" s="1"/>
  <c r="EQ5" i="43" s="1"/>
  <c r="CZ6" i="43"/>
  <c r="CY6" i="43"/>
  <c r="DA7" i="43"/>
  <c r="AP9" i="43"/>
  <c r="EH9" i="43"/>
  <c r="EK9" i="43" s="1"/>
  <c r="EM9" i="43" s="1"/>
  <c r="DA9" i="43"/>
  <c r="DZ17" i="43"/>
  <c r="EU17" i="43"/>
  <c r="ER18" i="43"/>
  <c r="CX18" i="43"/>
  <c r="CY18" i="43"/>
  <c r="CW18" i="43"/>
  <c r="EH18" i="43"/>
  <c r="EK18" i="43" s="1"/>
  <c r="EU18" i="43"/>
  <c r="DD29" i="43"/>
  <c r="DF29" i="43" s="1"/>
  <c r="DD33" i="43"/>
  <c r="DF33" i="43" s="1"/>
  <c r="DG33" i="43" s="1"/>
  <c r="CU33" i="43"/>
  <c r="DW33" i="43"/>
  <c r="EW40" i="43"/>
  <c r="EJ40" i="43"/>
  <c r="EP40" i="43" s="1"/>
  <c r="EQ40" i="43" s="1"/>
  <c r="EQ42" i="43"/>
  <c r="EJ49" i="43"/>
  <c r="EP49" i="43" s="1"/>
  <c r="DK49" i="43"/>
  <c r="EK51" i="43"/>
  <c r="EM51" i="43" s="1"/>
  <c r="AN107" i="43"/>
  <c r="CZ19" i="43"/>
  <c r="DB28" i="43"/>
  <c r="EW28" i="43"/>
  <c r="EZ28" i="43" s="1"/>
  <c r="FA28" i="43" s="1"/>
  <c r="EV28" i="43"/>
  <c r="EG107" i="43"/>
  <c r="CS107" i="43"/>
  <c r="DK9" i="43"/>
  <c r="EK14" i="43"/>
  <c r="EE15" i="43"/>
  <c r="CU15" i="43"/>
  <c r="EA15" i="43"/>
  <c r="EB15" i="43" s="1"/>
  <c r="ED15" i="43" s="1"/>
  <c r="DA16" i="43"/>
  <c r="DD21" i="43"/>
  <c r="DF21" i="43" s="1"/>
  <c r="DG21" i="43" s="1"/>
  <c r="DL22" i="43"/>
  <c r="EQ25" i="43"/>
  <c r="EL28" i="43"/>
  <c r="EV30" i="43"/>
  <c r="DB30" i="43"/>
  <c r="DA31" i="43"/>
  <c r="ER31" i="43"/>
  <c r="CZ31" i="43"/>
  <c r="CY31" i="43"/>
  <c r="EA33" i="43"/>
  <c r="EB33" i="43" s="1"/>
  <c r="ED33" i="43" s="1"/>
  <c r="EJ34" i="43"/>
  <c r="EP34" i="43" s="1"/>
  <c r="EQ34" i="43" s="1"/>
  <c r="DK34" i="43"/>
  <c r="DW46" i="43"/>
  <c r="CU46" i="43"/>
  <c r="EA46" i="43"/>
  <c r="DD46" i="43"/>
  <c r="DF46" i="43" s="1"/>
  <c r="DG46" i="43" s="1"/>
  <c r="DH46" i="43"/>
  <c r="EE46" i="43"/>
  <c r="EO47" i="43"/>
  <c r="EQ47" i="43" s="1"/>
  <c r="EL55" i="43"/>
  <c r="EO55" i="43"/>
  <c r="EQ55" i="43" s="1"/>
  <c r="CU58" i="43"/>
  <c r="EE6" i="43"/>
  <c r="DH6" i="43"/>
  <c r="EU6" i="43"/>
  <c r="DZ6" i="43"/>
  <c r="EB6" i="43" s="1"/>
  <c r="ED6" i="43" s="1"/>
  <c r="DK11" i="43"/>
  <c r="EJ12" i="43"/>
  <c r="EP12" i="43" s="1"/>
  <c r="EQ12" i="43" s="1"/>
  <c r="DK12" i="43"/>
  <c r="EL16" i="43"/>
  <c r="CU18" i="43"/>
  <c r="DH18" i="43"/>
  <c r="DW18" i="43"/>
  <c r="EE22" i="43"/>
  <c r="EA22" i="43"/>
  <c r="ER25" i="43"/>
  <c r="CU27" i="43"/>
  <c r="EE27" i="43"/>
  <c r="EA27" i="43"/>
  <c r="EH34" i="43"/>
  <c r="DA34" i="43"/>
  <c r="CW34" i="43"/>
  <c r="CY34" i="43"/>
  <c r="CX34" i="43"/>
  <c r="AP34" i="43"/>
  <c r="DW40" i="43"/>
  <c r="CU40" i="43"/>
  <c r="DH40" i="43"/>
  <c r="EE40" i="43"/>
  <c r="EA40" i="43"/>
  <c r="EB40" i="43" s="1"/>
  <c r="ED40" i="43" s="1"/>
  <c r="EV44" i="43"/>
  <c r="EU52" i="43"/>
  <c r="DZ52" i="43"/>
  <c r="EB52" i="43" s="1"/>
  <c r="ED52" i="43" s="1"/>
  <c r="EE53" i="43"/>
  <c r="EE55" i="43"/>
  <c r="DD55" i="43"/>
  <c r="DF55" i="43" s="1"/>
  <c r="DG55" i="43" s="1"/>
  <c r="EA55" i="43"/>
  <c r="CU55" i="43"/>
  <c r="DW55" i="43"/>
  <c r="DH55" i="43"/>
  <c r="EJ64" i="43"/>
  <c r="EP64" i="43" s="1"/>
  <c r="DK64" i="43"/>
  <c r="DW65" i="43"/>
  <c r="EE65" i="43"/>
  <c r="CU65" i="43"/>
  <c r="EW65" i="43" s="1"/>
  <c r="EZ65" i="43" s="1"/>
  <c r="FA65" i="43" s="1"/>
  <c r="EA65" i="43"/>
  <c r="DD65" i="43"/>
  <c r="DF65" i="43" s="1"/>
  <c r="DH65" i="43"/>
  <c r="DB72" i="43"/>
  <c r="EV72" i="43"/>
  <c r="EL9" i="43"/>
  <c r="EH11" i="43"/>
  <c r="EK11" i="43" s="1"/>
  <c r="DA11" i="43"/>
  <c r="CZ11" i="43"/>
  <c r="ER11" i="43"/>
  <c r="CW11" i="43"/>
  <c r="AP13" i="43"/>
  <c r="DA13" i="43"/>
  <c r="CX13" i="43"/>
  <c r="EQ14" i="43"/>
  <c r="ED18" i="43"/>
  <c r="EU19" i="43"/>
  <c r="DZ19" i="43"/>
  <c r="EQ26" i="43"/>
  <c r="DW27" i="43"/>
  <c r="EU28" i="43"/>
  <c r="DZ28" i="43"/>
  <c r="EK31" i="43"/>
  <c r="EO35" i="43"/>
  <c r="EQ35" i="43" s="1"/>
  <c r="CY43" i="43"/>
  <c r="CW43" i="43"/>
  <c r="EH43" i="43"/>
  <c r="EK43" i="43" s="1"/>
  <c r="EM43" i="43" s="1"/>
  <c r="DA43" i="43"/>
  <c r="CZ43" i="43"/>
  <c r="CX43" i="43"/>
  <c r="AP43" i="43"/>
  <c r="CW47" i="43"/>
  <c r="CX47" i="43"/>
  <c r="EH47" i="43"/>
  <c r="EK47" i="43" s="1"/>
  <c r="EM47" i="43" s="1"/>
  <c r="CZ47" i="43"/>
  <c r="AP47" i="43"/>
  <c r="ER47" i="43"/>
  <c r="DA47" i="43"/>
  <c r="EE49" i="43"/>
  <c r="DW49" i="43"/>
  <c r="DD49" i="43"/>
  <c r="DF49" i="43" s="1"/>
  <c r="DH49" i="43"/>
  <c r="CU49" i="43"/>
  <c r="EM57" i="43"/>
  <c r="EL57" i="43"/>
  <c r="DA15" i="43"/>
  <c r="CZ23" i="43"/>
  <c r="DA23" i="43"/>
  <c r="CW24" i="43"/>
  <c r="DL24" i="43"/>
  <c r="CX28" i="43"/>
  <c r="CZ29" i="43"/>
  <c r="ER29" i="43"/>
  <c r="DW30" i="43"/>
  <c r="ER38" i="43"/>
  <c r="CY38" i="43"/>
  <c r="DL38" i="43"/>
  <c r="EL38" i="43"/>
  <c r="CY39" i="43"/>
  <c r="EB39" i="43"/>
  <c r="ED39" i="43" s="1"/>
  <c r="ER59" i="43"/>
  <c r="CZ59" i="43"/>
  <c r="CY59" i="43"/>
  <c r="CX59" i="43"/>
  <c r="DA59" i="43"/>
  <c r="CW59" i="43"/>
  <c r="AP59" i="43"/>
  <c r="EO61" i="43"/>
  <c r="EE71" i="43"/>
  <c r="CU71" i="43"/>
  <c r="EA71" i="43"/>
  <c r="DW71" i="43"/>
  <c r="AP20" i="43"/>
  <c r="CW20" i="43"/>
  <c r="ER20" i="43"/>
  <c r="EK21" i="43"/>
  <c r="DA28" i="43"/>
  <c r="EA30" i="43"/>
  <c r="EB30" i="43" s="1"/>
  <c r="ED30" i="43" s="1"/>
  <c r="CY35" i="43"/>
  <c r="DA35" i="43"/>
  <c r="EH42" i="43"/>
  <c r="EK42" i="43" s="1"/>
  <c r="DA42" i="43"/>
  <c r="ER42" i="43"/>
  <c r="DL51" i="43"/>
  <c r="EX51" i="43"/>
  <c r="EH54" i="43"/>
  <c r="EK54" i="43" s="1"/>
  <c r="DA54" i="43"/>
  <c r="CZ54" i="43"/>
  <c r="CX54" i="43"/>
  <c r="AP54" i="43"/>
  <c r="ER54" i="43"/>
  <c r="CW54" i="43"/>
  <c r="EK55" i="43"/>
  <c r="EM55" i="43" s="1"/>
  <c r="DL71" i="43"/>
  <c r="DG71" i="43"/>
  <c r="EW22" i="43"/>
  <c r="EZ22" i="43" s="1"/>
  <c r="FA22" i="43" s="1"/>
  <c r="DZ26" i="43"/>
  <c r="CW29" i="43"/>
  <c r="DH30" i="43"/>
  <c r="EO32" i="43"/>
  <c r="EQ32" i="43" s="1"/>
  <c r="DL36" i="43"/>
  <c r="EX36" i="43"/>
  <c r="CW38" i="43"/>
  <c r="DG44" i="43"/>
  <c r="DL44" i="43"/>
  <c r="EO49" i="43"/>
  <c r="EL50" i="43"/>
  <c r="EO50" i="43"/>
  <c r="EQ50" i="43" s="1"/>
  <c r="EV51" i="43"/>
  <c r="EW51" i="43"/>
  <c r="EZ51" i="43" s="1"/>
  <c r="FA51" i="43" s="1"/>
  <c r="DB69" i="43"/>
  <c r="EV69" i="43"/>
  <c r="DH71" i="43"/>
  <c r="EI107" i="43"/>
  <c r="DL18" i="43"/>
  <c r="EH22" i="43"/>
  <c r="EK22" i="43" s="1"/>
  <c r="EM22" i="43" s="1"/>
  <c r="CY22" i="43"/>
  <c r="CW23" i="43"/>
  <c r="EH23" i="43"/>
  <c r="EK23" i="43" s="1"/>
  <c r="DZ24" i="43"/>
  <c r="ER28" i="43"/>
  <c r="CX29" i="43"/>
  <c r="EE30" i="43"/>
  <c r="AP35" i="43"/>
  <c r="EQ37" i="43"/>
  <c r="CX38" i="43"/>
  <c r="AP42" i="43"/>
  <c r="ER45" i="43"/>
  <c r="AP45" i="43"/>
  <c r="DA45" i="43"/>
  <c r="CX45" i="43"/>
  <c r="EU45" i="43"/>
  <c r="DW52" i="43"/>
  <c r="DD52" i="43"/>
  <c r="DF52" i="43" s="1"/>
  <c r="EE52" i="43"/>
  <c r="EQ59" i="43"/>
  <c r="EO70" i="43"/>
  <c r="EQ70" i="43" s="1"/>
  <c r="EL70" i="43"/>
  <c r="EX33" i="43"/>
  <c r="DL33" i="43"/>
  <c r="ED38" i="43"/>
  <c r="EX40" i="43"/>
  <c r="DL40" i="43"/>
  <c r="CZ41" i="43"/>
  <c r="EH41" i="43"/>
  <c r="EK41" i="43" s="1"/>
  <c r="CY41" i="43"/>
  <c r="AP41" i="43"/>
  <c r="CW41" i="43"/>
  <c r="DK44" i="43"/>
  <c r="EW44" i="43"/>
  <c r="EZ44" i="43" s="1"/>
  <c r="FA44" i="43" s="1"/>
  <c r="EQ48" i="43"/>
  <c r="CW62" i="43"/>
  <c r="DA62" i="43"/>
  <c r="CZ62" i="43"/>
  <c r="ER62" i="43"/>
  <c r="CY62" i="43"/>
  <c r="AP62" i="43"/>
  <c r="EH62" i="43"/>
  <c r="EK62" i="43" s="1"/>
  <c r="EM62" i="43" s="1"/>
  <c r="CX62" i="43"/>
  <c r="EW74" i="43"/>
  <c r="EZ74" i="43" s="1"/>
  <c r="FA74" i="43" s="1"/>
  <c r="DB74" i="43"/>
  <c r="EV74" i="43"/>
  <c r="DD75" i="43"/>
  <c r="DF75" i="43" s="1"/>
  <c r="DG75" i="43" s="1"/>
  <c r="DH75" i="43"/>
  <c r="EA75" i="43"/>
  <c r="DW75" i="43"/>
  <c r="CU75" i="43"/>
  <c r="EE75" i="43"/>
  <c r="EQ41" i="43"/>
  <c r="DK46" i="43"/>
  <c r="EW46" i="43"/>
  <c r="DZ47" i="43"/>
  <c r="EU47" i="43"/>
  <c r="EO51" i="43"/>
  <c r="EQ51" i="43" s="1"/>
  <c r="EL51" i="43"/>
  <c r="DB52" i="43"/>
  <c r="EW52" i="43"/>
  <c r="EZ52" i="43" s="1"/>
  <c r="FA52" i="43" s="1"/>
  <c r="ER24" i="43"/>
  <c r="CX24" i="43"/>
  <c r="DL30" i="43"/>
  <c r="EX30" i="43"/>
  <c r="EZ30" i="43" s="1"/>
  <c r="FA30" i="43" s="1"/>
  <c r="DK31" i="43"/>
  <c r="CW39" i="43"/>
  <c r="CX39" i="43"/>
  <c r="DL39" i="43"/>
  <c r="EX39" i="43"/>
  <c r="EJ44" i="43"/>
  <c r="ER46" i="43"/>
  <c r="CZ46" i="43"/>
  <c r="CW46" i="43"/>
  <c r="EX47" i="43"/>
  <c r="ER30" i="43"/>
  <c r="CX30" i="43"/>
  <c r="EQ30" i="43"/>
  <c r="CZ50" i="43"/>
  <c r="EO53" i="43"/>
  <c r="EQ53" i="43" s="1"/>
  <c r="EL53" i="43"/>
  <c r="EE77" i="43"/>
  <c r="DW77" i="43"/>
  <c r="CU77" i="43"/>
  <c r="EA77" i="43"/>
  <c r="DH77" i="43"/>
  <c r="DD77" i="43"/>
  <c r="DF77" i="43" s="1"/>
  <c r="DH89" i="43"/>
  <c r="EA89" i="43"/>
  <c r="DD89" i="43"/>
  <c r="DF89" i="43" s="1"/>
  <c r="DG89" i="43" s="1"/>
  <c r="CU89" i="43"/>
  <c r="EE89" i="43"/>
  <c r="EL58" i="43"/>
  <c r="EQ60" i="43"/>
  <c r="DL64" i="43"/>
  <c r="EM68" i="43"/>
  <c r="EL68" i="43"/>
  <c r="DZ85" i="43"/>
  <c r="EU85" i="43"/>
  <c r="DD87" i="43"/>
  <c r="DF87" i="43" s="1"/>
  <c r="EE87" i="43"/>
  <c r="DH87" i="43"/>
  <c r="EA87" i="43"/>
  <c r="CU87" i="43"/>
  <c r="AP26" i="43"/>
  <c r="CW30" i="43"/>
  <c r="DH32" i="43"/>
  <c r="EA32" i="43"/>
  <c r="ER32" i="43"/>
  <c r="ER36" i="43"/>
  <c r="CW36" i="43"/>
  <c r="EH36" i="43"/>
  <c r="EK36" i="43" s="1"/>
  <c r="DZ38" i="43"/>
  <c r="EB38" i="43" s="1"/>
  <c r="EU38" i="43"/>
  <c r="EU53" i="43"/>
  <c r="EQ72" i="43"/>
  <c r="CY53" i="43"/>
  <c r="CW53" i="43"/>
  <c r="EH60" i="43"/>
  <c r="EK60" i="43" s="1"/>
  <c r="DA60" i="43"/>
  <c r="CZ60" i="43"/>
  <c r="ER60" i="43"/>
  <c r="CY60" i="43"/>
  <c r="CW60" i="43"/>
  <c r="DK63" i="43"/>
  <c r="EJ63" i="43"/>
  <c r="EP63" i="43" s="1"/>
  <c r="CW50" i="43"/>
  <c r="AP50" i="43"/>
  <c r="EH50" i="43"/>
  <c r="EK50" i="43" s="1"/>
  <c r="EM50" i="43" s="1"/>
  <c r="DA50" i="43"/>
  <c r="DK56" i="43"/>
  <c r="EQ56" i="43"/>
  <c r="DZ58" i="43"/>
  <c r="EB58" i="43" s="1"/>
  <c r="ED58" i="43" s="1"/>
  <c r="EU58" i="43"/>
  <c r="ED60" i="43"/>
  <c r="EW61" i="43"/>
  <c r="EZ61" i="43" s="1"/>
  <c r="FA61" i="43" s="1"/>
  <c r="EJ61" i="43"/>
  <c r="EP61" i="43" s="1"/>
  <c r="DK61" i="43"/>
  <c r="AP63" i="43"/>
  <c r="EH63" i="43"/>
  <c r="DA63" i="43"/>
  <c r="ER63" i="43"/>
  <c r="CY63" i="43"/>
  <c r="CX63" i="43"/>
  <c r="DD60" i="43"/>
  <c r="DF60" i="43" s="1"/>
  <c r="CU60" i="43"/>
  <c r="DH60" i="43"/>
  <c r="EA60" i="43"/>
  <c r="EB60" i="43" s="1"/>
  <c r="DK62" i="43"/>
  <c r="EJ62" i="43"/>
  <c r="EP62" i="43" s="1"/>
  <c r="EQ62" i="43" s="1"/>
  <c r="EO64" i="43"/>
  <c r="EQ64" i="43" s="1"/>
  <c r="EA72" i="43"/>
  <c r="DD72" i="43"/>
  <c r="DF72" i="43" s="1"/>
  <c r="EE72" i="43"/>
  <c r="DW72" i="43"/>
  <c r="EX75" i="43"/>
  <c r="DK95" i="43"/>
  <c r="EJ95" i="43"/>
  <c r="EP95" i="43" s="1"/>
  <c r="CY49" i="43"/>
  <c r="DA49" i="43"/>
  <c r="CZ49" i="43"/>
  <c r="EW60" i="43"/>
  <c r="EZ60" i="43" s="1"/>
  <c r="FA60" i="43" s="1"/>
  <c r="DL69" i="43"/>
  <c r="DB86" i="43"/>
  <c r="EV86" i="43"/>
  <c r="EX59" i="43"/>
  <c r="DW64" i="43"/>
  <c r="EE64" i="43"/>
  <c r="T108" i="43"/>
  <c r="T109" i="43"/>
  <c r="AF108" i="43"/>
  <c r="AF109" i="43"/>
  <c r="AX109" i="43"/>
  <c r="AX108" i="43"/>
  <c r="BJ109" i="43"/>
  <c r="BJ108" i="43"/>
  <c r="BV109" i="43"/>
  <c r="BV108" i="43"/>
  <c r="CH109" i="43"/>
  <c r="CH108" i="43"/>
  <c r="CW49" i="43"/>
  <c r="DZ51" i="43"/>
  <c r="EB51" i="43" s="1"/>
  <c r="ED51" i="43" s="1"/>
  <c r="EU51" i="43"/>
  <c r="CY55" i="43"/>
  <c r="ER55" i="43"/>
  <c r="CX55" i="43"/>
  <c r="DA55" i="43"/>
  <c r="CW56" i="43"/>
  <c r="AP56" i="43"/>
  <c r="EH56" i="43"/>
  <c r="EK56" i="43" s="1"/>
  <c r="EE61" i="43"/>
  <c r="DH61" i="43"/>
  <c r="EA61" i="43"/>
  <c r="EQ67" i="43"/>
  <c r="EB70" i="43"/>
  <c r="ED70" i="43" s="1"/>
  <c r="EU71" i="43"/>
  <c r="DZ71" i="43"/>
  <c r="EB71" i="43" s="1"/>
  <c r="ED71" i="43" s="1"/>
  <c r="CZ73" i="43"/>
  <c r="CY73" i="43"/>
  <c r="CX73" i="43"/>
  <c r="AP73" i="43"/>
  <c r="CW73" i="43"/>
  <c r="EO75" i="43"/>
  <c r="EQ75" i="43" s="1"/>
  <c r="EL75" i="43"/>
  <c r="AP85" i="43"/>
  <c r="EH85" i="43"/>
  <c r="DA85" i="43"/>
  <c r="CZ85" i="43"/>
  <c r="CY85" i="43"/>
  <c r="CX85" i="43"/>
  <c r="CW85" i="43"/>
  <c r="ER85" i="43"/>
  <c r="EE106" i="43"/>
  <c r="EA106" i="43"/>
  <c r="CU106" i="43"/>
  <c r="DH106" i="43"/>
  <c r="DD106" i="43"/>
  <c r="DF106" i="43" s="1"/>
  <c r="DG106" i="43" s="1"/>
  <c r="DW106" i="43"/>
  <c r="CX49" i="43"/>
  <c r="EE51" i="43"/>
  <c r="AP57" i="43"/>
  <c r="CZ57" i="43"/>
  <c r="CY57" i="43"/>
  <c r="DK57" i="43"/>
  <c r="DL61" i="43"/>
  <c r="CU64" i="43"/>
  <c r="EW64" i="43" s="1"/>
  <c r="EZ64" i="43" s="1"/>
  <c r="FA64" i="43" s="1"/>
  <c r="DF66" i="43"/>
  <c r="CW67" i="43"/>
  <c r="ER67" i="43"/>
  <c r="AP67" i="43"/>
  <c r="EH67" i="43"/>
  <c r="EK67" i="43" s="1"/>
  <c r="CX67" i="43"/>
  <c r="EU66" i="43"/>
  <c r="DZ66" i="43"/>
  <c r="EB66" i="43" s="1"/>
  <c r="ED66" i="43" s="1"/>
  <c r="DD70" i="43"/>
  <c r="DF70" i="43" s="1"/>
  <c r="EE70" i="43"/>
  <c r="DH70" i="43"/>
  <c r="EA70" i="43"/>
  <c r="DW70" i="43"/>
  <c r="DH82" i="43"/>
  <c r="DD82" i="43"/>
  <c r="DF82" i="43" s="1"/>
  <c r="EA82" i="43"/>
  <c r="DW82" i="43"/>
  <c r="CU82" i="43"/>
  <c r="EE82" i="43"/>
  <c r="EU83" i="43"/>
  <c r="DZ83" i="43"/>
  <c r="EB83" i="43" s="1"/>
  <c r="ED83" i="43" s="1"/>
  <c r="DL84" i="43"/>
  <c r="EA90" i="43"/>
  <c r="CU90" i="43"/>
  <c r="DH90" i="43"/>
  <c r="DW90" i="43"/>
  <c r="EE90" i="43"/>
  <c r="DD90" i="43"/>
  <c r="DF90" i="43" s="1"/>
  <c r="EU93" i="43"/>
  <c r="DZ93" i="43"/>
  <c r="EB93" i="43" s="1"/>
  <c r="ED93" i="43" s="1"/>
  <c r="DL55" i="43"/>
  <c r="EJ69" i="43"/>
  <c r="EP69" i="43" s="1"/>
  <c r="EQ69" i="43" s="1"/>
  <c r="EW69" i="43"/>
  <c r="EZ69" i="43" s="1"/>
  <c r="FA69" i="43" s="1"/>
  <c r="DZ76" i="43"/>
  <c r="EU76" i="43"/>
  <c r="EU77" i="43"/>
  <c r="DZ77" i="43"/>
  <c r="EA78" i="43"/>
  <c r="CU78" i="43"/>
  <c r="DD78" i="43"/>
  <c r="DF78" i="43" s="1"/>
  <c r="EE78" i="43"/>
  <c r="DW78" i="43"/>
  <c r="EQ78" i="43"/>
  <c r="EL65" i="43"/>
  <c r="EO65" i="43"/>
  <c r="EQ65" i="43" s="1"/>
  <c r="EJ66" i="43"/>
  <c r="CU70" i="43"/>
  <c r="EU86" i="43"/>
  <c r="DZ86" i="43"/>
  <c r="EB86" i="43" s="1"/>
  <c r="ED86" i="43" s="1"/>
  <c r="CW72" i="43"/>
  <c r="DA72" i="43"/>
  <c r="CX72" i="43"/>
  <c r="ER72" i="43"/>
  <c r="EH76" i="43"/>
  <c r="EK76" i="43" s="1"/>
  <c r="EM76" i="43" s="1"/>
  <c r="DA76" i="43"/>
  <c r="AP76" i="43"/>
  <c r="CZ76" i="43"/>
  <c r="CY76" i="43"/>
  <c r="CX76" i="43"/>
  <c r="DK80" i="43"/>
  <c r="EJ80" i="43"/>
  <c r="EP80" i="43" s="1"/>
  <c r="EQ80" i="43" s="1"/>
  <c r="EW80" i="43"/>
  <c r="EZ80" i="43" s="1"/>
  <c r="FA80" i="43" s="1"/>
  <c r="EX86" i="43"/>
  <c r="EZ86" i="43" s="1"/>
  <c r="FA86" i="43" s="1"/>
  <c r="DL86" i="43"/>
  <c r="EH94" i="43"/>
  <c r="DA94" i="43"/>
  <c r="CZ94" i="43"/>
  <c r="CY94" i="43"/>
  <c r="ER94" i="43"/>
  <c r="CW94" i="43"/>
  <c r="AP94" i="43"/>
  <c r="CX94" i="43"/>
  <c r="DZ78" i="43"/>
  <c r="EB78" i="43" s="1"/>
  <c r="ED78" i="43" s="1"/>
  <c r="EU78" i="43"/>
  <c r="DB104" i="43"/>
  <c r="EV104" i="43"/>
  <c r="EJ82" i="43"/>
  <c r="EP82" i="43" s="1"/>
  <c r="EQ82" i="43" s="1"/>
  <c r="DK82" i="43"/>
  <c r="EA84" i="43"/>
  <c r="CU84" i="43"/>
  <c r="DD84" i="43"/>
  <c r="DF84" i="43" s="1"/>
  <c r="DG84" i="43" s="1"/>
  <c r="EK101" i="43"/>
  <c r="CY68" i="43"/>
  <c r="CW68" i="43"/>
  <c r="EQ71" i="43"/>
  <c r="CY72" i="43"/>
  <c r="CU83" i="43"/>
  <c r="EE84" i="43"/>
  <c r="DK90" i="43"/>
  <c r="EJ90" i="43"/>
  <c r="EP90" i="43" s="1"/>
  <c r="EK52" i="43"/>
  <c r="EM52" i="43" s="1"/>
  <c r="CY61" i="43"/>
  <c r="ER61" i="43"/>
  <c r="CX61" i="43"/>
  <c r="CZ72" i="43"/>
  <c r="DZ75" i="43"/>
  <c r="EU75" i="43"/>
  <c r="EL76" i="43"/>
  <c r="EO76" i="43"/>
  <c r="EQ76" i="43" s="1"/>
  <c r="CW81" i="43"/>
  <c r="ER81" i="43"/>
  <c r="CZ81" i="43"/>
  <c r="CX81" i="43"/>
  <c r="AP81" i="43"/>
  <c r="EO84" i="43"/>
  <c r="EQ84" i="43" s="1"/>
  <c r="AP91" i="43"/>
  <c r="EH91" i="43"/>
  <c r="EK91" i="43" s="1"/>
  <c r="EM91" i="43" s="1"/>
  <c r="CX91" i="43"/>
  <c r="CY91" i="43"/>
  <c r="CW91" i="43"/>
  <c r="DA91" i="43"/>
  <c r="CZ91" i="43"/>
  <c r="EB98" i="43"/>
  <c r="DK67" i="43"/>
  <c r="AP68" i="43"/>
  <c r="ED69" i="43"/>
  <c r="EH72" i="43"/>
  <c r="EH100" i="43"/>
  <c r="DA100" i="43"/>
  <c r="CZ100" i="43"/>
  <c r="CY100" i="43"/>
  <c r="ER100" i="43"/>
  <c r="CX100" i="43"/>
  <c r="CW100" i="43"/>
  <c r="AP100" i="43"/>
  <c r="AV108" i="43"/>
  <c r="DA71" i="43"/>
  <c r="EH71" i="43"/>
  <c r="EK71" i="43" s="1"/>
  <c r="CZ71" i="43"/>
  <c r="EO73" i="43"/>
  <c r="EQ73" i="43" s="1"/>
  <c r="EL73" i="43"/>
  <c r="CW78" i="43"/>
  <c r="CZ78" i="43"/>
  <c r="DB80" i="43"/>
  <c r="EH82" i="43"/>
  <c r="EK82" i="43" s="1"/>
  <c r="DA82" i="43"/>
  <c r="CZ82" i="43"/>
  <c r="CY82" i="43"/>
  <c r="CX82" i="43"/>
  <c r="EE83" i="43"/>
  <c r="DW83" i="43"/>
  <c r="DH83" i="43"/>
  <c r="DD83" i="43"/>
  <c r="DF83" i="43" s="1"/>
  <c r="DG83" i="43" s="1"/>
  <c r="EJ85" i="43"/>
  <c r="EP85" i="43" s="1"/>
  <c r="EQ85" i="43" s="1"/>
  <c r="DK89" i="43"/>
  <c r="EW89" i="43"/>
  <c r="EX95" i="43"/>
  <c r="CY101" i="43"/>
  <c r="ER101" i="43"/>
  <c r="CX101" i="43"/>
  <c r="CW101" i="43"/>
  <c r="AP101" i="43"/>
  <c r="DA101" i="43"/>
  <c r="CZ101" i="43"/>
  <c r="DW92" i="43"/>
  <c r="DD92" i="43"/>
  <c r="DF92" i="43" s="1"/>
  <c r="EA92" i="43"/>
  <c r="EB92" i="43" s="1"/>
  <c r="ED92" i="43" s="1"/>
  <c r="EE92" i="43"/>
  <c r="EO95" i="43"/>
  <c r="EO102" i="43"/>
  <c r="EL81" i="43"/>
  <c r="EX83" i="43"/>
  <c r="EH105" i="43"/>
  <c r="EK105" i="43" s="1"/>
  <c r="DA105" i="43"/>
  <c r="CZ105" i="43"/>
  <c r="CY105" i="43"/>
  <c r="ER105" i="43"/>
  <c r="CX105" i="43"/>
  <c r="CW105" i="43"/>
  <c r="AP105" i="43"/>
  <c r="CW71" i="43"/>
  <c r="DW74" i="43"/>
  <c r="DD74" i="43"/>
  <c r="DF74" i="43" s="1"/>
  <c r="EE74" i="43"/>
  <c r="CY78" i="43"/>
  <c r="CW82" i="43"/>
  <c r="ER82" i="43"/>
  <c r="EA83" i="43"/>
  <c r="DZ84" i="43"/>
  <c r="EU84" i="43"/>
  <c r="EU88" i="43"/>
  <c r="DZ88" i="43"/>
  <c r="EJ88" i="43"/>
  <c r="EP88" i="43" s="1"/>
  <c r="EQ88" i="43" s="1"/>
  <c r="EO89" i="43"/>
  <c r="EQ89" i="43" s="1"/>
  <c r="EL89" i="43"/>
  <c r="EK90" i="43"/>
  <c r="EM90" i="43" s="1"/>
  <c r="CU92" i="43"/>
  <c r="EQ105" i="43"/>
  <c r="EH65" i="43"/>
  <c r="EK65" i="43" s="1"/>
  <c r="EM65" i="43" s="1"/>
  <c r="DA65" i="43"/>
  <c r="CX71" i="43"/>
  <c r="DK72" i="43"/>
  <c r="EJ72" i="43"/>
  <c r="EP72" i="43" s="1"/>
  <c r="EW72" i="43"/>
  <c r="EZ72" i="43" s="1"/>
  <c r="FA72" i="43" s="1"/>
  <c r="EL74" i="43"/>
  <c r="EO74" i="43"/>
  <c r="EQ74" i="43" s="1"/>
  <c r="DA78" i="43"/>
  <c r="EJ79" i="43"/>
  <c r="EP79" i="43" s="1"/>
  <c r="EQ79" i="43" s="1"/>
  <c r="CW84" i="43"/>
  <c r="CZ84" i="43"/>
  <c r="DA88" i="43"/>
  <c r="EH88" i="43"/>
  <c r="CZ88" i="43"/>
  <c r="CX88" i="43"/>
  <c r="CW88" i="43"/>
  <c r="AP88" i="43"/>
  <c r="EK89" i="43"/>
  <c r="EM89" i="43" s="1"/>
  <c r="BR108" i="43"/>
  <c r="AP79" i="43"/>
  <c r="EH79" i="43"/>
  <c r="EK79" i="43" s="1"/>
  <c r="EM79" i="43" s="1"/>
  <c r="DA79" i="43"/>
  <c r="CZ79" i="43"/>
  <c r="CY79" i="43"/>
  <c r="DK96" i="43"/>
  <c r="EJ96" i="43"/>
  <c r="EP96" i="43" s="1"/>
  <c r="DW104" i="43"/>
  <c r="DD104" i="43"/>
  <c r="DF104" i="43" s="1"/>
  <c r="DH104" i="43"/>
  <c r="EE104" i="43"/>
  <c r="CW87" i="43"/>
  <c r="ER87" i="43"/>
  <c r="CY87" i="43"/>
  <c r="EH87" i="43"/>
  <c r="EK87" i="43" s="1"/>
  <c r="EM87" i="43" s="1"/>
  <c r="EJ89" i="43"/>
  <c r="EP89" i="43" s="1"/>
  <c r="DK94" i="43"/>
  <c r="EJ94" i="43"/>
  <c r="EP94" i="43" s="1"/>
  <c r="EA96" i="43"/>
  <c r="CU96" i="43"/>
  <c r="DH96" i="43"/>
  <c r="DW96" i="43"/>
  <c r="EE96" i="43"/>
  <c r="DD96" i="43"/>
  <c r="DF96" i="43" s="1"/>
  <c r="DW98" i="43"/>
  <c r="DD98" i="43"/>
  <c r="DF98" i="43" s="1"/>
  <c r="DH98" i="43"/>
  <c r="EE98" i="43"/>
  <c r="CU98" i="43"/>
  <c r="R109" i="43"/>
  <c r="R108" i="43"/>
  <c r="AD109" i="43"/>
  <c r="AD108" i="43"/>
  <c r="AV109" i="43"/>
  <c r="BH109" i="43"/>
  <c r="BT109" i="43"/>
  <c r="BT108" i="43"/>
  <c r="CF109" i="43"/>
  <c r="CF108" i="43"/>
  <c r="CR109" i="43"/>
  <c r="CR108" i="43"/>
  <c r="CY77" i="43"/>
  <c r="ER77" i="43"/>
  <c r="DF80" i="43"/>
  <c r="DG80" i="43" s="1"/>
  <c r="ER89" i="43"/>
  <c r="CW89" i="43"/>
  <c r="EO90" i="43"/>
  <c r="EQ90" i="43" s="1"/>
  <c r="EH93" i="43"/>
  <c r="EK93" i="43" s="1"/>
  <c r="EM93" i="43" s="1"/>
  <c r="DA93" i="43"/>
  <c r="CY93" i="43"/>
  <c r="ER93" i="43"/>
  <c r="CX93" i="43"/>
  <c r="CZ93" i="43"/>
  <c r="DZ97" i="43"/>
  <c r="EB97" i="43" s="1"/>
  <c r="ED97" i="43" s="1"/>
  <c r="EU97" i="43"/>
  <c r="EU98" i="43"/>
  <c r="DK100" i="43"/>
  <c r="EJ100" i="43"/>
  <c r="EP100" i="43" s="1"/>
  <c r="EQ100" i="43" s="1"/>
  <c r="EJ101" i="43"/>
  <c r="EP101" i="43" s="1"/>
  <c r="EO103" i="43"/>
  <c r="EQ103" i="43" s="1"/>
  <c r="S109" i="43"/>
  <c r="S108" i="43"/>
  <c r="AE109" i="43"/>
  <c r="AE108" i="43"/>
  <c r="AW109" i="43"/>
  <c r="BI109" i="43"/>
  <c r="BU109" i="43"/>
  <c r="BU108" i="43"/>
  <c r="CG109" i="43"/>
  <c r="CY83" i="43"/>
  <c r="ER83" i="43"/>
  <c r="CX83" i="43"/>
  <c r="EL83" i="43"/>
  <c r="EK98" i="43"/>
  <c r="ED98" i="43"/>
  <c r="DZ99" i="43"/>
  <c r="EB99" i="43" s="1"/>
  <c r="V108" i="43"/>
  <c r="AH108" i="43"/>
  <c r="AZ108" i="43"/>
  <c r="BL108" i="43"/>
  <c r="BX108" i="43"/>
  <c r="CJ108" i="43"/>
  <c r="EH77" i="43"/>
  <c r="EK77" i="43" s="1"/>
  <c r="EM77" i="43" s="1"/>
  <c r="EL79" i="43"/>
  <c r="DW80" i="43"/>
  <c r="EE80" i="43"/>
  <c r="EH83" i="43"/>
  <c r="EK83" i="43" s="1"/>
  <c r="EM83" i="43" s="1"/>
  <c r="DW86" i="43"/>
  <c r="EE86" i="43"/>
  <c r="EL86" i="43"/>
  <c r="EB87" i="43"/>
  <c r="ED87" i="43" s="1"/>
  <c r="CX89" i="43"/>
  <c r="CW93" i="43"/>
  <c r="DZ103" i="43"/>
  <c r="EB103" i="43" s="1"/>
  <c r="ED103" i="43" s="1"/>
  <c r="EU103" i="43"/>
  <c r="EU105" i="43"/>
  <c r="DZ105" i="43"/>
  <c r="W108" i="43"/>
  <c r="W109" i="43"/>
  <c r="AI108" i="43"/>
  <c r="AI109" i="43"/>
  <c r="BA108" i="43"/>
  <c r="BM108" i="43"/>
  <c r="BY108" i="43"/>
  <c r="CK108" i="43"/>
  <c r="DL102" i="43"/>
  <c r="EX102" i="43"/>
  <c r="X108" i="43"/>
  <c r="AJ108" i="43"/>
  <c r="BB108" i="43"/>
  <c r="BN108" i="43"/>
  <c r="BZ108" i="43"/>
  <c r="CL108" i="43"/>
  <c r="DB99" i="43"/>
  <c r="EV99" i="43"/>
  <c r="BC108" i="43"/>
  <c r="BO108" i="43"/>
  <c r="CA108" i="43"/>
  <c r="CM108" i="43"/>
  <c r="CG108" i="43"/>
  <c r="EA102" i="43"/>
  <c r="CU102" i="43"/>
  <c r="DH102" i="43"/>
  <c r="DW102" i="43"/>
  <c r="DD102" i="43"/>
  <c r="DF102" i="43" s="1"/>
  <c r="DG102" i="43" s="1"/>
  <c r="EL104" i="43"/>
  <c r="EM104" i="43"/>
  <c r="EQ93" i="43"/>
  <c r="EO97" i="43"/>
  <c r="EQ97" i="43" s="1"/>
  <c r="EL97" i="43"/>
  <c r="EU101" i="43"/>
  <c r="DZ101" i="43"/>
  <c r="DH103" i="43"/>
  <c r="DW103" i="43"/>
  <c r="DD103" i="43"/>
  <c r="DF103" i="43" s="1"/>
  <c r="EA103" i="43"/>
  <c r="CU103" i="43"/>
  <c r="EJ78" i="43"/>
  <c r="EP78" i="43" s="1"/>
  <c r="EJ84" i="43"/>
  <c r="EP84" i="43" s="1"/>
  <c r="DL89" i="43"/>
  <c r="EQ94" i="43"/>
  <c r="EK103" i="43"/>
  <c r="EM103" i="43" s="1"/>
  <c r="U108" i="43"/>
  <c r="AG108" i="43"/>
  <c r="AY108" i="43"/>
  <c r="BK108" i="43"/>
  <c r="BW108" i="43"/>
  <c r="CI108" i="43"/>
  <c r="EX89" i="43"/>
  <c r="EO91" i="43"/>
  <c r="EQ91" i="43" s="1"/>
  <c r="EL91" i="43"/>
  <c r="EK92" i="43"/>
  <c r="CY95" i="43"/>
  <c r="ER95" i="43"/>
  <c r="CX95" i="43"/>
  <c r="CW95" i="43"/>
  <c r="AP95" i="43"/>
  <c r="DH97" i="43"/>
  <c r="DW97" i="43"/>
  <c r="DD97" i="43"/>
  <c r="DF97" i="43" s="1"/>
  <c r="EH99" i="43"/>
  <c r="EK99" i="43" s="1"/>
  <c r="DA99" i="43"/>
  <c r="CZ99" i="43"/>
  <c r="CY99" i="43"/>
  <c r="ER99" i="43"/>
  <c r="CX99" i="43"/>
  <c r="N109" i="43"/>
  <c r="Z109" i="43"/>
  <c r="AL109" i="43"/>
  <c r="AY109" i="43"/>
  <c r="EO96" i="43"/>
  <c r="O109" i="43"/>
  <c r="AA109" i="43"/>
  <c r="AM109" i="43"/>
  <c r="DD99" i="43"/>
  <c r="DF99" i="43" s="1"/>
  <c r="DG99" i="43" s="1"/>
  <c r="EE99" i="43"/>
  <c r="DW99" i="43"/>
  <c r="EB102" i="43"/>
  <c r="ED102" i="43" s="1"/>
  <c r="EJ102" i="43"/>
  <c r="EP102" i="43" s="1"/>
  <c r="DK106" i="43"/>
  <c r="DL106" i="43"/>
  <c r="P109" i="43"/>
  <c r="AB109" i="43"/>
  <c r="BF109" i="43"/>
  <c r="BR109" i="43"/>
  <c r="CD109" i="43"/>
  <c r="CP109" i="43"/>
  <c r="EV97" i="43"/>
  <c r="ED99" i="43"/>
  <c r="EQ101" i="43"/>
  <c r="EH106" i="43"/>
  <c r="EK106" i="43" s="1"/>
  <c r="DA106" i="43"/>
  <c r="CZ106" i="43"/>
  <c r="CY106" i="43"/>
  <c r="ER106" i="43"/>
  <c r="CX106" i="43"/>
  <c r="CW106" i="43"/>
  <c r="EQ106" i="43"/>
  <c r="Q109" i="43"/>
  <c r="AC109" i="43"/>
  <c r="AU109" i="43"/>
  <c r="AU108" i="43"/>
  <c r="BG109" i="43"/>
  <c r="BG108" i="43"/>
  <c r="BS109" i="43"/>
  <c r="BS108" i="43"/>
  <c r="CE109" i="43"/>
  <c r="CE108" i="43"/>
  <c r="CQ109" i="43"/>
  <c r="CQ108" i="43"/>
  <c r="U109" i="43"/>
  <c r="P108" i="43"/>
  <c r="AB108" i="43"/>
  <c r="BB109" i="43"/>
  <c r="BN109" i="43"/>
  <c r="BZ109" i="43"/>
  <c r="CL109" i="43"/>
  <c r="CZ92" i="43"/>
  <c r="DL93" i="43"/>
  <c r="CZ98" i="43"/>
  <c r="CZ104" i="43"/>
  <c r="BE109" i="43"/>
  <c r="BQ109" i="43"/>
  <c r="CC109" i="43"/>
  <c r="CO109" i="43"/>
  <c r="DA92" i="43"/>
  <c r="EW92" i="43"/>
  <c r="EZ92" i="43" s="1"/>
  <c r="FA92" i="43" s="1"/>
  <c r="DA98" i="43"/>
  <c r="DA104" i="43"/>
  <c r="EW104" i="43"/>
  <c r="EZ104" i="43" s="1"/>
  <c r="FA104" i="43" s="1"/>
  <c r="EW93" i="43"/>
  <c r="EZ93" i="43" s="1"/>
  <c r="FA93" i="43" s="1"/>
  <c r="EW99" i="43"/>
  <c r="EZ99" i="43" s="1"/>
  <c r="FA99" i="43" s="1"/>
  <c r="DL12" i="42"/>
  <c r="DG12" i="42"/>
  <c r="CU39" i="42"/>
  <c r="EA39" i="42"/>
  <c r="DH39" i="42"/>
  <c r="DW39" i="42"/>
  <c r="DD39" i="42"/>
  <c r="DF39" i="42" s="1"/>
  <c r="EE39" i="42"/>
  <c r="EW51" i="42"/>
  <c r="EZ51" i="42" s="1"/>
  <c r="FA51" i="42" s="1"/>
  <c r="EV51" i="42"/>
  <c r="DB51" i="42"/>
  <c r="K107" i="42"/>
  <c r="CZ5" i="42"/>
  <c r="CY5" i="42"/>
  <c r="ER5" i="42"/>
  <c r="CX5" i="42"/>
  <c r="CW5" i="42"/>
  <c r="AP5" i="42"/>
  <c r="DK11" i="42"/>
  <c r="EQ11" i="42"/>
  <c r="EJ19" i="42"/>
  <c r="EP19" i="42" s="1"/>
  <c r="DK19" i="42"/>
  <c r="EQ19" i="42"/>
  <c r="EW39" i="42"/>
  <c r="EZ39" i="42" s="1"/>
  <c r="FA39" i="42" s="1"/>
  <c r="AN107" i="42"/>
  <c r="CZ11" i="42"/>
  <c r="CY11" i="42"/>
  <c r="CX11" i="42"/>
  <c r="ER11" i="42"/>
  <c r="CW11" i="42"/>
  <c r="AP11" i="42"/>
  <c r="EH11" i="42"/>
  <c r="EK11" i="42" s="1"/>
  <c r="ER21" i="42"/>
  <c r="CX21" i="42"/>
  <c r="AP21" i="42"/>
  <c r="EH21" i="42"/>
  <c r="DA21" i="42"/>
  <c r="CZ21" i="42"/>
  <c r="CY21" i="42"/>
  <c r="CW21" i="42"/>
  <c r="EX22" i="42"/>
  <c r="ED27" i="42"/>
  <c r="EM31" i="42"/>
  <c r="EL31" i="42"/>
  <c r="EA36" i="42"/>
  <c r="EB36" i="42" s="1"/>
  <c r="ED36" i="42" s="1"/>
  <c r="DD36" i="42"/>
  <c r="DF36" i="42" s="1"/>
  <c r="DW36" i="42"/>
  <c r="DH36" i="42"/>
  <c r="EE36" i="42"/>
  <c r="CU36" i="42"/>
  <c r="EA46" i="42"/>
  <c r="CU46" i="42"/>
  <c r="DH46" i="42"/>
  <c r="DW46" i="42"/>
  <c r="DD46" i="42"/>
  <c r="DF46" i="42" s="1"/>
  <c r="DG46" i="42" s="1"/>
  <c r="EE46" i="42"/>
  <c r="EJ106" i="42"/>
  <c r="EP106" i="42" s="1"/>
  <c r="DK106" i="42"/>
  <c r="DZ18" i="42"/>
  <c r="EU18" i="42"/>
  <c r="EO7" i="42"/>
  <c r="EQ7" i="42" s="1"/>
  <c r="EO15" i="42"/>
  <c r="EQ15" i="42" s="1"/>
  <c r="EX30" i="42"/>
  <c r="ED7" i="42"/>
  <c r="EE10" i="42"/>
  <c r="DH10" i="42"/>
  <c r="EA10" i="42"/>
  <c r="CU10" i="42"/>
  <c r="EJ15" i="42"/>
  <c r="EP15" i="42" s="1"/>
  <c r="EW15" i="42"/>
  <c r="EZ15" i="42" s="1"/>
  <c r="FA15" i="42" s="1"/>
  <c r="EH5" i="42"/>
  <c r="DH25" i="42"/>
  <c r="EA25" i="42"/>
  <c r="DW25" i="42"/>
  <c r="DD25" i="42"/>
  <c r="DF25" i="42" s="1"/>
  <c r="CU25" i="42"/>
  <c r="EW25" i="42" s="1"/>
  <c r="EZ25" i="42" s="1"/>
  <c r="FA25" i="42" s="1"/>
  <c r="DW15" i="42"/>
  <c r="EE15" i="42"/>
  <c r="EA15" i="42"/>
  <c r="EB15" i="42" s="1"/>
  <c r="ED15" i="42" s="1"/>
  <c r="DD15" i="42"/>
  <c r="DF15" i="42" s="1"/>
  <c r="CU15" i="42"/>
  <c r="DH15" i="42"/>
  <c r="EL8" i="42"/>
  <c r="DD10" i="42"/>
  <c r="DF10" i="42" s="1"/>
  <c r="DG10" i="42" s="1"/>
  <c r="EL10" i="42"/>
  <c r="EO30" i="42"/>
  <c r="EQ30" i="42" s="1"/>
  <c r="EL30" i="42"/>
  <c r="EA7" i="42"/>
  <c r="EB7" i="42" s="1"/>
  <c r="CU7" i="42"/>
  <c r="DH7" i="42"/>
  <c r="DW7" i="42"/>
  <c r="DD7" i="42"/>
  <c r="DF7" i="42" s="1"/>
  <c r="DG7" i="42" s="1"/>
  <c r="EQ5" i="42"/>
  <c r="EE7" i="42"/>
  <c r="DE107" i="42"/>
  <c r="EJ6" i="42"/>
  <c r="EP6" i="42" s="1"/>
  <c r="EQ6" i="42" s="1"/>
  <c r="EK7" i="42"/>
  <c r="EM7" i="42" s="1"/>
  <c r="EK15" i="42"/>
  <c r="EM15" i="42" s="1"/>
  <c r="EA20" i="42"/>
  <c r="EB20" i="42" s="1"/>
  <c r="ED20" i="42" s="1"/>
  <c r="EE20" i="42"/>
  <c r="DH20" i="42"/>
  <c r="DD20" i="42"/>
  <c r="DF20" i="42" s="1"/>
  <c r="DG20" i="42" s="1"/>
  <c r="DW20" i="42"/>
  <c r="CU20" i="42"/>
  <c r="DD24" i="42"/>
  <c r="DF24" i="42" s="1"/>
  <c r="EE24" i="42"/>
  <c r="EA24" i="42"/>
  <c r="CU24" i="42"/>
  <c r="DW24" i="42"/>
  <c r="DH24" i="42"/>
  <c r="DF8" i="42"/>
  <c r="EL9" i="42"/>
  <c r="EX11" i="42"/>
  <c r="EE12" i="42"/>
  <c r="CU12" i="42"/>
  <c r="EA12" i="42"/>
  <c r="DH12" i="42"/>
  <c r="DW12" i="42"/>
  <c r="EO18" i="42"/>
  <c r="EQ18" i="42" s="1"/>
  <c r="EX21" i="42"/>
  <c r="EX37" i="42"/>
  <c r="DH58" i="42"/>
  <c r="CU58" i="42"/>
  <c r="EE58" i="42"/>
  <c r="EA58" i="42"/>
  <c r="DD58" i="42"/>
  <c r="DF58" i="42" s="1"/>
  <c r="DW58" i="42"/>
  <c r="DZ24" i="42"/>
  <c r="EB24" i="42" s="1"/>
  <c r="ED24" i="42" s="1"/>
  <c r="EU24" i="42"/>
  <c r="EJ12" i="42"/>
  <c r="EP12" i="42" s="1"/>
  <c r="EQ12" i="42" s="1"/>
  <c r="DK12" i="42"/>
  <c r="EW12" i="42"/>
  <c r="EZ12" i="42" s="1"/>
  <c r="FA12" i="42" s="1"/>
  <c r="EX5" i="42"/>
  <c r="EU6" i="42"/>
  <c r="EU7" i="42"/>
  <c r="EQ9" i="42"/>
  <c r="EQ10" i="42"/>
  <c r="DH13" i="42"/>
  <c r="EA13" i="42"/>
  <c r="EB13" i="42" s="1"/>
  <c r="ED13" i="42" s="1"/>
  <c r="DW13" i="42"/>
  <c r="DD13" i="42"/>
  <c r="DF13" i="42" s="1"/>
  <c r="DG13" i="42" s="1"/>
  <c r="EE13" i="42"/>
  <c r="EQ16" i="42"/>
  <c r="CZ26" i="42"/>
  <c r="DA26" i="42"/>
  <c r="CY26" i="42"/>
  <c r="CX26" i="42"/>
  <c r="CW26" i="42"/>
  <c r="EH26" i="42"/>
  <c r="EK26" i="42" s="1"/>
  <c r="ER26" i="42"/>
  <c r="EL13" i="42"/>
  <c r="DA18" i="42"/>
  <c r="AP18" i="42"/>
  <c r="ER18" i="42"/>
  <c r="CZ18" i="42"/>
  <c r="CY18" i="42"/>
  <c r="CX18" i="42"/>
  <c r="EH18" i="42"/>
  <c r="EK18" i="42" s="1"/>
  <c r="EM18" i="42" s="1"/>
  <c r="EK6" i="42"/>
  <c r="EM6" i="42" s="1"/>
  <c r="EU5" i="42"/>
  <c r="DZ5" i="42"/>
  <c r="EX6" i="42"/>
  <c r="DK10" i="42"/>
  <c r="DW26" i="42"/>
  <c r="CU26" i="42"/>
  <c r="EA26" i="42"/>
  <c r="DH26" i="42"/>
  <c r="DD26" i="42"/>
  <c r="DF26" i="42" s="1"/>
  <c r="DL27" i="42"/>
  <c r="EX27" i="42"/>
  <c r="EA28" i="42"/>
  <c r="CU28" i="42"/>
  <c r="DW28" i="42"/>
  <c r="DD28" i="42"/>
  <c r="DF28" i="42" s="1"/>
  <c r="DH28" i="42"/>
  <c r="EE28" i="42"/>
  <c r="EM40" i="42"/>
  <c r="EL40" i="42"/>
  <c r="EI107" i="42"/>
  <c r="CZ6" i="42"/>
  <c r="DL7" i="42"/>
  <c r="CU8" i="42"/>
  <c r="EA8" i="42"/>
  <c r="EB8" i="42" s="1"/>
  <c r="ED8" i="42" s="1"/>
  <c r="AP9" i="42"/>
  <c r="EW13" i="42"/>
  <c r="EZ13" i="42" s="1"/>
  <c r="FA13" i="42" s="1"/>
  <c r="DA14" i="42"/>
  <c r="DW16" i="42"/>
  <c r="AP19" i="42"/>
  <c r="ER19" i="42"/>
  <c r="EH19" i="42"/>
  <c r="EK19" i="42" s="1"/>
  <c r="EJ21" i="42"/>
  <c r="EP21" i="42" s="1"/>
  <c r="EQ21" i="42" s="1"/>
  <c r="EQ28" i="42"/>
  <c r="EA30" i="42"/>
  <c r="DH30" i="42"/>
  <c r="EE30" i="42"/>
  <c r="DD30" i="42"/>
  <c r="DF30" i="42" s="1"/>
  <c r="DG30" i="42" s="1"/>
  <c r="DW30" i="42"/>
  <c r="CU30" i="42"/>
  <c r="EW30" i="42" s="1"/>
  <c r="EZ30" i="42" s="1"/>
  <c r="FA30" i="42" s="1"/>
  <c r="AP31" i="42"/>
  <c r="EU32" i="42"/>
  <c r="DZ32" i="42"/>
  <c r="EJ36" i="42"/>
  <c r="EP36" i="42" s="1"/>
  <c r="EQ36" i="42" s="1"/>
  <c r="EX38" i="42"/>
  <c r="EE51" i="42"/>
  <c r="DH51" i="42"/>
  <c r="EA51" i="42"/>
  <c r="DD51" i="42"/>
  <c r="DF51" i="42" s="1"/>
  <c r="DW51" i="42"/>
  <c r="DZ52" i="42"/>
  <c r="EB52" i="42" s="1"/>
  <c r="ED52" i="42" s="1"/>
  <c r="EU52" i="42"/>
  <c r="CX9" i="42"/>
  <c r="DG16" i="42"/>
  <c r="DA22" i="42"/>
  <c r="DB27" i="42"/>
  <c r="EV27" i="42"/>
  <c r="EQ31" i="42"/>
  <c r="DL43" i="42"/>
  <c r="DG43" i="42"/>
  <c r="CS107" i="42"/>
  <c r="CK108" i="42" s="1"/>
  <c r="DA8" i="42"/>
  <c r="EW8" i="42"/>
  <c r="EZ8" i="42" s="1"/>
  <c r="FA8" i="42" s="1"/>
  <c r="CY9" i="42"/>
  <c r="CW10" i="42"/>
  <c r="DA13" i="42"/>
  <c r="ER14" i="42"/>
  <c r="CW15" i="42"/>
  <c r="DH16" i="42"/>
  <c r="EE16" i="42"/>
  <c r="CY19" i="42"/>
  <c r="EQ26" i="42"/>
  <c r="EB28" i="42"/>
  <c r="ED28" i="42" s="1"/>
  <c r="ER9" i="42"/>
  <c r="AP6" i="42"/>
  <c r="CX10" i="42"/>
  <c r="AP14" i="42"/>
  <c r="CY15" i="42"/>
  <c r="EU17" i="42"/>
  <c r="CZ19" i="42"/>
  <c r="EB25" i="42"/>
  <c r="ED25" i="42" s="1"/>
  <c r="EJ29" i="42"/>
  <c r="EW29" i="42"/>
  <c r="EZ29" i="42" s="1"/>
  <c r="FA29" i="42" s="1"/>
  <c r="DK29" i="42"/>
  <c r="DA32" i="42"/>
  <c r="CZ32" i="42"/>
  <c r="CY32" i="42"/>
  <c r="EH32" i="42"/>
  <c r="EK32" i="42" s="1"/>
  <c r="EM32" i="42" s="1"/>
  <c r="CX32" i="42"/>
  <c r="DL48" i="42"/>
  <c r="DG48" i="42"/>
  <c r="DG49" i="42"/>
  <c r="DL49" i="42"/>
  <c r="DZ81" i="42"/>
  <c r="EB81" i="42" s="1"/>
  <c r="ED81" i="42" s="1"/>
  <c r="EU81" i="42"/>
  <c r="DK14" i="42"/>
  <c r="DK23" i="42"/>
  <c r="EE35" i="42"/>
  <c r="EA35" i="42"/>
  <c r="DW35" i="42"/>
  <c r="DD35" i="42"/>
  <c r="DF35" i="42" s="1"/>
  <c r="CU35" i="42"/>
  <c r="EJ50" i="42"/>
  <c r="EP50" i="42" s="1"/>
  <c r="DK50" i="42"/>
  <c r="EQ13" i="42"/>
  <c r="DK26" i="42"/>
  <c r="DZ30" i="42"/>
  <c r="EU30" i="42"/>
  <c r="EA32" i="42"/>
  <c r="CU32" i="42"/>
  <c r="DH32" i="42"/>
  <c r="EE32" i="42"/>
  <c r="DD32" i="42"/>
  <c r="DF32" i="42" s="1"/>
  <c r="EB48" i="42"/>
  <c r="EU53" i="42"/>
  <c r="DZ53" i="42"/>
  <c r="ER17" i="42"/>
  <c r="EH17" i="42"/>
  <c r="EK17" i="42" s="1"/>
  <c r="DA17" i="42"/>
  <c r="EL22" i="42"/>
  <c r="ER13" i="42"/>
  <c r="CW14" i="42"/>
  <c r="EH14" i="42"/>
  <c r="EK14" i="42" s="1"/>
  <c r="CU16" i="42"/>
  <c r="EL16" i="42"/>
  <c r="AP17" i="42"/>
  <c r="DK22" i="42"/>
  <c r="EW26" i="42"/>
  <c r="EZ26" i="42" s="1"/>
  <c r="FA26" i="42" s="1"/>
  <c r="EK28" i="42"/>
  <c r="EM28" i="42" s="1"/>
  <c r="EV29" i="42"/>
  <c r="DK31" i="42"/>
  <c r="EX31" i="42"/>
  <c r="EK33" i="42"/>
  <c r="CY46" i="42"/>
  <c r="DA46" i="42"/>
  <c r="CZ46" i="42"/>
  <c r="CX46" i="42"/>
  <c r="CW46" i="42"/>
  <c r="ER46" i="42"/>
  <c r="EK51" i="42"/>
  <c r="EM51" i="42" s="1"/>
  <c r="DD54" i="42"/>
  <c r="DF54" i="42" s="1"/>
  <c r="DW54" i="42"/>
  <c r="EA54" i="42"/>
  <c r="CU54" i="42"/>
  <c r="DH54" i="42"/>
  <c r="EE54" i="42"/>
  <c r="EG107" i="42"/>
  <c r="CW22" i="42"/>
  <c r="AP22" i="42"/>
  <c r="EW24" i="42"/>
  <c r="EZ24" i="42" s="1"/>
  <c r="FA24" i="42" s="1"/>
  <c r="EJ24" i="42"/>
  <c r="EP24" i="42" s="1"/>
  <c r="EQ24" i="42" s="1"/>
  <c r="ER31" i="42"/>
  <c r="DA31" i="42"/>
  <c r="CZ31" i="42"/>
  <c r="CY31" i="42"/>
  <c r="CX31" i="42"/>
  <c r="EO52" i="42"/>
  <c r="DK16" i="42"/>
  <c r="CW20" i="42"/>
  <c r="EH20" i="42"/>
  <c r="EK20" i="42" s="1"/>
  <c r="EL28" i="42"/>
  <c r="EU35" i="42"/>
  <c r="DZ35" i="42"/>
  <c r="EB35" i="42" s="1"/>
  <c r="ED35" i="42" s="1"/>
  <c r="EQ37" i="42"/>
  <c r="CU44" i="42"/>
  <c r="EO46" i="42"/>
  <c r="EQ46" i="42" s="1"/>
  <c r="EL46" i="42"/>
  <c r="CX47" i="42"/>
  <c r="ED48" i="42"/>
  <c r="EV49" i="42"/>
  <c r="EH55" i="42"/>
  <c r="EK55" i="42" s="1"/>
  <c r="EM55" i="42" s="1"/>
  <c r="DA55" i="42"/>
  <c r="AP55" i="42"/>
  <c r="CZ55" i="42"/>
  <c r="CY55" i="42"/>
  <c r="CX55" i="42"/>
  <c r="ER55" i="42"/>
  <c r="CW55" i="42"/>
  <c r="DK80" i="42"/>
  <c r="EJ80" i="42"/>
  <c r="EP80" i="42" s="1"/>
  <c r="DK38" i="42"/>
  <c r="EW38" i="42"/>
  <c r="EZ38" i="42" s="1"/>
  <c r="FA38" i="42" s="1"/>
  <c r="EB42" i="42"/>
  <c r="EE62" i="42"/>
  <c r="DW62" i="42"/>
  <c r="CU62" i="42"/>
  <c r="DH62" i="42"/>
  <c r="DD62" i="42"/>
  <c r="DF62" i="42" s="1"/>
  <c r="DG62" i="42" s="1"/>
  <c r="EA62" i="42"/>
  <c r="EB62" i="42" s="1"/>
  <c r="ED62" i="42" s="1"/>
  <c r="EH67" i="42"/>
  <c r="DA67" i="42"/>
  <c r="CZ67" i="42"/>
  <c r="CY67" i="42"/>
  <c r="CW67" i="42"/>
  <c r="ER67" i="42"/>
  <c r="AP67" i="42"/>
  <c r="CX67" i="42"/>
  <c r="AP23" i="42"/>
  <c r="CX23" i="42"/>
  <c r="ER23" i="42"/>
  <c r="EW27" i="42"/>
  <c r="DL29" i="42"/>
  <c r="EJ34" i="42"/>
  <c r="EP34" i="42" s="1"/>
  <c r="EQ34" i="42" s="1"/>
  <c r="DK34" i="42"/>
  <c r="EW34" i="42"/>
  <c r="EZ34" i="42" s="1"/>
  <c r="FA34" i="42" s="1"/>
  <c r="CY37" i="42"/>
  <c r="CX37" i="42"/>
  <c r="DA37" i="42"/>
  <c r="CZ37" i="42"/>
  <c r="CW37" i="42"/>
  <c r="ER37" i="42"/>
  <c r="EU42" i="42"/>
  <c r="EO45" i="42"/>
  <c r="EE50" i="42"/>
  <c r="CU50" i="42"/>
  <c r="EW50" i="42" s="1"/>
  <c r="EZ50" i="42" s="1"/>
  <c r="FA50" i="42" s="1"/>
  <c r="EA50" i="42"/>
  <c r="DW50" i="42"/>
  <c r="DD50" i="42"/>
  <c r="DF50" i="42" s="1"/>
  <c r="DG50" i="42" s="1"/>
  <c r="DH52" i="42"/>
  <c r="EA52" i="42"/>
  <c r="DD52" i="42"/>
  <c r="DF52" i="42" s="1"/>
  <c r="DG52" i="42" s="1"/>
  <c r="DW52" i="42"/>
  <c r="EE52" i="42"/>
  <c r="EO54" i="42"/>
  <c r="EQ54" i="42" s="1"/>
  <c r="EL54" i="42"/>
  <c r="EO56" i="42"/>
  <c r="EQ56" i="42" s="1"/>
  <c r="EL56" i="42"/>
  <c r="DK64" i="42"/>
  <c r="EJ64" i="42"/>
  <c r="EP64" i="42" s="1"/>
  <c r="ER27" i="42"/>
  <c r="CX27" i="42"/>
  <c r="DH27" i="42"/>
  <c r="EE27" i="42"/>
  <c r="EQ35" i="42"/>
  <c r="EL38" i="42"/>
  <c r="EL27" i="42"/>
  <c r="AP37" i="42"/>
  <c r="EH37" i="42"/>
  <c r="EK37" i="42" s="1"/>
  <c r="CU38" i="42"/>
  <c r="EE38" i="42"/>
  <c r="DH38" i="42"/>
  <c r="EA38" i="42"/>
  <c r="DD38" i="42"/>
  <c r="DF38" i="42" s="1"/>
  <c r="DG38" i="42" s="1"/>
  <c r="EB46" i="42"/>
  <c r="ED46" i="42" s="1"/>
  <c r="CU52" i="42"/>
  <c r="CZ25" i="42"/>
  <c r="EH25" i="42"/>
  <c r="EK25" i="42" s="1"/>
  <c r="EK27" i="42"/>
  <c r="EM27" i="42" s="1"/>
  <c r="EL32" i="42"/>
  <c r="DL34" i="42"/>
  <c r="EX34" i="42"/>
  <c r="AP41" i="42"/>
  <c r="DA41" i="42"/>
  <c r="EH41" i="42"/>
  <c r="EK41" i="42" s="1"/>
  <c r="EM41" i="42" s="1"/>
  <c r="CX41" i="42"/>
  <c r="DD42" i="42"/>
  <c r="DF42" i="42" s="1"/>
  <c r="EA42" i="42"/>
  <c r="DW42" i="42"/>
  <c r="DH42" i="42"/>
  <c r="EE42" i="42"/>
  <c r="CU42" i="42"/>
  <c r="DL44" i="42"/>
  <c r="DL46" i="42"/>
  <c r="AP47" i="42"/>
  <c r="EH47" i="42"/>
  <c r="EK47" i="42" s="1"/>
  <c r="EM47" i="42" s="1"/>
  <c r="DA47" i="42"/>
  <c r="CW23" i="42"/>
  <c r="EH23" i="42"/>
  <c r="EK23" i="42" s="1"/>
  <c r="ER25" i="42"/>
  <c r="EJ38" i="42"/>
  <c r="EP38" i="42" s="1"/>
  <c r="EQ38" i="42" s="1"/>
  <c r="ED42" i="42"/>
  <c r="DH43" i="42"/>
  <c r="EE43" i="42"/>
  <c r="CU43" i="42"/>
  <c r="EW43" i="42" s="1"/>
  <c r="EZ43" i="42" s="1"/>
  <c r="FA43" i="42" s="1"/>
  <c r="EA43" i="42"/>
  <c r="EQ50" i="42"/>
  <c r="EE44" i="42"/>
  <c r="EA44" i="42"/>
  <c r="DH44" i="42"/>
  <c r="DW44" i="42"/>
  <c r="EO51" i="42"/>
  <c r="EO55" i="42"/>
  <c r="EQ55" i="42" s="1"/>
  <c r="EL55" i="42"/>
  <c r="DK57" i="42"/>
  <c r="DF68" i="42"/>
  <c r="DG68" i="42" s="1"/>
  <c r="EA69" i="42"/>
  <c r="CU69" i="42"/>
  <c r="DD69" i="42"/>
  <c r="DF69" i="42" s="1"/>
  <c r="DH69" i="42"/>
  <c r="EE69" i="42"/>
  <c r="EU83" i="42"/>
  <c r="DZ83" i="42"/>
  <c r="DK85" i="42"/>
  <c r="EJ85" i="42"/>
  <c r="EP85" i="42" s="1"/>
  <c r="EQ85" i="42" s="1"/>
  <c r="EQ33" i="42"/>
  <c r="EH36" i="42"/>
  <c r="CZ36" i="42"/>
  <c r="CY36" i="42"/>
  <c r="CX36" i="42"/>
  <c r="ER38" i="42"/>
  <c r="CX38" i="42"/>
  <c r="CW38" i="42"/>
  <c r="CZ38" i="42"/>
  <c r="CW57" i="42"/>
  <c r="CX57" i="42"/>
  <c r="ER57" i="42"/>
  <c r="AP57" i="42"/>
  <c r="EH57" i="42"/>
  <c r="EK57" i="42" s="1"/>
  <c r="DA57" i="42"/>
  <c r="CZ57" i="42"/>
  <c r="EB59" i="42"/>
  <c r="ED59" i="42" s="1"/>
  <c r="DD61" i="42"/>
  <c r="DF61" i="42" s="1"/>
  <c r="DW61" i="42"/>
  <c r="CU61" i="42"/>
  <c r="EA61" i="42"/>
  <c r="EB61" i="42" s="1"/>
  <c r="ED61" i="42" s="1"/>
  <c r="DW71" i="42"/>
  <c r="CU71" i="42"/>
  <c r="EE71" i="42"/>
  <c r="DH71" i="42"/>
  <c r="DD71" i="42"/>
  <c r="DF71" i="42" s="1"/>
  <c r="DG71" i="42" s="1"/>
  <c r="EU72" i="42"/>
  <c r="DZ72" i="42"/>
  <c r="EX81" i="42"/>
  <c r="DS64" i="42"/>
  <c r="DT64" i="42" s="1"/>
  <c r="DM64" i="42"/>
  <c r="DN64" i="42" s="1"/>
  <c r="EB78" i="42"/>
  <c r="DW92" i="42"/>
  <c r="DD92" i="42"/>
  <c r="DF92" i="42" s="1"/>
  <c r="DG92" i="42" s="1"/>
  <c r="DH92" i="42"/>
  <c r="EE92" i="42"/>
  <c r="EA92" i="42"/>
  <c r="CU92" i="42"/>
  <c r="DG64" i="42"/>
  <c r="EU65" i="42"/>
  <c r="DZ65" i="42"/>
  <c r="EX84" i="42"/>
  <c r="EE34" i="42"/>
  <c r="DK45" i="42"/>
  <c r="EJ45" i="42"/>
  <c r="EP45" i="42" s="1"/>
  <c r="DZ55" i="42"/>
  <c r="EU55" i="42"/>
  <c r="DF59" i="42"/>
  <c r="CW65" i="42"/>
  <c r="AP65" i="42"/>
  <c r="EH65" i="42"/>
  <c r="EK65" i="42" s="1"/>
  <c r="EM65" i="42" s="1"/>
  <c r="DA65" i="42"/>
  <c r="CZ65" i="42"/>
  <c r="CY65" i="42"/>
  <c r="CX65" i="42"/>
  <c r="EM66" i="42"/>
  <c r="EL66" i="42"/>
  <c r="EU103" i="42"/>
  <c r="DZ103" i="42"/>
  <c r="DA36" i="42"/>
  <c r="EK44" i="42"/>
  <c r="EE48" i="42"/>
  <c r="EQ49" i="42"/>
  <c r="CZ53" i="42"/>
  <c r="EH53" i="42"/>
  <c r="EK53" i="42" s="1"/>
  <c r="EM53" i="42" s="1"/>
  <c r="CY53" i="42"/>
  <c r="DA53" i="42"/>
  <c r="CX53" i="42"/>
  <c r="ER53" i="42"/>
  <c r="CW53" i="42"/>
  <c r="EU54" i="42"/>
  <c r="DZ54" i="42"/>
  <c r="DH61" i="42"/>
  <c r="DD78" i="42"/>
  <c r="DF78" i="42" s="1"/>
  <c r="DG78" i="42" s="1"/>
  <c r="EE78" i="42"/>
  <c r="DH78" i="42"/>
  <c r="DW78" i="42"/>
  <c r="ED84" i="42"/>
  <c r="EQ86" i="42"/>
  <c r="EK34" i="42"/>
  <c r="ER36" i="42"/>
  <c r="DK43" i="42"/>
  <c r="DH48" i="42"/>
  <c r="EL63" i="42"/>
  <c r="EO63" i="42"/>
  <c r="EQ63" i="42" s="1"/>
  <c r="EQ65" i="42"/>
  <c r="ED77" i="42"/>
  <c r="EX80" i="42"/>
  <c r="EQ39" i="42"/>
  <c r="EH43" i="42"/>
  <c r="EK43" i="42" s="1"/>
  <c r="DA43" i="42"/>
  <c r="CZ43" i="42"/>
  <c r="CX43" i="42"/>
  <c r="EU44" i="42"/>
  <c r="DZ44" i="42"/>
  <c r="EB44" i="42" s="1"/>
  <c r="ED44" i="42" s="1"/>
  <c r="CU45" i="42"/>
  <c r="EA45" i="42"/>
  <c r="EJ52" i="42"/>
  <c r="EP52" i="42" s="1"/>
  <c r="EW52" i="42"/>
  <c r="EZ52" i="42" s="1"/>
  <c r="FA52" i="42" s="1"/>
  <c r="DW53" i="42"/>
  <c r="DD53" i="42"/>
  <c r="DF53" i="42" s="1"/>
  <c r="EA53" i="42"/>
  <c r="EX57" i="42"/>
  <c r="ER65" i="42"/>
  <c r="EX71" i="42"/>
  <c r="DL71" i="42"/>
  <c r="AP72" i="42"/>
  <c r="ER72" i="42"/>
  <c r="DA72" i="42"/>
  <c r="CZ72" i="42"/>
  <c r="EH72" i="42"/>
  <c r="EK72" i="42" s="1"/>
  <c r="EM72" i="42" s="1"/>
  <c r="CY72" i="42"/>
  <c r="CX72" i="42"/>
  <c r="CW72" i="42"/>
  <c r="CU78" i="42"/>
  <c r="EX83" i="42"/>
  <c r="EE84" i="42"/>
  <c r="CU84" i="42"/>
  <c r="DW84" i="42"/>
  <c r="DD84" i="42"/>
  <c r="DF84" i="42" s="1"/>
  <c r="DG84" i="42" s="1"/>
  <c r="DH84" i="42"/>
  <c r="EH35" i="42"/>
  <c r="EK35" i="42" s="1"/>
  <c r="CW35" i="42"/>
  <c r="ER35" i="42"/>
  <c r="EK38" i="42"/>
  <c r="EM38" i="42" s="1"/>
  <c r="EK39" i="42"/>
  <c r="EM39" i="42" s="1"/>
  <c r="EK42" i="42"/>
  <c r="DK47" i="42"/>
  <c r="EA49" i="42"/>
  <c r="EB49" i="42" s="1"/>
  <c r="ED49" i="42" s="1"/>
  <c r="DH49" i="42"/>
  <c r="DA52" i="42"/>
  <c r="EH52" i="42"/>
  <c r="CZ52" i="42"/>
  <c r="ER52" i="42"/>
  <c r="CY52" i="42"/>
  <c r="CX52" i="42"/>
  <c r="CW52" i="42"/>
  <c r="DW77" i="42"/>
  <c r="DD77" i="42"/>
  <c r="DF77" i="42" s="1"/>
  <c r="EE77" i="42"/>
  <c r="CU77" i="42"/>
  <c r="DH77" i="42"/>
  <c r="EL77" i="42"/>
  <c r="CX87" i="42"/>
  <c r="ER87" i="42"/>
  <c r="CW87" i="42"/>
  <c r="DA87" i="42"/>
  <c r="CZ87" i="42"/>
  <c r="CY87" i="42"/>
  <c r="EH87" i="42"/>
  <c r="EK87" i="42" s="1"/>
  <c r="EM87" i="42" s="1"/>
  <c r="AP87" i="42"/>
  <c r="DB53" i="42"/>
  <c r="EW53" i="42"/>
  <c r="EZ53" i="42" s="1"/>
  <c r="FA53" i="42" s="1"/>
  <c r="EV53" i="42"/>
  <c r="EO64" i="42"/>
  <c r="EQ64" i="42" s="1"/>
  <c r="DK67" i="42"/>
  <c r="EJ67" i="42"/>
  <c r="EP67" i="42" s="1"/>
  <c r="EQ67" i="42" s="1"/>
  <c r="AP40" i="42"/>
  <c r="ER45" i="42"/>
  <c r="CX45" i="42"/>
  <c r="CW45" i="42"/>
  <c r="EH50" i="42"/>
  <c r="CZ50" i="42"/>
  <c r="CY50" i="42"/>
  <c r="ER50" i="42"/>
  <c r="DL52" i="42"/>
  <c r="EQ57" i="42"/>
  <c r="EH61" i="42"/>
  <c r="EK61" i="42" s="1"/>
  <c r="EM61" i="42" s="1"/>
  <c r="DA61" i="42"/>
  <c r="CZ61" i="42"/>
  <c r="CY61" i="42"/>
  <c r="DH64" i="42"/>
  <c r="CU64" i="42"/>
  <c r="EW64" i="42" s="1"/>
  <c r="EZ64" i="42" s="1"/>
  <c r="FA64" i="42" s="1"/>
  <c r="DW64" i="42"/>
  <c r="DZ70" i="42"/>
  <c r="EB70" i="42" s="1"/>
  <c r="ED70" i="42" s="1"/>
  <c r="EU70" i="42"/>
  <c r="DL70" i="42"/>
  <c r="EJ73" i="42"/>
  <c r="EP73" i="42" s="1"/>
  <c r="EQ73" i="42" s="1"/>
  <c r="DK73" i="42"/>
  <c r="EO76" i="42"/>
  <c r="EQ76" i="42" s="1"/>
  <c r="EO83" i="42"/>
  <c r="EQ83" i="42" s="1"/>
  <c r="EL83" i="42"/>
  <c r="EO88" i="42"/>
  <c r="EQ88" i="42" s="1"/>
  <c r="EA102" i="42"/>
  <c r="EB102" i="42" s="1"/>
  <c r="ED102" i="42" s="1"/>
  <c r="CU102" i="42"/>
  <c r="DD102" i="42"/>
  <c r="DF102" i="42" s="1"/>
  <c r="EE102" i="42"/>
  <c r="DH102" i="42"/>
  <c r="DW102" i="42"/>
  <c r="EK60" i="42"/>
  <c r="CW63" i="42"/>
  <c r="ER63" i="42"/>
  <c r="AP63" i="42"/>
  <c r="EH73" i="42"/>
  <c r="EK73" i="42" s="1"/>
  <c r="DA73" i="42"/>
  <c r="CZ73" i="42"/>
  <c r="CY73" i="42"/>
  <c r="CX73" i="42"/>
  <c r="AP73" i="42"/>
  <c r="EU74" i="42"/>
  <c r="DZ74" i="42"/>
  <c r="EO80" i="42"/>
  <c r="DZ82" i="42"/>
  <c r="EU82" i="42"/>
  <c r="EK88" i="42"/>
  <c r="EM88" i="42" s="1"/>
  <c r="DA60" i="42"/>
  <c r="CZ60" i="42"/>
  <c r="CX60" i="42"/>
  <c r="CW60" i="42"/>
  <c r="EZ70" i="42"/>
  <c r="FA70" i="42" s="1"/>
  <c r="DK79" i="42"/>
  <c r="AP88" i="42"/>
  <c r="CX88" i="42"/>
  <c r="CW88" i="42"/>
  <c r="ER88" i="42"/>
  <c r="CZ88" i="42"/>
  <c r="CY88" i="42"/>
  <c r="AP33" i="42"/>
  <c r="EH45" i="42"/>
  <c r="EK48" i="42"/>
  <c r="EM48" i="42" s="1"/>
  <c r="EW49" i="42"/>
  <c r="EZ49" i="42" s="1"/>
  <c r="FA49" i="42" s="1"/>
  <c r="EJ59" i="42"/>
  <c r="EP59" i="42" s="1"/>
  <c r="EL65" i="42"/>
  <c r="EJ68" i="42"/>
  <c r="EP68" i="42" s="1"/>
  <c r="EQ68" i="42" s="1"/>
  <c r="EW68" i="42"/>
  <c r="EZ68" i="42" s="1"/>
  <c r="FA68" i="42" s="1"/>
  <c r="DK68" i="42"/>
  <c r="EX68" i="42"/>
  <c r="DL68" i="42"/>
  <c r="CY74" i="42"/>
  <c r="ER74" i="42"/>
  <c r="CX74" i="42"/>
  <c r="AP74" i="42"/>
  <c r="EH74" i="42"/>
  <c r="EK74" i="42" s="1"/>
  <c r="EU76" i="42"/>
  <c r="EH79" i="42"/>
  <c r="EK79" i="42" s="1"/>
  <c r="DA79" i="42"/>
  <c r="CZ79" i="42"/>
  <c r="CY79" i="42"/>
  <c r="CW79" i="42"/>
  <c r="CX79" i="42"/>
  <c r="ER79" i="42"/>
  <c r="AP79" i="42"/>
  <c r="EH49" i="42"/>
  <c r="EK49" i="42" s="1"/>
  <c r="DA49" i="42"/>
  <c r="DL50" i="42"/>
  <c r="DK51" i="42"/>
  <c r="EJ51" i="42"/>
  <c r="EP51" i="42" s="1"/>
  <c r="CZ59" i="42"/>
  <c r="EH59" i="42"/>
  <c r="EK59" i="42" s="1"/>
  <c r="EM59" i="42" s="1"/>
  <c r="CY59" i="42"/>
  <c r="CW59" i="42"/>
  <c r="AP60" i="42"/>
  <c r="EL62" i="42"/>
  <c r="CY68" i="42"/>
  <c r="ER68" i="42"/>
  <c r="DA68" i="42"/>
  <c r="EH68" i="42"/>
  <c r="EK68" i="42" s="1"/>
  <c r="CX68" i="42"/>
  <c r="CW68" i="42"/>
  <c r="EW71" i="42"/>
  <c r="EZ71" i="42" s="1"/>
  <c r="FA71" i="42" s="1"/>
  <c r="DK71" i="42"/>
  <c r="EJ71" i="42"/>
  <c r="EP71" i="42" s="1"/>
  <c r="EO72" i="42"/>
  <c r="EQ72" i="42" s="1"/>
  <c r="EL72" i="42"/>
  <c r="CW73" i="42"/>
  <c r="EQ101" i="42"/>
  <c r="EB39" i="42"/>
  <c r="ED39" i="42" s="1"/>
  <c r="CX40" i="42"/>
  <c r="CZ44" i="42"/>
  <c r="CY44" i="42"/>
  <c r="CY45" i="42"/>
  <c r="DL45" i="42"/>
  <c r="CW50" i="42"/>
  <c r="CW51" i="42"/>
  <c r="DA51" i="42"/>
  <c r="CZ51" i="42"/>
  <c r="DK58" i="42"/>
  <c r="CW61" i="42"/>
  <c r="CX63" i="42"/>
  <c r="EQ66" i="42"/>
  <c r="EO69" i="42"/>
  <c r="EQ69" i="42" s="1"/>
  <c r="EU77" i="42"/>
  <c r="DZ77" i="42"/>
  <c r="EB77" i="42" s="1"/>
  <c r="EJ79" i="42"/>
  <c r="EP79" i="42" s="1"/>
  <c r="EQ79" i="42" s="1"/>
  <c r="EO82" i="42"/>
  <c r="EQ82" i="42" s="1"/>
  <c r="EL82" i="42"/>
  <c r="EX85" i="42"/>
  <c r="EJ86" i="42"/>
  <c r="EP86" i="42" s="1"/>
  <c r="DK86" i="42"/>
  <c r="DA88" i="42"/>
  <c r="EL99" i="42"/>
  <c r="EH58" i="42"/>
  <c r="EK58" i="42" s="1"/>
  <c r="CY58" i="42"/>
  <c r="CX58" i="42"/>
  <c r="ER58" i="42"/>
  <c r="DW59" i="42"/>
  <c r="EE59" i="42"/>
  <c r="CU59" i="42"/>
  <c r="EO59" i="42"/>
  <c r="EQ59" i="42" s="1"/>
  <c r="CY63" i="42"/>
  <c r="EE68" i="42"/>
  <c r="CU68" i="42"/>
  <c r="ED78" i="42"/>
  <c r="EX100" i="42"/>
  <c r="EM92" i="42"/>
  <c r="EL92" i="42"/>
  <c r="EA81" i="42"/>
  <c r="CU81" i="42"/>
  <c r="DH81" i="42"/>
  <c r="DW81" i="42"/>
  <c r="DD81" i="42"/>
  <c r="DF81" i="42" s="1"/>
  <c r="DG81" i="42" s="1"/>
  <c r="ER82" i="42"/>
  <c r="AP82" i="42"/>
  <c r="DA82" i="42"/>
  <c r="EO84" i="42"/>
  <c r="EQ84" i="42" s="1"/>
  <c r="EL84" i="42"/>
  <c r="CZ86" i="42"/>
  <c r="DA86" i="42"/>
  <c r="CY86" i="42"/>
  <c r="EH86" i="42"/>
  <c r="EK86" i="42" s="1"/>
  <c r="CX86" i="42"/>
  <c r="ER86" i="42"/>
  <c r="AP86" i="42"/>
  <c r="EO87" i="42"/>
  <c r="EQ87" i="42" s="1"/>
  <c r="EL87" i="42"/>
  <c r="EU100" i="42"/>
  <c r="DZ100" i="42"/>
  <c r="EA70" i="42"/>
  <c r="ER70" i="42"/>
  <c r="DF75" i="42"/>
  <c r="EO75" i="42"/>
  <c r="EQ75" i="42" s="1"/>
  <c r="EL75" i="42"/>
  <c r="AP76" i="42"/>
  <c r="EH76" i="42"/>
  <c r="EK76" i="42" s="1"/>
  <c r="EM76" i="42" s="1"/>
  <c r="DA76" i="42"/>
  <c r="EJ89" i="42"/>
  <c r="EP89" i="42" s="1"/>
  <c r="EQ89" i="42" s="1"/>
  <c r="DK89" i="42"/>
  <c r="EM94" i="42"/>
  <c r="EL94" i="42"/>
  <c r="ER99" i="42"/>
  <c r="CX99" i="42"/>
  <c r="CY99" i="42"/>
  <c r="CW99" i="42"/>
  <c r="EH99" i="42"/>
  <c r="EK99" i="42" s="1"/>
  <c r="EM99" i="42" s="1"/>
  <c r="AP99" i="42"/>
  <c r="CZ99" i="42"/>
  <c r="DA99" i="42"/>
  <c r="EM100" i="42"/>
  <c r="EL100" i="42"/>
  <c r="AP66" i="42"/>
  <c r="EK75" i="42"/>
  <c r="EM75" i="42" s="1"/>
  <c r="EE81" i="42"/>
  <c r="DZ90" i="42"/>
  <c r="EB90" i="42" s="1"/>
  <c r="ED90" i="42" s="1"/>
  <c r="EU90" i="42"/>
  <c r="ER66" i="42"/>
  <c r="ER76" i="42"/>
  <c r="EO81" i="42"/>
  <c r="CW82" i="42"/>
  <c r="CW86" i="42"/>
  <c r="EU88" i="42"/>
  <c r="DZ88" i="42"/>
  <c r="CU89" i="42"/>
  <c r="EW89" i="42" s="1"/>
  <c r="EZ89" i="42" s="1"/>
  <c r="FA89" i="42" s="1"/>
  <c r="EE89" i="42"/>
  <c r="DW89" i="42"/>
  <c r="EP91" i="42"/>
  <c r="EK91" i="42"/>
  <c r="T109" i="42"/>
  <c r="AP56" i="42"/>
  <c r="CW66" i="42"/>
  <c r="CW70" i="42"/>
  <c r="CW76" i="42"/>
  <c r="EH78" i="42"/>
  <c r="EK78" i="42" s="1"/>
  <c r="EM78" i="42" s="1"/>
  <c r="DA78" i="42"/>
  <c r="CY78" i="42"/>
  <c r="ER78" i="42"/>
  <c r="CX78" i="42"/>
  <c r="CW78" i="42"/>
  <c r="CY80" i="42"/>
  <c r="ER80" i="42"/>
  <c r="CX80" i="42"/>
  <c r="CW80" i="42"/>
  <c r="AP80" i="42"/>
  <c r="CY82" i="42"/>
  <c r="EQ91" i="42"/>
  <c r="EW95" i="42"/>
  <c r="EZ95" i="42" s="1"/>
  <c r="FA95" i="42" s="1"/>
  <c r="ER56" i="42"/>
  <c r="EW61" i="42"/>
  <c r="EZ61" i="42" s="1"/>
  <c r="FA61" i="42" s="1"/>
  <c r="DZ69" i="42"/>
  <c r="EB69" i="42" s="1"/>
  <c r="ED69" i="42" s="1"/>
  <c r="CX70" i="42"/>
  <c r="EH70" i="42"/>
  <c r="EK70" i="42" s="1"/>
  <c r="EO71" i="42"/>
  <c r="EA75" i="42"/>
  <c r="EB75" i="42" s="1"/>
  <c r="ED75" i="42" s="1"/>
  <c r="CU75" i="42"/>
  <c r="DH75" i="42"/>
  <c r="DW75" i="42"/>
  <c r="CX76" i="42"/>
  <c r="CZ82" i="42"/>
  <c r="EU84" i="42"/>
  <c r="DZ84" i="42"/>
  <c r="EB84" i="42" s="1"/>
  <c r="EJ88" i="42"/>
  <c r="EP88" i="42" s="1"/>
  <c r="EA89" i="42"/>
  <c r="DZ92" i="42"/>
  <c r="EU92" i="42"/>
  <c r="EX97" i="42"/>
  <c r="EQ106" i="42"/>
  <c r="EJ93" i="42"/>
  <c r="EP93" i="42" s="1"/>
  <c r="EQ93" i="42" s="1"/>
  <c r="DK93" i="42"/>
  <c r="EE104" i="42"/>
  <c r="DH104" i="42"/>
  <c r="EA104" i="42"/>
  <c r="DD104" i="42"/>
  <c r="DF104" i="42" s="1"/>
  <c r="DG104" i="42" s="1"/>
  <c r="CU104" i="42"/>
  <c r="EH106" i="42"/>
  <c r="EK106" i="42" s="1"/>
  <c r="DA106" i="42"/>
  <c r="CZ106" i="42"/>
  <c r="AP106" i="42"/>
  <c r="ER106" i="42"/>
  <c r="CY106" i="42"/>
  <c r="CX106" i="42"/>
  <c r="CW106" i="42"/>
  <c r="EA90" i="42"/>
  <c r="CU90" i="42"/>
  <c r="DD90" i="42"/>
  <c r="DF90" i="42" s="1"/>
  <c r="DH90" i="42"/>
  <c r="ER93" i="42"/>
  <c r="CX93" i="42"/>
  <c r="CY93" i="42"/>
  <c r="CW93" i="42"/>
  <c r="EH93" i="42"/>
  <c r="EK93" i="42" s="1"/>
  <c r="EM93" i="42" s="1"/>
  <c r="AP93" i="42"/>
  <c r="CZ93" i="42"/>
  <c r="EQ94" i="42"/>
  <c r="DS96" i="42"/>
  <c r="DT96" i="42" s="1"/>
  <c r="EQ100" i="42"/>
  <c r="V108" i="42"/>
  <c r="AH108" i="42"/>
  <c r="AZ108" i="42"/>
  <c r="BL108" i="42"/>
  <c r="BX108" i="42"/>
  <c r="CJ108" i="42"/>
  <c r="EJ81" i="42"/>
  <c r="EP81" i="42" s="1"/>
  <c r="EU94" i="42"/>
  <c r="DZ94" i="42"/>
  <c r="DG96" i="42"/>
  <c r="EM97" i="42"/>
  <c r="EL97" i="42"/>
  <c r="AP103" i="42"/>
  <c r="EH103" i="42"/>
  <c r="EK103" i="42" s="1"/>
  <c r="DA103" i="42"/>
  <c r="CZ103" i="42"/>
  <c r="CX103" i="42"/>
  <c r="CW103" i="42"/>
  <c r="CY103" i="42"/>
  <c r="W108" i="42"/>
  <c r="AI108" i="42"/>
  <c r="BA108" i="42"/>
  <c r="BA109" i="42"/>
  <c r="BM108" i="42"/>
  <c r="BY108" i="42"/>
  <c r="BY109" i="42"/>
  <c r="CK109" i="42"/>
  <c r="DL78" i="42"/>
  <c r="AP85" i="42"/>
  <c r="DW90" i="42"/>
  <c r="EX94" i="42"/>
  <c r="EJ95" i="42"/>
  <c r="EP95" i="42" s="1"/>
  <c r="EQ95" i="42" s="1"/>
  <c r="DK95" i="42"/>
  <c r="EJ101" i="42"/>
  <c r="EP101" i="42" s="1"/>
  <c r="DK101" i="42"/>
  <c r="AJ108" i="42"/>
  <c r="BB108" i="42"/>
  <c r="BB109" i="42"/>
  <c r="BN108" i="42"/>
  <c r="BZ108" i="42"/>
  <c r="BZ109" i="42"/>
  <c r="CL108" i="42"/>
  <c r="CL109" i="42"/>
  <c r="EW77" i="42"/>
  <c r="EZ77" i="42" s="1"/>
  <c r="FA77" i="42" s="1"/>
  <c r="AP83" i="42"/>
  <c r="DA93" i="42"/>
  <c r="EJ96" i="42"/>
  <c r="EP96" i="42" s="1"/>
  <c r="EQ96" i="42" s="1"/>
  <c r="DK96" i="42"/>
  <c r="DM96" i="42" s="1"/>
  <c r="DN96" i="42" s="1"/>
  <c r="EW96" i="42"/>
  <c r="EZ96" i="42" s="1"/>
  <c r="FA96" i="42" s="1"/>
  <c r="Y108" i="42"/>
  <c r="BM109" i="42"/>
  <c r="CW85" i="42"/>
  <c r="EE90" i="42"/>
  <c r="DK91" i="42"/>
  <c r="EA96" i="42"/>
  <c r="CU96" i="42"/>
  <c r="EE96" i="42"/>
  <c r="ER83" i="42"/>
  <c r="CX85" i="42"/>
  <c r="EX87" i="42"/>
  <c r="EX88" i="42"/>
  <c r="EO90" i="42"/>
  <c r="EQ90" i="42" s="1"/>
  <c r="EQ92" i="42"/>
  <c r="CU95" i="42"/>
  <c r="DW96" i="42"/>
  <c r="EO102" i="42"/>
  <c r="EQ102" i="42" s="1"/>
  <c r="EL102" i="42"/>
  <c r="EP105" i="42"/>
  <c r="EK105" i="42"/>
  <c r="EM105" i="42" s="1"/>
  <c r="EO105" i="42"/>
  <c r="EQ105" i="42" s="1"/>
  <c r="CD108" i="42"/>
  <c r="CW83" i="42"/>
  <c r="CY85" i="42"/>
  <c r="EU87" i="42"/>
  <c r="DZ87" i="42"/>
  <c r="EK90" i="42"/>
  <c r="EM90" i="42" s="1"/>
  <c r="EJ98" i="42"/>
  <c r="EP98" i="42" s="1"/>
  <c r="EQ98" i="42" s="1"/>
  <c r="DK98" i="42"/>
  <c r="ER103" i="42"/>
  <c r="DW104" i="42"/>
  <c r="AU108" i="42"/>
  <c r="CE108" i="42"/>
  <c r="CX91" i="42"/>
  <c r="DD95" i="42"/>
  <c r="DF95" i="42" s="1"/>
  <c r="DG95" i="42" s="1"/>
  <c r="DD98" i="42"/>
  <c r="DF98" i="42" s="1"/>
  <c r="DG98" i="42" s="1"/>
  <c r="DD101" i="42"/>
  <c r="DF101" i="42" s="1"/>
  <c r="DG101" i="42" s="1"/>
  <c r="U108" i="42"/>
  <c r="AG108" i="42"/>
  <c r="DY107" i="42"/>
  <c r="M109" i="42"/>
  <c r="Y109" i="42"/>
  <c r="AK109" i="42"/>
  <c r="BC108" i="42"/>
  <c r="BC109" i="42"/>
  <c r="BO108" i="42"/>
  <c r="BO109" i="42"/>
  <c r="CA108" i="42"/>
  <c r="CA109" i="42"/>
  <c r="CM108" i="42"/>
  <c r="CM109" i="42"/>
  <c r="AK108" i="42"/>
  <c r="EK101" i="42"/>
  <c r="EM101" i="42" s="1"/>
  <c r="N109" i="42"/>
  <c r="Z109" i="42"/>
  <c r="AL109" i="42"/>
  <c r="AL108" i="42"/>
  <c r="O109" i="42"/>
  <c r="AA109" i="42"/>
  <c r="AM109" i="42"/>
  <c r="AM108" i="42"/>
  <c r="AP91" i="42"/>
  <c r="CZ91" i="42"/>
  <c r="DL92" i="42"/>
  <c r="CU98" i="42"/>
  <c r="DL101" i="42"/>
  <c r="EK102" i="42"/>
  <c r="EM102" i="42" s="1"/>
  <c r="EK104" i="42"/>
  <c r="ER105" i="42"/>
  <c r="CX105" i="42"/>
  <c r="CW105" i="42"/>
  <c r="P109" i="42"/>
  <c r="AB109" i="42"/>
  <c r="BF109" i="42"/>
  <c r="BR109" i="42"/>
  <c r="CD109" i="42"/>
  <c r="CP109" i="42"/>
  <c r="ER91" i="42"/>
  <c r="DK99" i="42"/>
  <c r="EL101" i="42"/>
  <c r="Q109" i="42"/>
  <c r="AC109" i="42"/>
  <c r="AU109" i="42"/>
  <c r="BG109" i="42"/>
  <c r="BS109" i="42"/>
  <c r="CE109" i="42"/>
  <c r="CQ109" i="42"/>
  <c r="M108" i="42"/>
  <c r="EJ103" i="42"/>
  <c r="EP103" i="42" s="1"/>
  <c r="EQ103" i="42" s="1"/>
  <c r="DK104" i="42"/>
  <c r="AP105" i="42"/>
  <c r="EX105" i="42"/>
  <c r="R109" i="42"/>
  <c r="R108" i="42"/>
  <c r="AD109" i="42"/>
  <c r="AD108" i="42"/>
  <c r="AV109" i="42"/>
  <c r="AV108" i="42"/>
  <c r="BH109" i="42"/>
  <c r="BH108" i="42"/>
  <c r="BT109" i="42"/>
  <c r="BT108" i="42"/>
  <c r="CF109" i="42"/>
  <c r="CF108" i="42"/>
  <c r="CR109" i="42"/>
  <c r="CR108" i="42"/>
  <c r="N108" i="42"/>
  <c r="CZ94" i="42"/>
  <c r="AP94" i="42"/>
  <c r="AP97" i="42"/>
  <c r="CZ97" i="42"/>
  <c r="CZ100" i="42"/>
  <c r="AP100" i="42"/>
  <c r="DL104" i="42"/>
  <c r="S109" i="42"/>
  <c r="S108" i="42"/>
  <c r="AE109" i="42"/>
  <c r="AE108" i="42"/>
  <c r="AW109" i="42"/>
  <c r="AW108" i="42"/>
  <c r="BI109" i="42"/>
  <c r="BI108" i="42"/>
  <c r="BU109" i="42"/>
  <c r="BU108" i="42"/>
  <c r="CG109" i="42"/>
  <c r="CG108" i="42"/>
  <c r="O108" i="42"/>
  <c r="BF108" i="42"/>
  <c r="CP108" i="42"/>
  <c r="DL89" i="42"/>
  <c r="CW91" i="42"/>
  <c r="EX93" i="42"/>
  <c r="DK97" i="42"/>
  <c r="EX99" i="42"/>
  <c r="CY105" i="42"/>
  <c r="T108" i="42"/>
  <c r="AF108" i="42"/>
  <c r="AX109" i="42"/>
  <c r="BJ109" i="42"/>
  <c r="BV109" i="42"/>
  <c r="CH109" i="42"/>
  <c r="BG108" i="42"/>
  <c r="CQ108" i="42"/>
  <c r="CX92" i="42"/>
  <c r="CX98" i="42"/>
  <c r="ER98" i="42"/>
  <c r="CX104" i="42"/>
  <c r="ER104" i="42"/>
  <c r="Q108" i="42"/>
  <c r="AC108" i="42"/>
  <c r="X109" i="42"/>
  <c r="AJ109" i="42"/>
  <c r="CY104" i="42"/>
  <c r="DK105" i="42"/>
  <c r="BD109" i="42"/>
  <c r="BP109" i="42"/>
  <c r="CB109" i="42"/>
  <c r="CN109" i="42"/>
  <c r="AX108" i="42"/>
  <c r="BJ108" i="42"/>
  <c r="BV108" i="42"/>
  <c r="CH108" i="42"/>
  <c r="BE109" i="42"/>
  <c r="BQ109" i="42"/>
  <c r="CC109" i="42"/>
  <c r="CO109" i="42"/>
  <c r="CX95" i="42"/>
  <c r="CX101" i="42"/>
  <c r="K65" i="28"/>
  <c r="I65" i="28"/>
  <c r="DD47" i="44" l="1"/>
  <c r="DF47" i="44" s="1"/>
  <c r="EA47" i="44"/>
  <c r="DW47" i="44"/>
  <c r="EE47" i="44"/>
  <c r="CU47" i="44"/>
  <c r="DH47" i="44"/>
  <c r="EU106" i="44"/>
  <c r="DZ106" i="44"/>
  <c r="EU55" i="44"/>
  <c r="DZ55" i="44"/>
  <c r="EB55" i="44" s="1"/>
  <c r="ED55" i="44" s="1"/>
  <c r="DG73" i="44"/>
  <c r="DL73" i="44"/>
  <c r="EV93" i="44"/>
  <c r="DB93" i="44"/>
  <c r="EW93" i="44"/>
  <c r="EZ93" i="44" s="1"/>
  <c r="FA93" i="44" s="1"/>
  <c r="CL108" i="44"/>
  <c r="EL100" i="44"/>
  <c r="EE106" i="44"/>
  <c r="DW106" i="44"/>
  <c r="DD106" i="44"/>
  <c r="DF106" i="44" s="1"/>
  <c r="EA106" i="44"/>
  <c r="CU106" i="44"/>
  <c r="DH106" i="44"/>
  <c r="EL77" i="44"/>
  <c r="DH90" i="44"/>
  <c r="EA90" i="44"/>
  <c r="DD90" i="44"/>
  <c r="DF90" i="44" s="1"/>
  <c r="DW90" i="44"/>
  <c r="EE90" i="44"/>
  <c r="CU90" i="44"/>
  <c r="EV94" i="44"/>
  <c r="DB94" i="44"/>
  <c r="EV88" i="44"/>
  <c r="DB88" i="44"/>
  <c r="S108" i="44"/>
  <c r="DS75" i="44"/>
  <c r="DT75" i="44" s="1"/>
  <c r="DM75" i="44"/>
  <c r="DN75" i="44" s="1"/>
  <c r="DS94" i="44"/>
  <c r="DT94" i="44" s="1"/>
  <c r="DM94" i="44"/>
  <c r="DL57" i="44"/>
  <c r="DL71" i="44"/>
  <c r="DG71" i="44"/>
  <c r="DB68" i="44"/>
  <c r="EV68" i="44"/>
  <c r="EM99" i="44"/>
  <c r="EL99" i="44"/>
  <c r="DG49" i="44"/>
  <c r="DL49" i="44"/>
  <c r="EW68" i="44"/>
  <c r="EZ68" i="44" s="1"/>
  <c r="FA68" i="44" s="1"/>
  <c r="DZ16" i="44"/>
  <c r="EB16" i="44" s="1"/>
  <c r="ED16" i="44" s="1"/>
  <c r="EU16" i="44"/>
  <c r="DZ31" i="44"/>
  <c r="EU31" i="44"/>
  <c r="EA42" i="44"/>
  <c r="DH42" i="44"/>
  <c r="DW42" i="44"/>
  <c r="CU42" i="44"/>
  <c r="EE42" i="44"/>
  <c r="DD42" i="44"/>
  <c r="DF42" i="44" s="1"/>
  <c r="DZ25" i="44"/>
  <c r="EB25" i="44" s="1"/>
  <c r="ED25" i="44" s="1"/>
  <c r="EU25" i="44"/>
  <c r="EZ15" i="44"/>
  <c r="FA15" i="44" s="1"/>
  <c r="DL69" i="44"/>
  <c r="DG13" i="44"/>
  <c r="DL13" i="44"/>
  <c r="EL50" i="44"/>
  <c r="DB21" i="44"/>
  <c r="EW21" i="44"/>
  <c r="EZ21" i="44" s="1"/>
  <c r="FA21" i="44" s="1"/>
  <c r="EV21" i="44"/>
  <c r="EV35" i="44"/>
  <c r="DB35" i="44"/>
  <c r="EQ16" i="44"/>
  <c r="EV9" i="44"/>
  <c r="DB9" i="44"/>
  <c r="EV29" i="44"/>
  <c r="DB29" i="44"/>
  <c r="DB46" i="44"/>
  <c r="EV46" i="44"/>
  <c r="DZ6" i="44"/>
  <c r="EB6" i="44" s="1"/>
  <c r="ED6" i="44" s="1"/>
  <c r="EU6" i="44"/>
  <c r="EL59" i="44"/>
  <c r="EM59" i="44"/>
  <c r="ER107" i="44"/>
  <c r="DZ22" i="44"/>
  <c r="EU22" i="44"/>
  <c r="BZ108" i="44"/>
  <c r="CK108" i="44"/>
  <c r="AZ108" i="44"/>
  <c r="EB94" i="44"/>
  <c r="ED94" i="44" s="1"/>
  <c r="EL88" i="44"/>
  <c r="EM88" i="44"/>
  <c r="EW88" i="44"/>
  <c r="EZ88" i="44" s="1"/>
  <c r="FA88" i="44" s="1"/>
  <c r="DH83" i="44"/>
  <c r="EE83" i="44"/>
  <c r="DD83" i="44"/>
  <c r="DF83" i="44" s="1"/>
  <c r="EA83" i="44"/>
  <c r="CU83" i="44"/>
  <c r="DW83" i="44"/>
  <c r="EK70" i="44"/>
  <c r="EB71" i="44"/>
  <c r="ED71" i="44" s="1"/>
  <c r="DL91" i="44"/>
  <c r="DG91" i="44"/>
  <c r="DL48" i="44"/>
  <c r="EL69" i="44"/>
  <c r="EU73" i="44"/>
  <c r="DZ73" i="44"/>
  <c r="EB73" i="44" s="1"/>
  <c r="ED73" i="44" s="1"/>
  <c r="DB52" i="44"/>
  <c r="EV52" i="44"/>
  <c r="EL79" i="44"/>
  <c r="EU52" i="44"/>
  <c r="DZ52" i="44"/>
  <c r="EB52" i="44" s="1"/>
  <c r="ED52" i="44" s="1"/>
  <c r="EU59" i="44"/>
  <c r="DZ59" i="44"/>
  <c r="EB59" i="44" s="1"/>
  <c r="ED59" i="44" s="1"/>
  <c r="DD72" i="44"/>
  <c r="DF72" i="44" s="1"/>
  <c r="DW72" i="44"/>
  <c r="CU72" i="44"/>
  <c r="DH72" i="44"/>
  <c r="EA72" i="44"/>
  <c r="EE72" i="44"/>
  <c r="DZ102" i="44"/>
  <c r="EU102" i="44"/>
  <c r="EK14" i="44"/>
  <c r="EL33" i="44"/>
  <c r="DL18" i="44"/>
  <c r="DG18" i="44"/>
  <c r="EB28" i="44"/>
  <c r="ED28" i="44" s="1"/>
  <c r="EM8" i="44"/>
  <c r="EL8" i="44"/>
  <c r="DB13" i="44"/>
  <c r="EV13" i="44"/>
  <c r="DG29" i="44"/>
  <c r="DL29" i="44"/>
  <c r="EV65" i="44"/>
  <c r="DB65" i="44"/>
  <c r="EE53" i="44"/>
  <c r="CU53" i="44"/>
  <c r="EA53" i="44"/>
  <c r="DH53" i="44"/>
  <c r="DW53" i="44"/>
  <c r="DD53" i="44"/>
  <c r="DF53" i="44" s="1"/>
  <c r="EM93" i="44"/>
  <c r="EL93" i="44"/>
  <c r="EA50" i="44"/>
  <c r="EB50" i="44" s="1"/>
  <c r="ED50" i="44" s="1"/>
  <c r="DH50" i="44"/>
  <c r="DD50" i="44"/>
  <c r="DF50" i="44" s="1"/>
  <c r="DW50" i="44"/>
  <c r="CU50" i="44"/>
  <c r="EE50" i="44"/>
  <c r="EL35" i="44"/>
  <c r="EM35" i="44"/>
  <c r="EE23" i="44"/>
  <c r="EA23" i="44"/>
  <c r="DH23" i="44"/>
  <c r="CU23" i="44"/>
  <c r="DD23" i="44"/>
  <c r="DF23" i="44" s="1"/>
  <c r="DW23" i="44"/>
  <c r="EA81" i="44"/>
  <c r="CU81" i="44"/>
  <c r="DW81" i="44"/>
  <c r="DD81" i="44"/>
  <c r="DF81" i="44" s="1"/>
  <c r="DH81" i="44"/>
  <c r="EE81" i="44"/>
  <c r="DL61" i="44"/>
  <c r="EE24" i="44"/>
  <c r="CU24" i="44"/>
  <c r="DW24" i="44"/>
  <c r="DH24" i="44"/>
  <c r="DD24" i="44"/>
  <c r="DF24" i="44" s="1"/>
  <c r="EA24" i="44"/>
  <c r="EM37" i="44"/>
  <c r="EL37" i="44"/>
  <c r="BN108" i="44"/>
  <c r="BY108" i="44"/>
  <c r="AH108" i="44"/>
  <c r="CQ108" i="44"/>
  <c r="AU108" i="44"/>
  <c r="DG104" i="44"/>
  <c r="DL104" i="44"/>
  <c r="CM108" i="44"/>
  <c r="EK86" i="44"/>
  <c r="EM73" i="44"/>
  <c r="EL73" i="44"/>
  <c r="AD108" i="44"/>
  <c r="DS85" i="44"/>
  <c r="DT85" i="44" s="1"/>
  <c r="DM85" i="44"/>
  <c r="DW70" i="44"/>
  <c r="EE70" i="44"/>
  <c r="CU70" i="44"/>
  <c r="EA70" i="44"/>
  <c r="DH70" i="44"/>
  <c r="DD70" i="44"/>
  <c r="DF70" i="44" s="1"/>
  <c r="EK67" i="44"/>
  <c r="DW92" i="44"/>
  <c r="DD92" i="44"/>
  <c r="DF92" i="44" s="1"/>
  <c r="CU92" i="44"/>
  <c r="DH92" i="44"/>
  <c r="EE92" i="44"/>
  <c r="EA92" i="44"/>
  <c r="EB92" i="44" s="1"/>
  <c r="ED92" i="44" s="1"/>
  <c r="EU67" i="44"/>
  <c r="DZ67" i="44"/>
  <c r="EB67" i="44" s="1"/>
  <c r="ED67" i="44" s="1"/>
  <c r="EU79" i="44"/>
  <c r="DZ79" i="44"/>
  <c r="EB42" i="44"/>
  <c r="ED42" i="44" s="1"/>
  <c r="DS86" i="44"/>
  <c r="DT86" i="44" s="1"/>
  <c r="DM86" i="44"/>
  <c r="DN86" i="44" s="1"/>
  <c r="EK46" i="44"/>
  <c r="EQ79" i="44"/>
  <c r="EL20" i="44"/>
  <c r="EV26" i="44"/>
  <c r="DB26" i="44"/>
  <c r="EW26" i="44"/>
  <c r="EZ26" i="44" s="1"/>
  <c r="FA26" i="44" s="1"/>
  <c r="EZ40" i="44"/>
  <c r="FA40" i="44" s="1"/>
  <c r="EK24" i="44"/>
  <c r="EE14" i="44"/>
  <c r="CU14" i="44"/>
  <c r="DH14" i="44"/>
  <c r="DD14" i="44"/>
  <c r="DF14" i="44" s="1"/>
  <c r="DW14" i="44"/>
  <c r="EA14" i="44"/>
  <c r="DV11" i="44"/>
  <c r="DL59" i="44"/>
  <c r="DG59" i="44"/>
  <c r="DZ41" i="44"/>
  <c r="EB41" i="44" s="1"/>
  <c r="ED41" i="44" s="1"/>
  <c r="EU41" i="44"/>
  <c r="EM47" i="44"/>
  <c r="EL47" i="44"/>
  <c r="EU7" i="44"/>
  <c r="DZ7" i="44"/>
  <c r="DG16" i="44"/>
  <c r="DL16" i="44"/>
  <c r="EB72" i="44"/>
  <c r="ED72" i="44" s="1"/>
  <c r="EK30" i="44"/>
  <c r="DB69" i="44"/>
  <c r="EV69" i="44"/>
  <c r="EW69" i="44"/>
  <c r="EZ69" i="44" s="1"/>
  <c r="FA69" i="44" s="1"/>
  <c r="EM105" i="44"/>
  <c r="EL105" i="44"/>
  <c r="EB74" i="44"/>
  <c r="ED74" i="44" s="1"/>
  <c r="EB90" i="44"/>
  <c r="ED90" i="44" s="1"/>
  <c r="EM54" i="44"/>
  <c r="EL54" i="44"/>
  <c r="EM25" i="44"/>
  <c r="EL25" i="44"/>
  <c r="DS26" i="44"/>
  <c r="DT26" i="44" s="1"/>
  <c r="DM26" i="44"/>
  <c r="DN26" i="44" s="1"/>
  <c r="DS11" i="44"/>
  <c r="DT11" i="44" s="1"/>
  <c r="DM11" i="44"/>
  <c r="DN11" i="44" s="1"/>
  <c r="DL105" i="44"/>
  <c r="DG105" i="44"/>
  <c r="DS68" i="44"/>
  <c r="DT68" i="44" s="1"/>
  <c r="DM68" i="44"/>
  <c r="DN68" i="44" s="1"/>
  <c r="DD99" i="44"/>
  <c r="DF99" i="44" s="1"/>
  <c r="EE99" i="44"/>
  <c r="DH99" i="44"/>
  <c r="CU99" i="44"/>
  <c r="EA99" i="44"/>
  <c r="EB99" i="44" s="1"/>
  <c r="ED99" i="44" s="1"/>
  <c r="DW99" i="44"/>
  <c r="EU70" i="44"/>
  <c r="DZ70" i="44"/>
  <c r="EB70" i="44" s="1"/>
  <c r="ED70" i="44" s="1"/>
  <c r="DH32" i="44"/>
  <c r="DW32" i="44"/>
  <c r="EE32" i="44"/>
  <c r="EA32" i="44"/>
  <c r="DD32" i="44"/>
  <c r="DF32" i="44" s="1"/>
  <c r="CU32" i="44"/>
  <c r="EM89" i="44"/>
  <c r="EL89" i="44"/>
  <c r="EE74" i="44"/>
  <c r="EA74" i="44"/>
  <c r="DH74" i="44"/>
  <c r="DD74" i="44"/>
  <c r="DF74" i="44" s="1"/>
  <c r="DW74" i="44"/>
  <c r="CU74" i="44"/>
  <c r="EV75" i="44"/>
  <c r="EW75" i="44"/>
  <c r="EZ75" i="44" s="1"/>
  <c r="FA75" i="44" s="1"/>
  <c r="DB75" i="44"/>
  <c r="EE58" i="44"/>
  <c r="DD58" i="44"/>
  <c r="DF58" i="44" s="1"/>
  <c r="DW58" i="44"/>
  <c r="CU58" i="44"/>
  <c r="EA58" i="44"/>
  <c r="DH58" i="44"/>
  <c r="DG33" i="44"/>
  <c r="DL33" i="44"/>
  <c r="EU68" i="44"/>
  <c r="DZ68" i="44"/>
  <c r="EB68" i="44" s="1"/>
  <c r="ED68" i="44" s="1"/>
  <c r="DH76" i="44"/>
  <c r="EE76" i="44"/>
  <c r="EA76" i="44"/>
  <c r="EB76" i="44" s="1"/>
  <c r="ED76" i="44" s="1"/>
  <c r="DD76" i="44"/>
  <c r="DF76" i="44" s="1"/>
  <c r="DW76" i="44"/>
  <c r="CU76" i="44"/>
  <c r="DM30" i="44"/>
  <c r="DN30" i="44" s="1"/>
  <c r="DS30" i="44"/>
  <c r="DT30" i="44" s="1"/>
  <c r="EU24" i="44"/>
  <c r="DZ24" i="44"/>
  <c r="EM41" i="44"/>
  <c r="EL41" i="44"/>
  <c r="EV86" i="44"/>
  <c r="DB86" i="44"/>
  <c r="EW86" i="44"/>
  <c r="EZ86" i="44" s="1"/>
  <c r="FA86" i="44" s="1"/>
  <c r="EM90" i="44"/>
  <c r="EL90" i="44"/>
  <c r="EM81" i="44"/>
  <c r="EL81" i="44"/>
  <c r="EE64" i="44"/>
  <c r="CU64" i="44"/>
  <c r="EA64" i="44"/>
  <c r="DH64" i="44"/>
  <c r="DD64" i="44"/>
  <c r="DF64" i="44" s="1"/>
  <c r="DW64" i="44"/>
  <c r="EU64" i="44"/>
  <c r="DZ64" i="44"/>
  <c r="EB64" i="44" s="1"/>
  <c r="ED64" i="44" s="1"/>
  <c r="EB56" i="44"/>
  <c r="ED56" i="44" s="1"/>
  <c r="EU63" i="44"/>
  <c r="DZ63" i="44"/>
  <c r="EB63" i="44" s="1"/>
  <c r="ED63" i="44" s="1"/>
  <c r="EU44" i="44"/>
  <c r="DZ44" i="44"/>
  <c r="DS63" i="44"/>
  <c r="DT63" i="44" s="1"/>
  <c r="DM63" i="44"/>
  <c r="DN63" i="44" s="1"/>
  <c r="EM76" i="44"/>
  <c r="EL76" i="44"/>
  <c r="EB9" i="44"/>
  <c r="ED9" i="44" s="1"/>
  <c r="EB8" i="44"/>
  <c r="ED8" i="44" s="1"/>
  <c r="DL27" i="44"/>
  <c r="DG27" i="44"/>
  <c r="EU14" i="44"/>
  <c r="DZ14" i="44"/>
  <c r="EE7" i="44"/>
  <c r="CU7" i="44"/>
  <c r="DW7" i="44"/>
  <c r="DH7" i="44"/>
  <c r="DD7" i="44"/>
  <c r="DF7" i="44" s="1"/>
  <c r="EA7" i="44"/>
  <c r="DV30" i="44"/>
  <c r="DB60" i="44"/>
  <c r="EV60" i="44"/>
  <c r="DD28" i="44"/>
  <c r="DF28" i="44" s="1"/>
  <c r="CU28" i="44"/>
  <c r="EA28" i="44"/>
  <c r="DW28" i="44"/>
  <c r="DH28" i="44"/>
  <c r="EE28" i="44"/>
  <c r="DB10" i="44"/>
  <c r="EW10" i="44"/>
  <c r="EZ10" i="44" s="1"/>
  <c r="FA10" i="44" s="1"/>
  <c r="EV10" i="44"/>
  <c r="DM45" i="44"/>
  <c r="DS45" i="44"/>
  <c r="DT45" i="44" s="1"/>
  <c r="EL34" i="44"/>
  <c r="EV57" i="44"/>
  <c r="DB57" i="44"/>
  <c r="EW57" i="44"/>
  <c r="EZ57" i="44" s="1"/>
  <c r="FA57" i="44" s="1"/>
  <c r="EK106" i="44"/>
  <c r="BB108" i="44"/>
  <c r="BM108" i="44"/>
  <c r="V108" i="44"/>
  <c r="CI108" i="44"/>
  <c r="BR108" i="44"/>
  <c r="CA108" i="44"/>
  <c r="EU95" i="44"/>
  <c r="DZ95" i="44"/>
  <c r="EB95" i="44" s="1"/>
  <c r="ED95" i="44" s="1"/>
  <c r="AV108" i="44"/>
  <c r="DM88" i="44"/>
  <c r="DS88" i="44"/>
  <c r="DT88" i="44" s="1"/>
  <c r="DB85" i="44"/>
  <c r="EV85" i="44"/>
  <c r="DH96" i="44"/>
  <c r="DW96" i="44"/>
  <c r="EA96" i="44"/>
  <c r="DD96" i="44"/>
  <c r="DF96" i="44" s="1"/>
  <c r="EE96" i="44"/>
  <c r="CU96" i="44"/>
  <c r="EE95" i="44"/>
  <c r="EA95" i="44"/>
  <c r="CU95" i="44"/>
  <c r="DH95" i="44"/>
  <c r="DW95" i="44"/>
  <c r="DD95" i="44"/>
  <c r="DF95" i="44" s="1"/>
  <c r="EU81" i="44"/>
  <c r="DZ81" i="44"/>
  <c r="EB81" i="44" s="1"/>
  <c r="ED81" i="44" s="1"/>
  <c r="EL55" i="44"/>
  <c r="EM55" i="44"/>
  <c r="EL91" i="44"/>
  <c r="EK58" i="44"/>
  <c r="DV68" i="44"/>
  <c r="EA39" i="44"/>
  <c r="EB39" i="44" s="1"/>
  <c r="ED39" i="44" s="1"/>
  <c r="DH39" i="44"/>
  <c r="DD39" i="44"/>
  <c r="DF39" i="44" s="1"/>
  <c r="EE39" i="44"/>
  <c r="CU39" i="44"/>
  <c r="DW39" i="44"/>
  <c r="DD34" i="44"/>
  <c r="DF34" i="44" s="1"/>
  <c r="EE34" i="44"/>
  <c r="CU34" i="44"/>
  <c r="EA34" i="44"/>
  <c r="EB34" i="44" s="1"/>
  <c r="ED34" i="44" s="1"/>
  <c r="DW34" i="44"/>
  <c r="DH34" i="44"/>
  <c r="EV55" i="44"/>
  <c r="DB55" i="44"/>
  <c r="EV11" i="44"/>
  <c r="DB11" i="44"/>
  <c r="CU5" i="44"/>
  <c r="EA5" i="44"/>
  <c r="DH5" i="44"/>
  <c r="DW5" i="44"/>
  <c r="EE5" i="44"/>
  <c r="DD5" i="44"/>
  <c r="DS40" i="44"/>
  <c r="DT40" i="44" s="1"/>
  <c r="DM40" i="44"/>
  <c r="EL26" i="44"/>
  <c r="EV16" i="44"/>
  <c r="DB16" i="44"/>
  <c r="EW16" i="44"/>
  <c r="EZ16" i="44" s="1"/>
  <c r="FA16" i="44" s="1"/>
  <c r="DB97" i="44"/>
  <c r="EW97" i="44"/>
  <c r="EZ97" i="44" s="1"/>
  <c r="FA97" i="44" s="1"/>
  <c r="EV97" i="44"/>
  <c r="EU47" i="44"/>
  <c r="DZ47" i="44"/>
  <c r="EB47" i="44" s="1"/>
  <c r="ED47" i="44" s="1"/>
  <c r="DL6" i="44"/>
  <c r="EV8" i="44"/>
  <c r="DB8" i="44"/>
  <c r="EW8" i="44"/>
  <c r="EZ8" i="44" s="1"/>
  <c r="FA8" i="44" s="1"/>
  <c r="DZ96" i="44"/>
  <c r="EU96" i="44"/>
  <c r="DL46" i="44"/>
  <c r="DG46" i="44"/>
  <c r="EM5" i="44"/>
  <c r="EH107" i="44"/>
  <c r="EB101" i="44"/>
  <c r="ED101" i="44" s="1"/>
  <c r="EV89" i="44"/>
  <c r="DB89" i="44"/>
  <c r="EM80" i="44"/>
  <c r="EL80" i="44"/>
  <c r="EA31" i="44"/>
  <c r="CU31" i="44"/>
  <c r="DH31" i="44"/>
  <c r="DD31" i="44"/>
  <c r="DF31" i="44" s="1"/>
  <c r="EE31" i="44"/>
  <c r="DW31" i="44"/>
  <c r="EU11" i="44"/>
  <c r="DZ11" i="44"/>
  <c r="EB11" i="44" s="1"/>
  <c r="ED11" i="44" s="1"/>
  <c r="DB104" i="44"/>
  <c r="EV104" i="44"/>
  <c r="EU65" i="44"/>
  <c r="DZ65" i="44"/>
  <c r="EB65" i="44" s="1"/>
  <c r="ED65" i="44" s="1"/>
  <c r="AB108" i="44"/>
  <c r="AJ108" i="44"/>
  <c r="BA108" i="44"/>
  <c r="BW108" i="44"/>
  <c r="EK102" i="44"/>
  <c r="BO108" i="44"/>
  <c r="CR108" i="44"/>
  <c r="EL87" i="44"/>
  <c r="EM87" i="44"/>
  <c r="DM89" i="44"/>
  <c r="DS89" i="44"/>
  <c r="DT89" i="44" s="1"/>
  <c r="DL103" i="44"/>
  <c r="EM85" i="44"/>
  <c r="EL85" i="44"/>
  <c r="DM54" i="44"/>
  <c r="DN54" i="44" s="1"/>
  <c r="DS54" i="44"/>
  <c r="DT54" i="44" s="1"/>
  <c r="EE100" i="44"/>
  <c r="DW100" i="44"/>
  <c r="DD100" i="44"/>
  <c r="DF100" i="44" s="1"/>
  <c r="EA100" i="44"/>
  <c r="CU100" i="44"/>
  <c r="DH100" i="44"/>
  <c r="EB83" i="44"/>
  <c r="ED83" i="44" s="1"/>
  <c r="DG41" i="44"/>
  <c r="DL41" i="44"/>
  <c r="EK68" i="44"/>
  <c r="DB49" i="44"/>
  <c r="EV49" i="44"/>
  <c r="EW49" i="44"/>
  <c r="EZ49" i="44" s="1"/>
  <c r="FA49" i="44" s="1"/>
  <c r="AP107" i="44"/>
  <c r="DA107" i="44"/>
  <c r="CZ107" i="44"/>
  <c r="CY107" i="44"/>
  <c r="CO109" i="44"/>
  <c r="BQ109" i="44"/>
  <c r="AL109" i="44"/>
  <c r="N109" i="44"/>
  <c r="CN109" i="44"/>
  <c r="BP109" i="44"/>
  <c r="AK109" i="44"/>
  <c r="M109" i="44"/>
  <c r="CM109" i="44"/>
  <c r="BO109" i="44"/>
  <c r="CK109" i="44"/>
  <c r="BM109" i="44"/>
  <c r="CX107" i="44"/>
  <c r="CJ109" i="44"/>
  <c r="BL109" i="44"/>
  <c r="AG109" i="44"/>
  <c r="CW107" i="44"/>
  <c r="BC109" i="44"/>
  <c r="BA109" i="44"/>
  <c r="CI109" i="44"/>
  <c r="AZ109" i="44"/>
  <c r="CB109" i="44"/>
  <c r="AF109" i="44"/>
  <c r="BW109" i="44"/>
  <c r="BK109" i="44"/>
  <c r="BE109" i="44"/>
  <c r="BD109" i="44"/>
  <c r="AY109" i="44"/>
  <c r="CC109" i="44"/>
  <c r="V109" i="44"/>
  <c r="CA109" i="44"/>
  <c r="BY109" i="44"/>
  <c r="BX109" i="44"/>
  <c r="Z109" i="44"/>
  <c r="Y109" i="44"/>
  <c r="U109" i="44"/>
  <c r="X109" i="44"/>
  <c r="T109" i="44"/>
  <c r="DS21" i="44"/>
  <c r="DT21" i="44" s="1"/>
  <c r="DM21" i="44"/>
  <c r="DN21" i="44" s="1"/>
  <c r="EA38" i="44"/>
  <c r="EB38" i="44" s="1"/>
  <c r="ED38" i="44" s="1"/>
  <c r="CU38" i="44"/>
  <c r="DH38" i="44"/>
  <c r="DD38" i="44"/>
  <c r="DF38" i="44" s="1"/>
  <c r="EE38" i="44"/>
  <c r="DW38" i="44"/>
  <c r="DB59" i="44"/>
  <c r="EV59" i="44"/>
  <c r="DW20" i="44"/>
  <c r="DD20" i="44"/>
  <c r="DF20" i="44" s="1"/>
  <c r="CU20" i="44"/>
  <c r="EA20" i="44"/>
  <c r="EB20" i="44" s="1"/>
  <c r="ED20" i="44" s="1"/>
  <c r="EE20" i="44"/>
  <c r="DH20" i="44"/>
  <c r="EL31" i="44"/>
  <c r="EL13" i="44"/>
  <c r="EQ30" i="44"/>
  <c r="DV55" i="44"/>
  <c r="EU66" i="44"/>
  <c r="DZ66" i="44"/>
  <c r="EU18" i="44"/>
  <c r="DZ18" i="44"/>
  <c r="EB18" i="44" s="1"/>
  <c r="ED18" i="44" s="1"/>
  <c r="EO107" i="44"/>
  <c r="EQ5" i="44"/>
  <c r="EM83" i="44"/>
  <c r="EL83" i="44"/>
  <c r="EM29" i="44"/>
  <c r="EL29" i="44"/>
  <c r="EU30" i="44"/>
  <c r="DZ30" i="44"/>
  <c r="EB30" i="44" s="1"/>
  <c r="ED30" i="44" s="1"/>
  <c r="P108" i="44"/>
  <c r="X108" i="44"/>
  <c r="EW94" i="44"/>
  <c r="EZ94" i="44" s="1"/>
  <c r="FA94" i="44" s="1"/>
  <c r="BK108" i="44"/>
  <c r="CE108" i="44"/>
  <c r="EA102" i="44"/>
  <c r="CU102" i="44"/>
  <c r="DH102" i="44"/>
  <c r="DW102" i="44"/>
  <c r="EE102" i="44"/>
  <c r="DD102" i="44"/>
  <c r="DF102" i="44" s="1"/>
  <c r="BC108" i="44"/>
  <c r="CR109" i="44"/>
  <c r="EA87" i="44"/>
  <c r="EB87" i="44" s="1"/>
  <c r="ED87" i="44" s="1"/>
  <c r="CU87" i="44"/>
  <c r="DH87" i="44"/>
  <c r="EE87" i="44"/>
  <c r="DD87" i="44"/>
  <c r="DF87" i="44" s="1"/>
  <c r="DW87" i="44"/>
  <c r="EM75" i="44"/>
  <c r="EL75" i="44"/>
  <c r="EK45" i="44"/>
  <c r="DV75" i="44"/>
  <c r="EA82" i="44"/>
  <c r="CU82" i="44"/>
  <c r="EE82" i="44"/>
  <c r="DW82" i="44"/>
  <c r="DD82" i="44"/>
  <c r="DF82" i="44" s="1"/>
  <c r="DH82" i="44"/>
  <c r="DZ82" i="44"/>
  <c r="EB82" i="44" s="1"/>
  <c r="ED82" i="44" s="1"/>
  <c r="EU82" i="44"/>
  <c r="DW80" i="44"/>
  <c r="CU80" i="44"/>
  <c r="DH80" i="44"/>
  <c r="DD80" i="44"/>
  <c r="DF80" i="44" s="1"/>
  <c r="EE80" i="44"/>
  <c r="EA80" i="44"/>
  <c r="DD79" i="44"/>
  <c r="DF79" i="44" s="1"/>
  <c r="DW79" i="44"/>
  <c r="CU79" i="44"/>
  <c r="DH79" i="44"/>
  <c r="EA79" i="44"/>
  <c r="EE79" i="44"/>
  <c r="EW60" i="44"/>
  <c r="EZ60" i="44" s="1"/>
  <c r="FA60" i="44" s="1"/>
  <c r="DB54" i="44"/>
  <c r="EV54" i="44"/>
  <c r="DZ45" i="44"/>
  <c r="EB45" i="44" s="1"/>
  <c r="ED45" i="44" s="1"/>
  <c r="EU45" i="44"/>
  <c r="EL22" i="44"/>
  <c r="DL9" i="44"/>
  <c r="EM36" i="44"/>
  <c r="EL36" i="44"/>
  <c r="EM17" i="44"/>
  <c r="EL17" i="44"/>
  <c r="DB25" i="44"/>
  <c r="EV25" i="44"/>
  <c r="EM38" i="44"/>
  <c r="EL38" i="44"/>
  <c r="EK9" i="44"/>
  <c r="DB18" i="44"/>
  <c r="EV18" i="44"/>
  <c r="DD19" i="44"/>
  <c r="DF19" i="44" s="1"/>
  <c r="EE19" i="44"/>
  <c r="DW19" i="44"/>
  <c r="CU19" i="44"/>
  <c r="EA19" i="44"/>
  <c r="EB19" i="44" s="1"/>
  <c r="ED19" i="44" s="1"/>
  <c r="DH19" i="44"/>
  <c r="DS55" i="44"/>
  <c r="DT55" i="44" s="1"/>
  <c r="DM55" i="44"/>
  <c r="DN55" i="44" s="1"/>
  <c r="EK66" i="44"/>
  <c r="EW12" i="44"/>
  <c r="EZ12" i="44" s="1"/>
  <c r="FA12" i="44" s="1"/>
  <c r="EV12" i="44"/>
  <c r="DB12" i="44"/>
  <c r="EK32" i="44"/>
  <c r="EK7" i="44"/>
  <c r="EK107" i="44" s="1"/>
  <c r="EA43" i="44"/>
  <c r="EB43" i="44" s="1"/>
  <c r="ED43" i="44" s="1"/>
  <c r="CU43" i="44"/>
  <c r="EE43" i="44"/>
  <c r="DH43" i="44"/>
  <c r="DW43" i="44"/>
  <c r="DD43" i="44"/>
  <c r="DF43" i="44" s="1"/>
  <c r="DG8" i="44"/>
  <c r="DL8" i="44"/>
  <c r="DS62" i="44"/>
  <c r="DT62" i="44" s="1"/>
  <c r="DM62" i="44"/>
  <c r="DN62" i="44" s="1"/>
  <c r="EB80" i="44"/>
  <c r="ED80" i="44" s="1"/>
  <c r="DZ58" i="44"/>
  <c r="EB58" i="44" s="1"/>
  <c r="ED58" i="44" s="1"/>
  <c r="EU58" i="44"/>
  <c r="EU46" i="44"/>
  <c r="DZ46" i="44"/>
  <c r="EB46" i="44" s="1"/>
  <c r="ED46" i="44" s="1"/>
  <c r="DG84" i="44"/>
  <c r="DL84" i="44"/>
  <c r="EB23" i="44"/>
  <c r="ED23" i="44" s="1"/>
  <c r="EV67" i="44"/>
  <c r="DB67" i="44"/>
  <c r="EU54" i="44"/>
  <c r="DZ54" i="44"/>
  <c r="EB54" i="44" s="1"/>
  <c r="ED54" i="44" s="1"/>
  <c r="EB5" i="44"/>
  <c r="EB77" i="44"/>
  <c r="ED77" i="44" s="1"/>
  <c r="DZ32" i="44"/>
  <c r="EB32" i="44" s="1"/>
  <c r="ED32" i="44" s="1"/>
  <c r="EU32" i="44"/>
  <c r="DL10" i="44"/>
  <c r="DG10" i="44"/>
  <c r="DB78" i="44"/>
  <c r="EW78" i="44"/>
  <c r="EZ78" i="44" s="1"/>
  <c r="FA78" i="44" s="1"/>
  <c r="EV78" i="44"/>
  <c r="DL98" i="44"/>
  <c r="DG98" i="44"/>
  <c r="DV62" i="44"/>
  <c r="EE44" i="44"/>
  <c r="EA44" i="44"/>
  <c r="CU44" i="44"/>
  <c r="DD44" i="44"/>
  <c r="DF44" i="44" s="1"/>
  <c r="DW44" i="44"/>
  <c r="DH44" i="44"/>
  <c r="DS93" i="44"/>
  <c r="DT93" i="44" s="1"/>
  <c r="DM93" i="44"/>
  <c r="DN93" i="44" s="1"/>
  <c r="DL67" i="44"/>
  <c r="DG67" i="44"/>
  <c r="DH22" i="44"/>
  <c r="CU22" i="44"/>
  <c r="EE22" i="44"/>
  <c r="DD22" i="44"/>
  <c r="DF22" i="44" s="1"/>
  <c r="DW22" i="44"/>
  <c r="EA22" i="44"/>
  <c r="EV6" i="44"/>
  <c r="DB6" i="44"/>
  <c r="EW6" i="44"/>
  <c r="EZ6" i="44" s="1"/>
  <c r="FA6" i="44" s="1"/>
  <c r="EV30" i="44"/>
  <c r="DB30" i="44"/>
  <c r="DL60" i="44"/>
  <c r="DG60" i="44"/>
  <c r="EU98" i="44"/>
  <c r="DZ98" i="44"/>
  <c r="EB98" i="44" s="1"/>
  <c r="ED98" i="44" s="1"/>
  <c r="DV93" i="44"/>
  <c r="DS52" i="44"/>
  <c r="DT52" i="44" s="1"/>
  <c r="DM52" i="44"/>
  <c r="DB63" i="44"/>
  <c r="EV63" i="44"/>
  <c r="DM17" i="44"/>
  <c r="DN17" i="44" s="1"/>
  <c r="DS17" i="44"/>
  <c r="DT17" i="44" s="1"/>
  <c r="DM25" i="44"/>
  <c r="DN25" i="44" s="1"/>
  <c r="DS25" i="44"/>
  <c r="DT25" i="44" s="1"/>
  <c r="DL15" i="44"/>
  <c r="DZ86" i="44"/>
  <c r="EB86" i="44" s="1"/>
  <c r="ED86" i="44" s="1"/>
  <c r="EU86" i="44"/>
  <c r="DL78" i="44"/>
  <c r="DG78" i="44"/>
  <c r="DM101" i="44"/>
  <c r="DN101" i="44" s="1"/>
  <c r="DS101" i="44"/>
  <c r="DT101" i="44" s="1"/>
  <c r="EV91" i="44"/>
  <c r="DB91" i="44"/>
  <c r="EE37" i="44"/>
  <c r="CU37" i="44"/>
  <c r="DW37" i="44"/>
  <c r="EA37" i="44"/>
  <c r="EB37" i="44" s="1"/>
  <c r="ED37" i="44" s="1"/>
  <c r="DH37" i="44"/>
  <c r="DD37" i="44"/>
  <c r="DF37" i="44" s="1"/>
  <c r="DV63" i="44"/>
  <c r="EK16" i="44"/>
  <c r="EE66" i="44"/>
  <c r="CU66" i="44"/>
  <c r="EA66" i="44"/>
  <c r="DD66" i="44"/>
  <c r="DF66" i="44" s="1"/>
  <c r="DH66" i="44"/>
  <c r="DW66" i="44"/>
  <c r="EU88" i="44"/>
  <c r="DZ88" i="44"/>
  <c r="EB88" i="44" s="1"/>
  <c r="ED88" i="44" s="1"/>
  <c r="DZ104" i="44"/>
  <c r="EB104" i="44" s="1"/>
  <c r="ED104" i="44" s="1"/>
  <c r="EU104" i="44"/>
  <c r="AI108" i="44"/>
  <c r="BV109" i="44"/>
  <c r="CE109" i="44"/>
  <c r="Q109" i="44"/>
  <c r="BF109" i="44"/>
  <c r="AD109" i="44"/>
  <c r="EU100" i="44"/>
  <c r="DZ100" i="44"/>
  <c r="EB100" i="44" s="1"/>
  <c r="ED100" i="44" s="1"/>
  <c r="EM84" i="44"/>
  <c r="EL84" i="44"/>
  <c r="EV73" i="44"/>
  <c r="DB73" i="44"/>
  <c r="CG109" i="44"/>
  <c r="DM65" i="44"/>
  <c r="DS65" i="44"/>
  <c r="DT65" i="44" s="1"/>
  <c r="EW101" i="44"/>
  <c r="EZ101" i="44" s="1"/>
  <c r="FA101" i="44" s="1"/>
  <c r="EV101" i="44"/>
  <c r="DB101" i="44"/>
  <c r="EK64" i="44"/>
  <c r="EQ32" i="44"/>
  <c r="EL82" i="44"/>
  <c r="EA56" i="44"/>
  <c r="DH56" i="44"/>
  <c r="DW56" i="44"/>
  <c r="DD56" i="44"/>
  <c r="DF56" i="44" s="1"/>
  <c r="CU56" i="44"/>
  <c r="EE56" i="44"/>
  <c r="EK65" i="44"/>
  <c r="EP60" i="44"/>
  <c r="EQ60" i="44" s="1"/>
  <c r="EK60" i="44"/>
  <c r="DL35" i="44"/>
  <c r="DG35" i="44"/>
  <c r="EK40" i="44"/>
  <c r="EM53" i="44"/>
  <c r="EL53" i="44"/>
  <c r="EZ45" i="44"/>
  <c r="FA45" i="44" s="1"/>
  <c r="DB84" i="44"/>
  <c r="EW84" i="44"/>
  <c r="EZ84" i="44" s="1"/>
  <c r="FA84" i="44" s="1"/>
  <c r="EV84" i="44"/>
  <c r="EU53" i="44"/>
  <c r="DZ53" i="44"/>
  <c r="EB53" i="44" s="1"/>
  <c r="ED53" i="44" s="1"/>
  <c r="EU35" i="44"/>
  <c r="DZ35" i="44"/>
  <c r="EB35" i="44" s="1"/>
  <c r="ED35" i="44" s="1"/>
  <c r="DW77" i="44"/>
  <c r="EA77" i="44"/>
  <c r="DH77" i="44"/>
  <c r="DD77" i="44"/>
  <c r="DF77" i="44" s="1"/>
  <c r="EE77" i="44"/>
  <c r="CU77" i="44"/>
  <c r="BU108" i="44"/>
  <c r="AW108" i="44"/>
  <c r="Q108" i="44"/>
  <c r="AM108" i="44"/>
  <c r="O108" i="44"/>
  <c r="CO108" i="44"/>
  <c r="BQ108" i="44"/>
  <c r="AL108" i="44"/>
  <c r="N108" i="44"/>
  <c r="CH108" i="44"/>
  <c r="BD108" i="44"/>
  <c r="CG108" i="44"/>
  <c r="AK108" i="44"/>
  <c r="CC108" i="44"/>
  <c r="AC108" i="44"/>
  <c r="CD108" i="44"/>
  <c r="M108" i="44"/>
  <c r="CB108" i="44"/>
  <c r="BP108" i="44"/>
  <c r="BJ108" i="44"/>
  <c r="BI108" i="44"/>
  <c r="BH108" i="44"/>
  <c r="BF108" i="44"/>
  <c r="BE108" i="44"/>
  <c r="AA108" i="44"/>
  <c r="Z108" i="44"/>
  <c r="CN108" i="44"/>
  <c r="Y108" i="44"/>
  <c r="EE36" i="44"/>
  <c r="EA36" i="44"/>
  <c r="EB36" i="44" s="1"/>
  <c r="ED36" i="44" s="1"/>
  <c r="DD36" i="44"/>
  <c r="DF36" i="44" s="1"/>
  <c r="DH36" i="44"/>
  <c r="CU36" i="44"/>
  <c r="DW36" i="44"/>
  <c r="EB13" i="44"/>
  <c r="ED13" i="44" s="1"/>
  <c r="EV27" i="44"/>
  <c r="DB27" i="44"/>
  <c r="EW27" i="44"/>
  <c r="EZ27" i="44" s="1"/>
  <c r="FA27" i="44" s="1"/>
  <c r="EL12" i="44"/>
  <c r="EK44" i="44"/>
  <c r="EL10" i="44"/>
  <c r="DL12" i="44"/>
  <c r="DG12" i="44"/>
  <c r="DG97" i="44"/>
  <c r="DL97" i="44"/>
  <c r="EV61" i="44"/>
  <c r="DB61" i="44"/>
  <c r="EW61" i="44"/>
  <c r="EZ61" i="44" s="1"/>
  <c r="FA61" i="44" s="1"/>
  <c r="DG32" i="43"/>
  <c r="DL32" i="43"/>
  <c r="EA50" i="43"/>
  <c r="EB50" i="43" s="1"/>
  <c r="ED50" i="43" s="1"/>
  <c r="DD50" i="43"/>
  <c r="DF50" i="43" s="1"/>
  <c r="CU50" i="43"/>
  <c r="DH50" i="43"/>
  <c r="EE50" i="43"/>
  <c r="DW50" i="43"/>
  <c r="DB58" i="43"/>
  <c r="EV58" i="43"/>
  <c r="EW58" i="43"/>
  <c r="EZ58" i="43" s="1"/>
  <c r="FA58" i="43" s="1"/>
  <c r="EV23" i="43"/>
  <c r="DB23" i="43"/>
  <c r="EL98" i="43"/>
  <c r="EM98" i="43"/>
  <c r="EE100" i="43"/>
  <c r="EA100" i="43"/>
  <c r="CU100" i="43"/>
  <c r="DH100" i="43"/>
  <c r="DD100" i="43"/>
  <c r="DF100" i="43" s="1"/>
  <c r="DW100" i="43"/>
  <c r="DG70" i="43"/>
  <c r="DL70" i="43"/>
  <c r="EA13" i="43"/>
  <c r="EB13" i="43" s="1"/>
  <c r="ED13" i="43" s="1"/>
  <c r="DH13" i="43"/>
  <c r="DW13" i="43"/>
  <c r="DD13" i="43"/>
  <c r="DF13" i="43" s="1"/>
  <c r="EE13" i="43"/>
  <c r="CU13" i="43"/>
  <c r="DM46" i="43"/>
  <c r="DN46" i="43" s="1"/>
  <c r="DS46" i="43"/>
  <c r="DT46" i="43" s="1"/>
  <c r="EZ89" i="43"/>
  <c r="FA89" i="43" s="1"/>
  <c r="DM55" i="43"/>
  <c r="DN55" i="43" s="1"/>
  <c r="DS55" i="43"/>
  <c r="DT55" i="43" s="1"/>
  <c r="EM56" i="43"/>
  <c r="EL56" i="43"/>
  <c r="DZ31" i="43"/>
  <c r="EB31" i="43" s="1"/>
  <c r="ED31" i="43" s="1"/>
  <c r="EU31" i="43"/>
  <c r="EE88" i="43"/>
  <c r="DH88" i="43"/>
  <c r="EA88" i="43"/>
  <c r="DD88" i="43"/>
  <c r="DF88" i="43" s="1"/>
  <c r="DW88" i="43"/>
  <c r="CU88" i="43"/>
  <c r="EE94" i="43"/>
  <c r="EA94" i="43"/>
  <c r="CU94" i="43"/>
  <c r="DH94" i="43"/>
  <c r="DD94" i="43"/>
  <c r="DF94" i="43" s="1"/>
  <c r="DW94" i="43"/>
  <c r="EB24" i="43"/>
  <c r="ED24" i="43" s="1"/>
  <c r="DD59" i="43"/>
  <c r="DF59" i="43" s="1"/>
  <c r="CU59" i="43"/>
  <c r="EE59" i="43"/>
  <c r="DW59" i="43"/>
  <c r="EA59" i="43"/>
  <c r="EB59" i="43" s="1"/>
  <c r="ED59" i="43" s="1"/>
  <c r="DH59" i="43"/>
  <c r="EK34" i="43"/>
  <c r="DG78" i="43"/>
  <c r="DL78" i="43"/>
  <c r="EV82" i="43"/>
  <c r="DB82" i="43"/>
  <c r="DZ63" i="43"/>
  <c r="EU63" i="43"/>
  <c r="EM23" i="43"/>
  <c r="EL23" i="43"/>
  <c r="EV49" i="43"/>
  <c r="DB49" i="43"/>
  <c r="EW49" i="43"/>
  <c r="EZ49" i="43" s="1"/>
  <c r="FA49" i="43" s="1"/>
  <c r="EU64" i="43"/>
  <c r="DZ64" i="43"/>
  <c r="EB64" i="43" s="1"/>
  <c r="ED64" i="43" s="1"/>
  <c r="EU11" i="43"/>
  <c r="DZ11" i="43"/>
  <c r="EB11" i="43" s="1"/>
  <c r="ED11" i="43" s="1"/>
  <c r="DK107" i="43"/>
  <c r="EU107" i="43" s="1"/>
  <c r="EU5" i="43"/>
  <c r="DZ5" i="43"/>
  <c r="EB5" i="43" s="1"/>
  <c r="DZ7" i="43"/>
  <c r="EU7" i="43"/>
  <c r="DB98" i="43"/>
  <c r="EV98" i="43"/>
  <c r="DZ96" i="43"/>
  <c r="EB96" i="43" s="1"/>
  <c r="ED96" i="43" s="1"/>
  <c r="EU96" i="43"/>
  <c r="DL80" i="43"/>
  <c r="DG90" i="43"/>
  <c r="DL90" i="43"/>
  <c r="DM30" i="43"/>
  <c r="DS30" i="43"/>
  <c r="DT30" i="43" s="1"/>
  <c r="EZ46" i="43"/>
  <c r="FA46" i="43" s="1"/>
  <c r="DZ44" i="43"/>
  <c r="EB44" i="43" s="1"/>
  <c r="ED44" i="43" s="1"/>
  <c r="EU44" i="43"/>
  <c r="DH45" i="43"/>
  <c r="EA45" i="43"/>
  <c r="EB45" i="43" s="1"/>
  <c r="ED45" i="43" s="1"/>
  <c r="EE45" i="43"/>
  <c r="DW45" i="43"/>
  <c r="CU45" i="43"/>
  <c r="DD45" i="43"/>
  <c r="DF45" i="43" s="1"/>
  <c r="EV15" i="43"/>
  <c r="EW15" i="43"/>
  <c r="EZ15" i="43" s="1"/>
  <c r="FA15" i="43" s="1"/>
  <c r="DB15" i="43"/>
  <c r="DM58" i="43"/>
  <c r="DN58" i="43" s="1"/>
  <c r="DS58" i="43"/>
  <c r="DT58" i="43" s="1"/>
  <c r="EU106" i="43"/>
  <c r="DZ106" i="43"/>
  <c r="EB106" i="43" s="1"/>
  <c r="ED106" i="43" s="1"/>
  <c r="EE95" i="43"/>
  <c r="EA95" i="43"/>
  <c r="CU95" i="43"/>
  <c r="DH95" i="43"/>
  <c r="DW95" i="43"/>
  <c r="DD95" i="43"/>
  <c r="DF95" i="43" s="1"/>
  <c r="DG103" i="43"/>
  <c r="DL103" i="43"/>
  <c r="EU72" i="43"/>
  <c r="DZ72" i="43"/>
  <c r="EB72" i="43" s="1"/>
  <c r="ED72" i="43" s="1"/>
  <c r="DL83" i="43"/>
  <c r="DZ82" i="43"/>
  <c r="EB82" i="43" s="1"/>
  <c r="ED82" i="43" s="1"/>
  <c r="EU82" i="43"/>
  <c r="EM67" i="43"/>
  <c r="EL67" i="43"/>
  <c r="DB87" i="43"/>
  <c r="EW87" i="43"/>
  <c r="EZ87" i="43" s="1"/>
  <c r="FA87" i="43" s="1"/>
  <c r="EV87" i="43"/>
  <c r="EU46" i="43"/>
  <c r="DZ46" i="43"/>
  <c r="EB46" i="43" s="1"/>
  <c r="ED46" i="43" s="1"/>
  <c r="EK64" i="43"/>
  <c r="DS51" i="43"/>
  <c r="DT51" i="43" s="1"/>
  <c r="DM51" i="43"/>
  <c r="DG49" i="43"/>
  <c r="DL49" i="43"/>
  <c r="EM11" i="43"/>
  <c r="EL11" i="43"/>
  <c r="EV27" i="43"/>
  <c r="DB27" i="43"/>
  <c r="EL8" i="43"/>
  <c r="AM108" i="43"/>
  <c r="M108" i="43"/>
  <c r="AL108" i="43"/>
  <c r="AK108" i="43"/>
  <c r="BQ108" i="43"/>
  <c r="CP108" i="43"/>
  <c r="BP108" i="43"/>
  <c r="AC108" i="43"/>
  <c r="BE108" i="43"/>
  <c r="CO108" i="43"/>
  <c r="AA108" i="43"/>
  <c r="CN108" i="43"/>
  <c r="Z108" i="43"/>
  <c r="Y108" i="43"/>
  <c r="CD108" i="43"/>
  <c r="Q108" i="43"/>
  <c r="CC108" i="43"/>
  <c r="O108" i="43"/>
  <c r="CB108" i="43"/>
  <c r="N108" i="43"/>
  <c r="BF108" i="43"/>
  <c r="BD108" i="43"/>
  <c r="AW108" i="43"/>
  <c r="BI108" i="43"/>
  <c r="BH108" i="43"/>
  <c r="EB17" i="43"/>
  <c r="ED17" i="43" s="1"/>
  <c r="DS27" i="43"/>
  <c r="DT27" i="43" s="1"/>
  <c r="DM27" i="43"/>
  <c r="DN27" i="43" s="1"/>
  <c r="DV58" i="43"/>
  <c r="EU35" i="43"/>
  <c r="DZ35" i="43"/>
  <c r="EQ7" i="43"/>
  <c r="DL53" i="43"/>
  <c r="DG53" i="43"/>
  <c r="EU42" i="43"/>
  <c r="DZ42" i="43"/>
  <c r="EB42" i="43" s="1"/>
  <c r="ED42" i="43" s="1"/>
  <c r="DL14" i="43"/>
  <c r="DG14" i="43"/>
  <c r="EH107" i="43"/>
  <c r="EK5" i="43"/>
  <c r="DV38" i="43"/>
  <c r="DG12" i="43"/>
  <c r="DL12" i="43"/>
  <c r="DM102" i="43"/>
  <c r="DN102" i="43" s="1"/>
  <c r="DS102" i="43"/>
  <c r="DT102" i="43" s="1"/>
  <c r="EV106" i="43"/>
  <c r="DB106" i="43"/>
  <c r="EM18" i="43"/>
  <c r="EL18" i="43"/>
  <c r="DL92" i="43"/>
  <c r="DG92" i="43"/>
  <c r="DH68" i="43"/>
  <c r="EE68" i="43"/>
  <c r="CU68" i="43"/>
  <c r="DW68" i="43"/>
  <c r="DD68" i="43"/>
  <c r="DF68" i="43" s="1"/>
  <c r="EA68" i="43"/>
  <c r="EB68" i="43" s="1"/>
  <c r="ED68" i="43" s="1"/>
  <c r="EK49" i="43"/>
  <c r="DS38" i="43"/>
  <c r="DT38" i="43" s="1"/>
  <c r="DM38" i="43"/>
  <c r="DN38" i="43" s="1"/>
  <c r="DG104" i="43"/>
  <c r="DL104" i="43"/>
  <c r="DL74" i="43"/>
  <c r="DG74" i="43"/>
  <c r="EV77" i="43"/>
  <c r="EW77" i="43"/>
  <c r="EZ77" i="43" s="1"/>
  <c r="FA77" i="43" s="1"/>
  <c r="DB77" i="43"/>
  <c r="EL47" i="43"/>
  <c r="EM6" i="43"/>
  <c r="EL6" i="43"/>
  <c r="EL90" i="43"/>
  <c r="EE43" i="43"/>
  <c r="DW43" i="43"/>
  <c r="DD43" i="43"/>
  <c r="DF43" i="43" s="1"/>
  <c r="DH43" i="43"/>
  <c r="EA43" i="43"/>
  <c r="EB43" i="43" s="1"/>
  <c r="ED43" i="43" s="1"/>
  <c r="CU43" i="43"/>
  <c r="EZ40" i="43"/>
  <c r="FA40" i="43" s="1"/>
  <c r="DG28" i="43"/>
  <c r="DL28" i="43"/>
  <c r="EW23" i="43"/>
  <c r="EZ23" i="43" s="1"/>
  <c r="FA23" i="43" s="1"/>
  <c r="DM106" i="43"/>
  <c r="DN106" i="43" s="1"/>
  <c r="DS106" i="43"/>
  <c r="DT106" i="43" s="1"/>
  <c r="EU94" i="43"/>
  <c r="DZ94" i="43"/>
  <c r="EK96" i="43"/>
  <c r="EV78" i="43"/>
  <c r="DB78" i="43"/>
  <c r="EW78" i="43"/>
  <c r="EZ78" i="43" s="1"/>
  <c r="FA78" i="43" s="1"/>
  <c r="EV21" i="43"/>
  <c r="DB21" i="43"/>
  <c r="EW21" i="43"/>
  <c r="EZ21" i="43" s="1"/>
  <c r="FA21" i="43" s="1"/>
  <c r="EV14" i="43"/>
  <c r="EW14" i="43"/>
  <c r="EZ14" i="43" s="1"/>
  <c r="FA14" i="43" s="1"/>
  <c r="DB14" i="43"/>
  <c r="EW106" i="43"/>
  <c r="EZ106" i="43" s="1"/>
  <c r="FA106" i="43" s="1"/>
  <c r="EL87" i="43"/>
  <c r="EK88" i="43"/>
  <c r="DD105" i="43"/>
  <c r="DF105" i="43" s="1"/>
  <c r="EE105" i="43"/>
  <c r="EA105" i="43"/>
  <c r="CU105" i="43"/>
  <c r="DW105" i="43"/>
  <c r="DH105" i="43"/>
  <c r="EQ102" i="43"/>
  <c r="EE101" i="43"/>
  <c r="EA101" i="43"/>
  <c r="CU101" i="43"/>
  <c r="DH101" i="43"/>
  <c r="DW101" i="43"/>
  <c r="DD101" i="43"/>
  <c r="DF101" i="43" s="1"/>
  <c r="DZ90" i="43"/>
  <c r="EB90" i="43" s="1"/>
  <c r="ED90" i="43" s="1"/>
  <c r="EU90" i="43"/>
  <c r="EA76" i="43"/>
  <c r="DH76" i="43"/>
  <c r="DW76" i="43"/>
  <c r="DD76" i="43"/>
  <c r="DF76" i="43" s="1"/>
  <c r="EE76" i="43"/>
  <c r="CU76" i="43"/>
  <c r="DB70" i="43"/>
  <c r="EV70" i="43"/>
  <c r="EW70" i="43"/>
  <c r="EZ70" i="43" s="1"/>
  <c r="FA70" i="43" s="1"/>
  <c r="EB77" i="43"/>
  <c r="ED77" i="43" s="1"/>
  <c r="DL82" i="43"/>
  <c r="DG82" i="43"/>
  <c r="EA67" i="43"/>
  <c r="DH67" i="43"/>
  <c r="DW67" i="43"/>
  <c r="CU67" i="43"/>
  <c r="EE67" i="43"/>
  <c r="DD67" i="43"/>
  <c r="DF67" i="43" s="1"/>
  <c r="EK95" i="43"/>
  <c r="EU56" i="43"/>
  <c r="DZ56" i="43"/>
  <c r="EB56" i="43" s="1"/>
  <c r="ED56" i="43" s="1"/>
  <c r="DB89" i="43"/>
  <c r="EV89" i="43"/>
  <c r="EL43" i="43"/>
  <c r="DD41" i="43"/>
  <c r="DF41" i="43" s="1"/>
  <c r="EA41" i="43"/>
  <c r="EB41" i="43" s="1"/>
  <c r="ED41" i="43" s="1"/>
  <c r="DH41" i="43"/>
  <c r="EE41" i="43"/>
  <c r="CU41" i="43"/>
  <c r="DW41" i="43"/>
  <c r="EL62" i="43"/>
  <c r="DD42" i="43"/>
  <c r="DF42" i="43" s="1"/>
  <c r="CU42" i="43"/>
  <c r="DW42" i="43"/>
  <c r="DH42" i="43"/>
  <c r="EE42" i="43"/>
  <c r="EA42" i="43"/>
  <c r="EQ49" i="43"/>
  <c r="EE20" i="43"/>
  <c r="EA20" i="43"/>
  <c r="DH20" i="43"/>
  <c r="DW20" i="43"/>
  <c r="DD20" i="43"/>
  <c r="DF20" i="43" s="1"/>
  <c r="CU20" i="43"/>
  <c r="EB19" i="43"/>
  <c r="ED19" i="43" s="1"/>
  <c r="EM14" i="43"/>
  <c r="EL14" i="43"/>
  <c r="EK40" i="43"/>
  <c r="DZ32" i="43"/>
  <c r="EB32" i="43" s="1"/>
  <c r="ED32" i="43" s="1"/>
  <c r="EU32" i="43"/>
  <c r="EA16" i="43"/>
  <c r="EB16" i="43" s="1"/>
  <c r="ED16" i="43" s="1"/>
  <c r="DH16" i="43"/>
  <c r="DD16" i="43"/>
  <c r="DF16" i="43" s="1"/>
  <c r="EE16" i="43"/>
  <c r="CU16" i="43"/>
  <c r="DW16" i="43"/>
  <c r="DL25" i="43"/>
  <c r="DG25" i="43"/>
  <c r="EO107" i="43"/>
  <c r="AP107" i="43"/>
  <c r="DA107" i="43"/>
  <c r="CZ107" i="43"/>
  <c r="CY107" i="43"/>
  <c r="CX107" i="43"/>
  <c r="CI109" i="43"/>
  <c r="BC109" i="43"/>
  <c r="CB109" i="43"/>
  <c r="BA109" i="43"/>
  <c r="CA109" i="43"/>
  <c r="AZ109" i="43"/>
  <c r="M109" i="43"/>
  <c r="BY109" i="43"/>
  <c r="BX109" i="43"/>
  <c r="AK109" i="43"/>
  <c r="CN109" i="43"/>
  <c r="BM109" i="43"/>
  <c r="CW107" i="43"/>
  <c r="BW109" i="43"/>
  <c r="BP109" i="43"/>
  <c r="BO109" i="43"/>
  <c r="BL109" i="43"/>
  <c r="BK109" i="43"/>
  <c r="BD109" i="43"/>
  <c r="AG109" i="43"/>
  <c r="CM109" i="43"/>
  <c r="CK109" i="43"/>
  <c r="CJ109" i="43"/>
  <c r="AJ109" i="43"/>
  <c r="X109" i="43"/>
  <c r="AH109" i="43"/>
  <c r="Y109" i="43"/>
  <c r="V109" i="43"/>
  <c r="DL10" i="43"/>
  <c r="DG11" i="43"/>
  <c r="DL11" i="43"/>
  <c r="DH79" i="43"/>
  <c r="CU79" i="43"/>
  <c r="EA79" i="43"/>
  <c r="EB79" i="43" s="1"/>
  <c r="ED79" i="43" s="1"/>
  <c r="DD79" i="43"/>
  <c r="DF79" i="43" s="1"/>
  <c r="EE79" i="43"/>
  <c r="DW79" i="43"/>
  <c r="EE5" i="43"/>
  <c r="EE107" i="43" s="1"/>
  <c r="CU5" i="43"/>
  <c r="EA5" i="43"/>
  <c r="DD5" i="43"/>
  <c r="DW5" i="43"/>
  <c r="DH5" i="43"/>
  <c r="DS93" i="43"/>
  <c r="DT93" i="43" s="1"/>
  <c r="DM93" i="43"/>
  <c r="DN93" i="43" s="1"/>
  <c r="EM31" i="43"/>
  <c r="EL31" i="43"/>
  <c r="EV29" i="43"/>
  <c r="DB29" i="43"/>
  <c r="EW29" i="43"/>
  <c r="EZ29" i="43" s="1"/>
  <c r="FA29" i="43" s="1"/>
  <c r="DS23" i="43"/>
  <c r="DT23" i="43" s="1"/>
  <c r="DM23" i="43"/>
  <c r="DN23" i="43" s="1"/>
  <c r="EU100" i="43"/>
  <c r="DZ100" i="43"/>
  <c r="EB100" i="43" s="1"/>
  <c r="ED100" i="43" s="1"/>
  <c r="EU67" i="43"/>
  <c r="DZ67" i="43"/>
  <c r="EB67" i="43" s="1"/>
  <c r="ED67" i="43" s="1"/>
  <c r="EU80" i="43"/>
  <c r="DZ80" i="43"/>
  <c r="EB80" i="43" s="1"/>
  <c r="ED80" i="43" s="1"/>
  <c r="EA56" i="43"/>
  <c r="CU56" i="43"/>
  <c r="EE56" i="43"/>
  <c r="DH56" i="43"/>
  <c r="DD56" i="43"/>
  <c r="DF56" i="43" s="1"/>
  <c r="DW56" i="43"/>
  <c r="DM64" i="43"/>
  <c r="DS64" i="43"/>
  <c r="DT64" i="43" s="1"/>
  <c r="CU37" i="43"/>
  <c r="EA37" i="43"/>
  <c r="EB37" i="43" s="1"/>
  <c r="ED37" i="43" s="1"/>
  <c r="DH37" i="43"/>
  <c r="DW37" i="43"/>
  <c r="DD37" i="43"/>
  <c r="DF37" i="43" s="1"/>
  <c r="EE37" i="43"/>
  <c r="EM48" i="43"/>
  <c r="EL48" i="43"/>
  <c r="EA8" i="43"/>
  <c r="EB8" i="43" s="1"/>
  <c r="ED8" i="43" s="1"/>
  <c r="CU8" i="43"/>
  <c r="DH8" i="43"/>
  <c r="DD8" i="43"/>
  <c r="DF8" i="43" s="1"/>
  <c r="EE8" i="43"/>
  <c r="DW8" i="43"/>
  <c r="EK102" i="43"/>
  <c r="EL77" i="43"/>
  <c r="DG98" i="43"/>
  <c r="DL98" i="43"/>
  <c r="EK69" i="43"/>
  <c r="EK63" i="43"/>
  <c r="EP44" i="43"/>
  <c r="EQ44" i="43" s="1"/>
  <c r="EK44" i="43"/>
  <c r="DM44" i="43"/>
  <c r="DN44" i="43" s="1"/>
  <c r="DS44" i="43"/>
  <c r="DT44" i="43" s="1"/>
  <c r="EK12" i="43"/>
  <c r="EV40" i="43"/>
  <c r="DB40" i="43"/>
  <c r="EU9" i="43"/>
  <c r="DZ9" i="43"/>
  <c r="EB9" i="43" s="1"/>
  <c r="ED9" i="43" s="1"/>
  <c r="EW33" i="43"/>
  <c r="EZ33" i="43" s="1"/>
  <c r="FA33" i="43" s="1"/>
  <c r="EV33" i="43"/>
  <c r="DB33" i="43"/>
  <c r="EB21" i="43"/>
  <c r="ED21" i="43" s="1"/>
  <c r="EK61" i="43"/>
  <c r="EE48" i="43"/>
  <c r="EA48" i="43"/>
  <c r="EB48" i="43" s="1"/>
  <c r="ED48" i="43" s="1"/>
  <c r="DH48" i="43"/>
  <c r="DD48" i="43"/>
  <c r="DF48" i="43" s="1"/>
  <c r="DW48" i="43"/>
  <c r="CU48" i="43"/>
  <c r="EW25" i="43"/>
  <c r="EZ25" i="43" s="1"/>
  <c r="FA25" i="43" s="1"/>
  <c r="DB25" i="43"/>
  <c r="EV25" i="43"/>
  <c r="DB38" i="43"/>
  <c r="EW38" i="43"/>
  <c r="EZ38" i="43" s="1"/>
  <c r="FA38" i="43" s="1"/>
  <c r="EV38" i="43"/>
  <c r="DV23" i="43"/>
  <c r="EW98" i="43"/>
  <c r="EZ98" i="43" s="1"/>
  <c r="FA98" i="43" s="1"/>
  <c r="EB101" i="43"/>
  <c r="ED101" i="43" s="1"/>
  <c r="EL103" i="43"/>
  <c r="EQ95" i="43"/>
  <c r="EV83" i="43"/>
  <c r="DB83" i="43"/>
  <c r="EW83" i="43"/>
  <c r="EZ83" i="43" s="1"/>
  <c r="FA83" i="43" s="1"/>
  <c r="EK94" i="43"/>
  <c r="DB90" i="43"/>
  <c r="EW90" i="43"/>
  <c r="EZ90" i="43" s="1"/>
  <c r="FA90" i="43" s="1"/>
  <c r="EV90" i="43"/>
  <c r="EK85" i="43"/>
  <c r="DH63" i="43"/>
  <c r="EE63" i="43"/>
  <c r="CU63" i="43"/>
  <c r="EA63" i="43"/>
  <c r="DD63" i="43"/>
  <c r="DF63" i="43" s="1"/>
  <c r="DW63" i="43"/>
  <c r="EM36" i="43"/>
  <c r="EL36" i="43"/>
  <c r="EA62" i="43"/>
  <c r="CU62" i="43"/>
  <c r="DW62" i="43"/>
  <c r="EE62" i="43"/>
  <c r="DD62" i="43"/>
  <c r="DF62" i="43" s="1"/>
  <c r="DH62" i="43"/>
  <c r="EM41" i="43"/>
  <c r="EL41" i="43"/>
  <c r="DM18" i="43"/>
  <c r="DS18" i="43"/>
  <c r="DT18" i="43" s="1"/>
  <c r="DV44" i="43"/>
  <c r="DM24" i="43"/>
  <c r="DN24" i="43" s="1"/>
  <c r="DS24" i="43"/>
  <c r="DT24" i="43" s="1"/>
  <c r="DB55" i="43"/>
  <c r="EV55" i="43"/>
  <c r="DB46" i="43"/>
  <c r="EV46" i="43"/>
  <c r="EM37" i="43"/>
  <c r="EL37" i="43"/>
  <c r="EL20" i="43"/>
  <c r="EU55" i="43"/>
  <c r="DZ55" i="43"/>
  <c r="EB55" i="43" s="1"/>
  <c r="ED55" i="43" s="1"/>
  <c r="EV39" i="43"/>
  <c r="DB39" i="43"/>
  <c r="EW39" i="43"/>
  <c r="EZ39" i="43" s="1"/>
  <c r="FA39" i="43" s="1"/>
  <c r="DM17" i="43"/>
  <c r="DN17" i="43" s="1"/>
  <c r="DS17" i="43"/>
  <c r="DT17" i="43" s="1"/>
  <c r="DB12" i="43"/>
  <c r="EV12" i="43"/>
  <c r="DL31" i="43"/>
  <c r="DG31" i="43"/>
  <c r="DM61" i="43"/>
  <c r="DS61" i="43"/>
  <c r="DT61" i="43" s="1"/>
  <c r="DL60" i="43"/>
  <c r="DG60" i="43"/>
  <c r="EB85" i="43"/>
  <c r="ED85" i="43" s="1"/>
  <c r="EE54" i="43"/>
  <c r="CU54" i="43"/>
  <c r="DH54" i="43"/>
  <c r="DD54" i="43"/>
  <c r="DF54" i="43" s="1"/>
  <c r="DW54" i="43"/>
  <c r="EA54" i="43"/>
  <c r="DB18" i="43"/>
  <c r="EV18" i="43"/>
  <c r="DS22" i="43"/>
  <c r="DT22" i="43" s="1"/>
  <c r="DM22" i="43"/>
  <c r="EV31" i="43"/>
  <c r="DB31" i="43"/>
  <c r="DZ57" i="43"/>
  <c r="EU57" i="43"/>
  <c r="EV65" i="43"/>
  <c r="DB65" i="43"/>
  <c r="DV93" i="43"/>
  <c r="DB96" i="43"/>
  <c r="EV96" i="43"/>
  <c r="EW96" i="43"/>
  <c r="EZ96" i="43" s="1"/>
  <c r="FA96" i="43" s="1"/>
  <c r="EM105" i="43"/>
  <c r="EL105" i="43"/>
  <c r="DD81" i="43"/>
  <c r="DF81" i="43" s="1"/>
  <c r="EA81" i="43"/>
  <c r="EB81" i="43" s="1"/>
  <c r="ED81" i="43" s="1"/>
  <c r="DW81" i="43"/>
  <c r="CU81" i="43"/>
  <c r="DH81" i="43"/>
  <c r="EE81" i="43"/>
  <c r="DH73" i="43"/>
  <c r="DD73" i="43"/>
  <c r="DF73" i="43" s="1"/>
  <c r="EA73" i="43"/>
  <c r="EB73" i="43" s="1"/>
  <c r="ED73" i="43" s="1"/>
  <c r="DW73" i="43"/>
  <c r="CU73" i="43"/>
  <c r="EE73" i="43"/>
  <c r="DS69" i="43"/>
  <c r="DT69" i="43" s="1"/>
  <c r="DM69" i="43"/>
  <c r="EQ61" i="43"/>
  <c r="EW18" i="43"/>
  <c r="EZ18" i="43" s="1"/>
  <c r="FA18" i="43" s="1"/>
  <c r="DB24" i="43"/>
  <c r="EV24" i="43"/>
  <c r="EW24" i="43"/>
  <c r="EZ24" i="43" s="1"/>
  <c r="FA24" i="43" s="1"/>
  <c r="EM106" i="43"/>
  <c r="EL106" i="43"/>
  <c r="EL82" i="43"/>
  <c r="EM82" i="43"/>
  <c r="DG72" i="43"/>
  <c r="DL72" i="43"/>
  <c r="EB28" i="43"/>
  <c r="ED28" i="43" s="1"/>
  <c r="DW7" i="43"/>
  <c r="EA7" i="43"/>
  <c r="DD7" i="43"/>
  <c r="DF7" i="43" s="1"/>
  <c r="CU7" i="43"/>
  <c r="DH7" i="43"/>
  <c r="EE7" i="43"/>
  <c r="EB88" i="43"/>
  <c r="ED88" i="43" s="1"/>
  <c r="DH57" i="43"/>
  <c r="EE57" i="43"/>
  <c r="EA57" i="43"/>
  <c r="DD57" i="43"/>
  <c r="DF57" i="43" s="1"/>
  <c r="CU57" i="43"/>
  <c r="DW57" i="43"/>
  <c r="EM21" i="43"/>
  <c r="EL21" i="43"/>
  <c r="DB11" i="43"/>
  <c r="EV11" i="43"/>
  <c r="EW102" i="43"/>
  <c r="EZ102" i="43" s="1"/>
  <c r="FA102" i="43" s="1"/>
  <c r="EV102" i="43"/>
  <c r="DB102" i="43"/>
  <c r="EK100" i="43"/>
  <c r="EW82" i="43"/>
  <c r="EZ82" i="43" s="1"/>
  <c r="FA82" i="43" s="1"/>
  <c r="EU62" i="43"/>
  <c r="DZ62" i="43"/>
  <c r="EB62" i="43" s="1"/>
  <c r="ED62" i="43" s="1"/>
  <c r="DM71" i="43"/>
  <c r="DN71" i="43" s="1"/>
  <c r="DS71" i="43"/>
  <c r="DT71" i="43" s="1"/>
  <c r="DG96" i="43"/>
  <c r="DL96" i="43"/>
  <c r="EL93" i="43"/>
  <c r="EL71" i="43"/>
  <c r="EM71" i="43"/>
  <c r="EK84" i="43"/>
  <c r="EP66" i="43"/>
  <c r="EQ66" i="43" s="1"/>
  <c r="EK66" i="43"/>
  <c r="EB76" i="43"/>
  <c r="ED76" i="43" s="1"/>
  <c r="DG66" i="43"/>
  <c r="DL66" i="43"/>
  <c r="DV106" i="43"/>
  <c r="DH85" i="43"/>
  <c r="CU85" i="43"/>
  <c r="DD85" i="43"/>
  <c r="DF85" i="43" s="1"/>
  <c r="EA85" i="43"/>
  <c r="DW85" i="43"/>
  <c r="EE85" i="43"/>
  <c r="EU95" i="43"/>
  <c r="DZ95" i="43"/>
  <c r="DL87" i="43"/>
  <c r="DG87" i="43"/>
  <c r="EV75" i="43"/>
  <c r="DB75" i="43"/>
  <c r="EW75" i="43"/>
  <c r="EZ75" i="43" s="1"/>
  <c r="FA75" i="43" s="1"/>
  <c r="EE35" i="43"/>
  <c r="EA35" i="43"/>
  <c r="DW35" i="43"/>
  <c r="CU35" i="43"/>
  <c r="DH35" i="43"/>
  <c r="DD35" i="43"/>
  <c r="DF35" i="43" s="1"/>
  <c r="DW34" i="43"/>
  <c r="CU34" i="43"/>
  <c r="EE34" i="43"/>
  <c r="EA34" i="43"/>
  <c r="DH34" i="43"/>
  <c r="DD34" i="43"/>
  <c r="DF34" i="43" s="1"/>
  <c r="DG29" i="43"/>
  <c r="DL29" i="43"/>
  <c r="DW9" i="43"/>
  <c r="CU9" i="43"/>
  <c r="EE9" i="43"/>
  <c r="DD9" i="43"/>
  <c r="DF9" i="43" s="1"/>
  <c r="EA9" i="43"/>
  <c r="DH9" i="43"/>
  <c r="DB93" i="43"/>
  <c r="EV93" i="43"/>
  <c r="DZ27" i="43"/>
  <c r="EB27" i="43" s="1"/>
  <c r="ED27" i="43" s="1"/>
  <c r="EU27" i="43"/>
  <c r="EU54" i="43"/>
  <c r="DZ54" i="43"/>
  <c r="EB54" i="43" s="1"/>
  <c r="ED54" i="43" s="1"/>
  <c r="EL7" i="43"/>
  <c r="EA19" i="43"/>
  <c r="CU19" i="43"/>
  <c r="DH19" i="43"/>
  <c r="DD19" i="43"/>
  <c r="DF19" i="43" s="1"/>
  <c r="EE19" i="43"/>
  <c r="DW19" i="43"/>
  <c r="DB10" i="43"/>
  <c r="EW10" i="43"/>
  <c r="EZ10" i="43" s="1"/>
  <c r="FA10" i="43" s="1"/>
  <c r="EV10" i="43"/>
  <c r="DS84" i="43"/>
  <c r="DT84" i="43" s="1"/>
  <c r="DM84" i="43"/>
  <c r="DN84" i="43" s="1"/>
  <c r="DS36" i="43"/>
  <c r="DT36" i="43" s="1"/>
  <c r="DM36" i="43"/>
  <c r="DN36" i="43" s="1"/>
  <c r="DM89" i="43"/>
  <c r="DN89" i="43" s="1"/>
  <c r="DS89" i="43"/>
  <c r="DT89" i="43" s="1"/>
  <c r="EM99" i="43"/>
  <c r="EL99" i="43"/>
  <c r="EM101" i="43"/>
  <c r="EL101" i="43"/>
  <c r="EK27" i="43"/>
  <c r="EU12" i="43"/>
  <c r="DZ12" i="43"/>
  <c r="EB12" i="43" s="1"/>
  <c r="ED12" i="43" s="1"/>
  <c r="EW36" i="43"/>
  <c r="EZ36" i="43" s="1"/>
  <c r="FA36" i="43" s="1"/>
  <c r="EV36" i="43"/>
  <c r="DB36" i="43"/>
  <c r="DG97" i="43"/>
  <c r="DL97" i="43"/>
  <c r="EU89" i="43"/>
  <c r="DZ89" i="43"/>
  <c r="EB89" i="43" s="1"/>
  <c r="ED89" i="43" s="1"/>
  <c r="EW31" i="43"/>
  <c r="EZ31" i="43" s="1"/>
  <c r="FA31" i="43" s="1"/>
  <c r="DS33" i="43"/>
  <c r="DT33" i="43" s="1"/>
  <c r="DM33" i="43"/>
  <c r="DN33" i="43" s="1"/>
  <c r="EB65" i="43"/>
  <c r="ED65" i="43" s="1"/>
  <c r="DL15" i="43"/>
  <c r="EU23" i="43"/>
  <c r="DZ23" i="43"/>
  <c r="EB23" i="43" s="1"/>
  <c r="ED23" i="43" s="1"/>
  <c r="DB103" i="43"/>
  <c r="EW103" i="43"/>
  <c r="EZ103" i="43" s="1"/>
  <c r="FA103" i="43" s="1"/>
  <c r="EV103" i="43"/>
  <c r="EV84" i="43"/>
  <c r="EW84" i="43"/>
  <c r="EZ84" i="43" s="1"/>
  <c r="FA84" i="43" s="1"/>
  <c r="DB84" i="43"/>
  <c r="EK78" i="43"/>
  <c r="EE26" i="43"/>
  <c r="CU26" i="43"/>
  <c r="EA26" i="43"/>
  <c r="EB26" i="43" s="1"/>
  <c r="ED26" i="43" s="1"/>
  <c r="DH26" i="43"/>
  <c r="DW26" i="43"/>
  <c r="DD26" i="43"/>
  <c r="DF26" i="43" s="1"/>
  <c r="EM54" i="43"/>
  <c r="EL54" i="43"/>
  <c r="EQ63" i="43"/>
  <c r="DB53" i="43"/>
  <c r="EW53" i="43"/>
  <c r="EZ53" i="43" s="1"/>
  <c r="FA53" i="43" s="1"/>
  <c r="EV53" i="43"/>
  <c r="EB84" i="43"/>
  <c r="ED84" i="43" s="1"/>
  <c r="EL52" i="43"/>
  <c r="DL21" i="43"/>
  <c r="DL99" i="43"/>
  <c r="EQ96" i="43"/>
  <c r="EL92" i="43"/>
  <c r="EM92" i="43"/>
  <c r="EB105" i="43"/>
  <c r="ED105" i="43" s="1"/>
  <c r="EK80" i="43"/>
  <c r="EV92" i="43"/>
  <c r="DB92" i="43"/>
  <c r="EK72" i="43"/>
  <c r="DH91" i="43"/>
  <c r="DW91" i="43"/>
  <c r="DD91" i="43"/>
  <c r="DF91" i="43" s="1"/>
  <c r="EE91" i="43"/>
  <c r="EA91" i="43"/>
  <c r="EB91" i="43" s="1"/>
  <c r="ED91" i="43" s="1"/>
  <c r="CU91" i="43"/>
  <c r="EB75" i="43"/>
  <c r="ED75" i="43" s="1"/>
  <c r="DM86" i="43"/>
  <c r="DS86" i="43"/>
  <c r="DT86" i="43" s="1"/>
  <c r="EV64" i="43"/>
  <c r="DB64" i="43"/>
  <c r="DL75" i="43"/>
  <c r="EV60" i="43"/>
  <c r="DB60" i="43"/>
  <c r="EU61" i="43"/>
  <c r="DZ61" i="43"/>
  <c r="EB61" i="43" s="1"/>
  <c r="ED61" i="43" s="1"/>
  <c r="EL60" i="43"/>
  <c r="EM60" i="43"/>
  <c r="DL77" i="43"/>
  <c r="DG77" i="43"/>
  <c r="DM39" i="43"/>
  <c r="DN39" i="43" s="1"/>
  <c r="DS39" i="43"/>
  <c r="DT39" i="43" s="1"/>
  <c r="DM40" i="43"/>
  <c r="DS40" i="43"/>
  <c r="DT40" i="43" s="1"/>
  <c r="DL52" i="43"/>
  <c r="DG52" i="43"/>
  <c r="EM42" i="43"/>
  <c r="EL42" i="43"/>
  <c r="DB71" i="43"/>
  <c r="EW71" i="43"/>
  <c r="EZ71" i="43" s="1"/>
  <c r="FA71" i="43" s="1"/>
  <c r="EV71" i="43"/>
  <c r="DD47" i="43"/>
  <c r="DF47" i="43" s="1"/>
  <c r="EE47" i="43"/>
  <c r="CU47" i="43"/>
  <c r="DH47" i="43"/>
  <c r="EA47" i="43"/>
  <c r="EB47" i="43" s="1"/>
  <c r="ED47" i="43" s="1"/>
  <c r="DW47" i="43"/>
  <c r="EL35" i="43"/>
  <c r="DL65" i="43"/>
  <c r="DG65" i="43"/>
  <c r="EU34" i="43"/>
  <c r="DZ34" i="43"/>
  <c r="EU49" i="43"/>
  <c r="DZ49" i="43"/>
  <c r="EB49" i="43" s="1"/>
  <c r="ED49" i="43" s="1"/>
  <c r="EW27" i="43"/>
  <c r="EZ27" i="43" s="1"/>
  <c r="FA27" i="43" s="1"/>
  <c r="EK32" i="43"/>
  <c r="EV17" i="43"/>
  <c r="DB17" i="43"/>
  <c r="EW17" i="43"/>
  <c r="EZ17" i="43" s="1"/>
  <c r="FA17" i="43" s="1"/>
  <c r="ER107" i="43"/>
  <c r="DV24" i="43"/>
  <c r="EL22" i="43"/>
  <c r="EU20" i="43"/>
  <c r="DZ20" i="43"/>
  <c r="EB20" i="43" s="1"/>
  <c r="ED20" i="43" s="1"/>
  <c r="DM6" i="43"/>
  <c r="DS6" i="43"/>
  <c r="DT6" i="43" s="1"/>
  <c r="EM58" i="42"/>
  <c r="EL58" i="42"/>
  <c r="EM34" i="42"/>
  <c r="EL34" i="42"/>
  <c r="DZ57" i="42"/>
  <c r="EU57" i="42"/>
  <c r="EV36" i="42"/>
  <c r="DB36" i="42"/>
  <c r="DZ98" i="42"/>
  <c r="EB98" i="42" s="1"/>
  <c r="ED98" i="42" s="1"/>
  <c r="EU98" i="42"/>
  <c r="EM91" i="42"/>
  <c r="EL91" i="42"/>
  <c r="DM68" i="42"/>
  <c r="DN68" i="42" s="1"/>
  <c r="DS68" i="42"/>
  <c r="DT68" i="42" s="1"/>
  <c r="DZ73" i="42"/>
  <c r="EU73" i="42"/>
  <c r="EA40" i="42"/>
  <c r="EB40" i="42" s="1"/>
  <c r="ED40" i="42" s="1"/>
  <c r="DH40" i="42"/>
  <c r="CU40" i="42"/>
  <c r="EE40" i="42"/>
  <c r="DD40" i="42"/>
  <c r="DF40" i="42" s="1"/>
  <c r="DW40" i="42"/>
  <c r="DL77" i="42"/>
  <c r="DG77" i="42"/>
  <c r="DW65" i="42"/>
  <c r="EE65" i="42"/>
  <c r="CU65" i="42"/>
  <c r="EA65" i="42"/>
  <c r="DH65" i="42"/>
  <c r="DD65" i="42"/>
  <c r="DF65" i="42" s="1"/>
  <c r="DL84" i="42"/>
  <c r="DB71" i="42"/>
  <c r="EV71" i="42"/>
  <c r="DG42" i="42"/>
  <c r="DL42" i="42"/>
  <c r="CU67" i="42"/>
  <c r="EA67" i="42"/>
  <c r="DH67" i="42"/>
  <c r="EE67" i="42"/>
  <c r="DD67" i="42"/>
  <c r="DF67" i="42" s="1"/>
  <c r="DW67" i="42"/>
  <c r="EW16" i="42"/>
  <c r="EZ16" i="42" s="1"/>
  <c r="FA16" i="42" s="1"/>
  <c r="EV16" i="42"/>
  <c r="DB16" i="42"/>
  <c r="DZ14" i="42"/>
  <c r="EB14" i="42" s="1"/>
  <c r="ED14" i="42" s="1"/>
  <c r="EU14" i="42"/>
  <c r="DZ29" i="42"/>
  <c r="EB29" i="42" s="1"/>
  <c r="ED29" i="42" s="1"/>
  <c r="EU29" i="42"/>
  <c r="EV28" i="42"/>
  <c r="DB28" i="42"/>
  <c r="EW28" i="42"/>
  <c r="EZ28" i="42" s="1"/>
  <c r="FA28" i="42" s="1"/>
  <c r="EU10" i="42"/>
  <c r="DZ10" i="42"/>
  <c r="EB10" i="42" s="1"/>
  <c r="ED10" i="42" s="1"/>
  <c r="DG58" i="42"/>
  <c r="DL58" i="42"/>
  <c r="DB24" i="42"/>
  <c r="EV24" i="42"/>
  <c r="DG15" i="42"/>
  <c r="DL15" i="42"/>
  <c r="DB10" i="42"/>
  <c r="EV10" i="42"/>
  <c r="EL7" i="42"/>
  <c r="EE11" i="42"/>
  <c r="EA11" i="42"/>
  <c r="CU11" i="42"/>
  <c r="DH11" i="42"/>
  <c r="DW11" i="42"/>
  <c r="DD11" i="42"/>
  <c r="DF11" i="42" s="1"/>
  <c r="EU95" i="42"/>
  <c r="DZ95" i="42"/>
  <c r="EB95" i="42" s="1"/>
  <c r="ED95" i="42" s="1"/>
  <c r="EU68" i="42"/>
  <c r="DZ68" i="42"/>
  <c r="EB68" i="42" s="1"/>
  <c r="ED68" i="42" s="1"/>
  <c r="EK89" i="42"/>
  <c r="EP29" i="42"/>
  <c r="EQ29" i="42" s="1"/>
  <c r="EK29" i="42"/>
  <c r="EM103" i="42"/>
  <c r="EL103" i="42"/>
  <c r="DL102" i="42"/>
  <c r="DG102" i="42"/>
  <c r="EV98" i="42"/>
  <c r="DB98" i="42"/>
  <c r="EW98" i="42"/>
  <c r="EZ98" i="42" s="1"/>
  <c r="FA98" i="42" s="1"/>
  <c r="EU101" i="42"/>
  <c r="DZ101" i="42"/>
  <c r="EB101" i="42" s="1"/>
  <c r="ED101" i="42" s="1"/>
  <c r="EK96" i="42"/>
  <c r="DL95" i="42"/>
  <c r="EL105" i="42"/>
  <c r="EA93" i="42"/>
  <c r="CU93" i="42"/>
  <c r="DW93" i="42"/>
  <c r="EE93" i="42"/>
  <c r="DH93" i="42"/>
  <c r="DD93" i="42"/>
  <c r="DF93" i="42" s="1"/>
  <c r="DZ93" i="42"/>
  <c r="EU93" i="42"/>
  <c r="DZ89" i="42"/>
  <c r="EB89" i="42" s="1"/>
  <c r="ED89" i="42" s="1"/>
  <c r="EU89" i="42"/>
  <c r="DM45" i="42"/>
  <c r="DS45" i="42"/>
  <c r="DT45" i="42" s="1"/>
  <c r="DZ71" i="42"/>
  <c r="EB71" i="42" s="1"/>
  <c r="ED71" i="42" s="1"/>
  <c r="EU71" i="42"/>
  <c r="EK36" i="42"/>
  <c r="DV68" i="42"/>
  <c r="DB52" i="42"/>
  <c r="EV52" i="42"/>
  <c r="EM14" i="42"/>
  <c r="EL14" i="42"/>
  <c r="EU50" i="42"/>
  <c r="DZ50" i="42"/>
  <c r="EB50" i="42" s="1"/>
  <c r="ED50" i="42" s="1"/>
  <c r="DL38" i="42"/>
  <c r="DB8" i="42"/>
  <c r="EV8" i="42"/>
  <c r="EW10" i="42"/>
  <c r="EZ10" i="42" s="1"/>
  <c r="FA10" i="42" s="1"/>
  <c r="DB46" i="42"/>
  <c r="EW46" i="42"/>
  <c r="EZ46" i="42" s="1"/>
  <c r="FA46" i="42" s="1"/>
  <c r="EV46" i="42"/>
  <c r="EU11" i="42"/>
  <c r="DZ11" i="42"/>
  <c r="DS92" i="42"/>
  <c r="DT92" i="42" s="1"/>
  <c r="DM92" i="42"/>
  <c r="DN92" i="42" s="1"/>
  <c r="EU47" i="42"/>
  <c r="DZ47" i="42"/>
  <c r="EB47" i="42" s="1"/>
  <c r="ED47" i="42" s="1"/>
  <c r="DH55" i="42"/>
  <c r="DD55" i="42"/>
  <c r="DF55" i="42" s="1"/>
  <c r="EA55" i="42"/>
  <c r="EB55" i="42" s="1"/>
  <c r="ED55" i="42" s="1"/>
  <c r="DW55" i="42"/>
  <c r="CU55" i="42"/>
  <c r="EE55" i="42"/>
  <c r="EU67" i="42"/>
  <c r="DZ67" i="42"/>
  <c r="EB67" i="42" s="1"/>
  <c r="ED67" i="42" s="1"/>
  <c r="DZ31" i="42"/>
  <c r="EU31" i="42"/>
  <c r="DS49" i="42"/>
  <c r="DT49" i="42" s="1"/>
  <c r="DM49" i="42"/>
  <c r="DN49" i="42" s="1"/>
  <c r="EA18" i="42"/>
  <c r="CU18" i="42"/>
  <c r="DH18" i="42"/>
  <c r="EE18" i="42"/>
  <c r="DW18" i="42"/>
  <c r="DD18" i="42"/>
  <c r="DF18" i="42" s="1"/>
  <c r="EV58" i="42"/>
  <c r="DB58" i="42"/>
  <c r="DL24" i="42"/>
  <c r="DG24" i="42"/>
  <c r="EU99" i="42"/>
  <c r="DZ99" i="42"/>
  <c r="EB99" i="42" s="1"/>
  <c r="ED99" i="42" s="1"/>
  <c r="EA106" i="42"/>
  <c r="CU106" i="42"/>
  <c r="DH106" i="42"/>
  <c r="DD106" i="42"/>
  <c r="DF106" i="42" s="1"/>
  <c r="DW106" i="42"/>
  <c r="EE106" i="42"/>
  <c r="DB89" i="42"/>
  <c r="EV89" i="42"/>
  <c r="EA99" i="42"/>
  <c r="CU99" i="42"/>
  <c r="DW99" i="42"/>
  <c r="DH99" i="42"/>
  <c r="DD99" i="42"/>
  <c r="DF99" i="42" s="1"/>
  <c r="EE99" i="42"/>
  <c r="EE86" i="42"/>
  <c r="CU86" i="42"/>
  <c r="EA86" i="42"/>
  <c r="DH86" i="42"/>
  <c r="DD86" i="42"/>
  <c r="DF86" i="42" s="1"/>
  <c r="DW86" i="42"/>
  <c r="DB68" i="42"/>
  <c r="EV68" i="42"/>
  <c r="EL73" i="42"/>
  <c r="EM73" i="42"/>
  <c r="DB102" i="42"/>
  <c r="EW102" i="42"/>
  <c r="EZ102" i="42" s="1"/>
  <c r="FA102" i="42" s="1"/>
  <c r="EV102" i="42"/>
  <c r="DS52" i="42"/>
  <c r="DT52" i="42" s="1"/>
  <c r="DM52" i="42"/>
  <c r="DN52" i="42" s="1"/>
  <c r="EM42" i="42"/>
  <c r="EL42" i="42"/>
  <c r="EK95" i="42"/>
  <c r="DV64" i="42"/>
  <c r="EV61" i="42"/>
  <c r="DB61" i="42"/>
  <c r="EU85" i="42"/>
  <c r="DZ85" i="42"/>
  <c r="EB85" i="42" s="1"/>
  <c r="ED85" i="42" s="1"/>
  <c r="DB43" i="42"/>
  <c r="EV43" i="42"/>
  <c r="DW47" i="42"/>
  <c r="EE47" i="42"/>
  <c r="CU47" i="42"/>
  <c r="DD47" i="42"/>
  <c r="DF47" i="42" s="1"/>
  <c r="DH47" i="42"/>
  <c r="EA47" i="42"/>
  <c r="DW41" i="42"/>
  <c r="DD41" i="42"/>
  <c r="DF41" i="42" s="1"/>
  <c r="EE41" i="42"/>
  <c r="DH41" i="42"/>
  <c r="EA41" i="42"/>
  <c r="EB41" i="42" s="1"/>
  <c r="ED41" i="42" s="1"/>
  <c r="CU41" i="42"/>
  <c r="DZ34" i="42"/>
  <c r="EB34" i="42" s="1"/>
  <c r="ED34" i="42" s="1"/>
  <c r="EU34" i="42"/>
  <c r="EA22" i="42"/>
  <c r="CU22" i="42"/>
  <c r="DD22" i="42"/>
  <c r="DF22" i="42" s="1"/>
  <c r="EE22" i="42"/>
  <c r="DH22" i="42"/>
  <c r="DW22" i="42"/>
  <c r="DV49" i="42"/>
  <c r="EB32" i="42"/>
  <c r="ED32" i="42" s="1"/>
  <c r="DL26" i="42"/>
  <c r="DG26" i="42"/>
  <c r="EV12" i="42"/>
  <c r="DB12" i="42"/>
  <c r="EV20" i="42"/>
  <c r="EW20" i="42"/>
  <c r="EZ20" i="42" s="1"/>
  <c r="FA20" i="42" s="1"/>
  <c r="DB20" i="42"/>
  <c r="DB25" i="42"/>
  <c r="EV25" i="42"/>
  <c r="EE5" i="42"/>
  <c r="EA5" i="42"/>
  <c r="CU5" i="42"/>
  <c r="DH5" i="42"/>
  <c r="DH107" i="42" s="1"/>
  <c r="DD5" i="42"/>
  <c r="DW5" i="42"/>
  <c r="EV84" i="42"/>
  <c r="DB84" i="42"/>
  <c r="EW84" i="42"/>
  <c r="EZ84" i="42" s="1"/>
  <c r="FA84" i="42" s="1"/>
  <c r="DL54" i="42"/>
  <c r="DG54" i="42"/>
  <c r="DS71" i="42"/>
  <c r="DT71" i="42" s="1"/>
  <c r="DM71" i="42"/>
  <c r="DN71" i="42" s="1"/>
  <c r="EM19" i="42"/>
  <c r="EL19" i="42"/>
  <c r="DM27" i="42"/>
  <c r="DS27" i="42"/>
  <c r="DT27" i="42" s="1"/>
  <c r="DG39" i="42"/>
  <c r="DL39" i="42"/>
  <c r="DH76" i="42"/>
  <c r="DW76" i="42"/>
  <c r="DD76" i="42"/>
  <c r="DF76" i="42" s="1"/>
  <c r="EA76" i="42"/>
  <c r="EB76" i="42" s="1"/>
  <c r="ED76" i="42" s="1"/>
  <c r="CU76" i="42"/>
  <c r="EE76" i="42"/>
  <c r="EU86" i="42"/>
  <c r="DZ86" i="42"/>
  <c r="EM68" i="42"/>
  <c r="EL68" i="42"/>
  <c r="EU51" i="42"/>
  <c r="DZ51" i="42"/>
  <c r="EB51" i="42" s="1"/>
  <c r="ED51" i="42" s="1"/>
  <c r="EM79" i="42"/>
  <c r="EL79" i="42"/>
  <c r="EL41" i="42"/>
  <c r="EV92" i="42"/>
  <c r="DB92" i="42"/>
  <c r="EW92" i="42"/>
  <c r="EZ92" i="42" s="1"/>
  <c r="FA92" i="42" s="1"/>
  <c r="DL81" i="42"/>
  <c r="EL39" i="42"/>
  <c r="DS46" i="42"/>
  <c r="DT46" i="42" s="1"/>
  <c r="DM46" i="42"/>
  <c r="DN46" i="42" s="1"/>
  <c r="EU16" i="42"/>
  <c r="DZ16" i="42"/>
  <c r="EB16" i="42" s="1"/>
  <c r="ED16" i="42" s="1"/>
  <c r="EW32" i="42"/>
  <c r="EZ32" i="42" s="1"/>
  <c r="FA32" i="42" s="1"/>
  <c r="DB32" i="42"/>
  <c r="EV32" i="42"/>
  <c r="DB35" i="42"/>
  <c r="EV35" i="42"/>
  <c r="DV48" i="42"/>
  <c r="DV43" i="42"/>
  <c r="EO107" i="42"/>
  <c r="DG25" i="42"/>
  <c r="DL25" i="42"/>
  <c r="DZ106" i="42"/>
  <c r="EU106" i="42"/>
  <c r="DZ64" i="42"/>
  <c r="EB64" i="42" s="1"/>
  <c r="ED64" i="42" s="1"/>
  <c r="EU64" i="42"/>
  <c r="DG32" i="42"/>
  <c r="DL32" i="42"/>
  <c r="DM70" i="42"/>
  <c r="DS70" i="42"/>
  <c r="DT70" i="42" s="1"/>
  <c r="EV50" i="42"/>
  <c r="DB50" i="42"/>
  <c r="DZ38" i="42"/>
  <c r="EB38" i="42" s="1"/>
  <c r="ED38" i="42" s="1"/>
  <c r="EU38" i="42"/>
  <c r="EL20" i="42"/>
  <c r="EM20" i="42"/>
  <c r="EW36" i="42"/>
  <c r="EZ36" i="42" s="1"/>
  <c r="FA36" i="42" s="1"/>
  <c r="EX107" i="42"/>
  <c r="CU103" i="42"/>
  <c r="DH103" i="42"/>
  <c r="DW103" i="42"/>
  <c r="EE103" i="42"/>
  <c r="EA103" i="42"/>
  <c r="EB103" i="42" s="1"/>
  <c r="ED103" i="42" s="1"/>
  <c r="DD103" i="42"/>
  <c r="DF103" i="42" s="1"/>
  <c r="EE88" i="42"/>
  <c r="EA88" i="42"/>
  <c r="DD88" i="42"/>
  <c r="DF88" i="42" s="1"/>
  <c r="DW88" i="42"/>
  <c r="CU88" i="42"/>
  <c r="DH88" i="42"/>
  <c r="EL88" i="42"/>
  <c r="EU45" i="42"/>
  <c r="DZ45" i="42"/>
  <c r="EB45" i="42" s="1"/>
  <c r="ED45" i="42" s="1"/>
  <c r="DL61" i="42"/>
  <c r="DG61" i="42"/>
  <c r="EB83" i="42"/>
  <c r="ED83" i="42" s="1"/>
  <c r="EL51" i="42"/>
  <c r="DM44" i="42"/>
  <c r="DS44" i="42"/>
  <c r="DT44" i="42" s="1"/>
  <c r="EQ45" i="42"/>
  <c r="DS29" i="42"/>
  <c r="DT29" i="42" s="1"/>
  <c r="DM29" i="42"/>
  <c r="EK67" i="42"/>
  <c r="EU80" i="42"/>
  <c r="DZ80" i="42"/>
  <c r="EM17" i="42"/>
  <c r="EL17" i="42"/>
  <c r="DL35" i="42"/>
  <c r="DG35" i="42"/>
  <c r="DM48" i="42"/>
  <c r="DN48" i="42" s="1"/>
  <c r="DS48" i="42"/>
  <c r="DT48" i="42" s="1"/>
  <c r="DS43" i="42"/>
  <c r="DT43" i="42" s="1"/>
  <c r="DM43" i="42"/>
  <c r="DN43" i="42" s="1"/>
  <c r="CU31" i="42"/>
  <c r="EE31" i="42"/>
  <c r="EA31" i="42"/>
  <c r="DD31" i="42"/>
  <c r="DF31" i="42" s="1"/>
  <c r="DW31" i="42"/>
  <c r="DH31" i="42"/>
  <c r="DD19" i="42"/>
  <c r="DF19" i="42" s="1"/>
  <c r="CU19" i="42"/>
  <c r="EE19" i="42"/>
  <c r="DH19" i="42"/>
  <c r="EA19" i="42"/>
  <c r="DW19" i="42"/>
  <c r="DK107" i="42"/>
  <c r="EU107" i="42" s="1"/>
  <c r="EU12" i="42"/>
  <c r="DZ12" i="42"/>
  <c r="EB12" i="42" s="1"/>
  <c r="ED12" i="42" s="1"/>
  <c r="EK21" i="42"/>
  <c r="CI108" i="42"/>
  <c r="BW108" i="42"/>
  <c r="BK108" i="42"/>
  <c r="AY108" i="42"/>
  <c r="P108" i="42"/>
  <c r="CO108" i="42"/>
  <c r="BE108" i="42"/>
  <c r="CN108" i="42"/>
  <c r="BD108" i="42"/>
  <c r="CC108" i="42"/>
  <c r="CB108" i="42"/>
  <c r="BP108" i="42"/>
  <c r="AB108" i="42"/>
  <c r="AA108" i="42"/>
  <c r="Z108" i="42"/>
  <c r="BS108" i="42"/>
  <c r="BR108" i="42"/>
  <c r="BQ108" i="42"/>
  <c r="EA82" i="42"/>
  <c r="CU82" i="42"/>
  <c r="DH82" i="42"/>
  <c r="DD82" i="42"/>
  <c r="DF82" i="42" s="1"/>
  <c r="EE82" i="42"/>
  <c r="DW82" i="42"/>
  <c r="EB18" i="42"/>
  <c r="ED18" i="42" s="1"/>
  <c r="DB78" i="42"/>
  <c r="EW78" i="42"/>
  <c r="EZ78" i="42" s="1"/>
  <c r="FA78" i="42" s="1"/>
  <c r="EV78" i="42"/>
  <c r="EE85" i="42"/>
  <c r="EA85" i="42"/>
  <c r="DH85" i="42"/>
  <c r="CU85" i="42"/>
  <c r="DD85" i="42"/>
  <c r="DF85" i="42" s="1"/>
  <c r="DW85" i="42"/>
  <c r="DV96" i="42"/>
  <c r="EM106" i="42"/>
  <c r="EL106" i="42"/>
  <c r="DB75" i="42"/>
  <c r="EW75" i="42"/>
  <c r="EZ75" i="42" s="1"/>
  <c r="FA75" i="42" s="1"/>
  <c r="EV75" i="42"/>
  <c r="EE80" i="42"/>
  <c r="DH80" i="42"/>
  <c r="DW80" i="42"/>
  <c r="DD80" i="42"/>
  <c r="DF80" i="42" s="1"/>
  <c r="CU80" i="42"/>
  <c r="EA80" i="42"/>
  <c r="EL86" i="42"/>
  <c r="EM86" i="42"/>
  <c r="DB81" i="42"/>
  <c r="EW81" i="42"/>
  <c r="EZ81" i="42" s="1"/>
  <c r="FA81" i="42" s="1"/>
  <c r="EV81" i="42"/>
  <c r="DZ58" i="42"/>
  <c r="EB58" i="42" s="1"/>
  <c r="ED58" i="42" s="1"/>
  <c r="EU58" i="42"/>
  <c r="EM74" i="42"/>
  <c r="EL74" i="42"/>
  <c r="EK80" i="42"/>
  <c r="EA63" i="42"/>
  <c r="EB63" i="42" s="1"/>
  <c r="ED63" i="42" s="1"/>
  <c r="DH63" i="42"/>
  <c r="DW63" i="42"/>
  <c r="DD63" i="42"/>
  <c r="DF63" i="42" s="1"/>
  <c r="CU63" i="42"/>
  <c r="EE63" i="42"/>
  <c r="EV64" i="42"/>
  <c r="DB64" i="42"/>
  <c r="EQ51" i="42"/>
  <c r="EV42" i="42"/>
  <c r="DB42" i="42"/>
  <c r="EW42" i="42"/>
  <c r="EZ42" i="42" s="1"/>
  <c r="FA42" i="42" s="1"/>
  <c r="DM34" i="42"/>
  <c r="DS34" i="42"/>
  <c r="DT34" i="42" s="1"/>
  <c r="EZ27" i="42"/>
  <c r="FA27" i="42" s="1"/>
  <c r="EK64" i="42"/>
  <c r="EQ52" i="42"/>
  <c r="EV30" i="42"/>
  <c r="DB30" i="42"/>
  <c r="EV26" i="42"/>
  <c r="DB26" i="42"/>
  <c r="EL6" i="42"/>
  <c r="DG36" i="42"/>
  <c r="DL36" i="42"/>
  <c r="EA21" i="42"/>
  <c r="EB21" i="42" s="1"/>
  <c r="ED21" i="42" s="1"/>
  <c r="DH21" i="42"/>
  <c r="CU21" i="42"/>
  <c r="EE21" i="42"/>
  <c r="DD21" i="42"/>
  <c r="DF21" i="42" s="1"/>
  <c r="DW21" i="42"/>
  <c r="ER107" i="42"/>
  <c r="DB39" i="42"/>
  <c r="EV39" i="42"/>
  <c r="EB65" i="42"/>
  <c r="ED65" i="42" s="1"/>
  <c r="DS7" i="42"/>
  <c r="DT7" i="42" s="1"/>
  <c r="DM7" i="42"/>
  <c r="DN7" i="42" s="1"/>
  <c r="EE91" i="42"/>
  <c r="CU91" i="42"/>
  <c r="EA91" i="42"/>
  <c r="DH91" i="42"/>
  <c r="DD91" i="42"/>
  <c r="DF91" i="42" s="1"/>
  <c r="DW91" i="42"/>
  <c r="EB88" i="42"/>
  <c r="ED88" i="42" s="1"/>
  <c r="DB96" i="42"/>
  <c r="EV96" i="42"/>
  <c r="DM50" i="42"/>
  <c r="DN50" i="42" s="1"/>
  <c r="DS50" i="42"/>
  <c r="DT50" i="42" s="1"/>
  <c r="EB82" i="42"/>
  <c r="ED82" i="42" s="1"/>
  <c r="EE97" i="42"/>
  <c r="DH97" i="42"/>
  <c r="EA97" i="42"/>
  <c r="CU97" i="42"/>
  <c r="DD97" i="42"/>
  <c r="DF97" i="42" s="1"/>
  <c r="DW97" i="42"/>
  <c r="EM104" i="42"/>
  <c r="EL104" i="42"/>
  <c r="DB95" i="42"/>
  <c r="EV95" i="42"/>
  <c r="EL93" i="42"/>
  <c r="DS78" i="42"/>
  <c r="DT78" i="42" s="1"/>
  <c r="DM78" i="42"/>
  <c r="DN78" i="42" s="1"/>
  <c r="DG90" i="42"/>
  <c r="DL90" i="42"/>
  <c r="EV104" i="42"/>
  <c r="DB104" i="42"/>
  <c r="EW104" i="42"/>
  <c r="EZ104" i="42" s="1"/>
  <c r="FA104" i="42" s="1"/>
  <c r="DG75" i="42"/>
  <c r="DL75" i="42"/>
  <c r="EV59" i="42"/>
  <c r="EW59" i="42"/>
  <c r="EZ59" i="42" s="1"/>
  <c r="FA59" i="42" s="1"/>
  <c r="DB59" i="42"/>
  <c r="EW58" i="42"/>
  <c r="EZ58" i="42" s="1"/>
  <c r="FA58" i="42" s="1"/>
  <c r="EM49" i="42"/>
  <c r="EL49" i="42"/>
  <c r="EE74" i="42"/>
  <c r="DH74" i="42"/>
  <c r="EA74" i="42"/>
  <c r="DD74" i="42"/>
  <c r="DF74" i="42" s="1"/>
  <c r="DW74" i="42"/>
  <c r="CU74" i="42"/>
  <c r="EU79" i="42"/>
  <c r="DZ79" i="42"/>
  <c r="EB79" i="42" s="1"/>
  <c r="ED79" i="42" s="1"/>
  <c r="EQ80" i="42"/>
  <c r="EK50" i="42"/>
  <c r="EL53" i="42"/>
  <c r="EL48" i="42"/>
  <c r="DL62" i="42"/>
  <c r="EU22" i="42"/>
  <c r="DZ22" i="42"/>
  <c r="EB22" i="42" s="1"/>
  <c r="ED22" i="42" s="1"/>
  <c r="EK12" i="42"/>
  <c r="EB30" i="42"/>
  <c r="ED30" i="42" s="1"/>
  <c r="DH14" i="42"/>
  <c r="CU14" i="42"/>
  <c r="EE14" i="42"/>
  <c r="EA14" i="42"/>
  <c r="DW14" i="42"/>
  <c r="DD14" i="42"/>
  <c r="DF14" i="42" s="1"/>
  <c r="DG51" i="42"/>
  <c r="DL51" i="42"/>
  <c r="EP107" i="42"/>
  <c r="DL30" i="42"/>
  <c r="DL59" i="42"/>
  <c r="DG59" i="42"/>
  <c r="EU91" i="42"/>
  <c r="DZ91" i="42"/>
  <c r="EB91" i="42" s="1"/>
  <c r="ED91" i="42" s="1"/>
  <c r="CU83" i="42"/>
  <c r="EA83" i="42"/>
  <c r="DW83" i="42"/>
  <c r="DD83" i="42"/>
  <c r="DF83" i="42" s="1"/>
  <c r="DH83" i="42"/>
  <c r="EE83" i="42"/>
  <c r="DB90" i="42"/>
  <c r="EW90" i="42"/>
  <c r="EZ90" i="42" s="1"/>
  <c r="FA90" i="42" s="1"/>
  <c r="EV90" i="42"/>
  <c r="EB92" i="42"/>
  <c r="ED92" i="42" s="1"/>
  <c r="EE56" i="42"/>
  <c r="EA56" i="42"/>
  <c r="EB56" i="42" s="1"/>
  <c r="ED56" i="42" s="1"/>
  <c r="DH56" i="42"/>
  <c r="DW56" i="42"/>
  <c r="DD56" i="42"/>
  <c r="DF56" i="42" s="1"/>
  <c r="CU56" i="42"/>
  <c r="EB74" i="42"/>
  <c r="ED74" i="42" s="1"/>
  <c r="EK52" i="42"/>
  <c r="EL43" i="42"/>
  <c r="EM43" i="42"/>
  <c r="DV92" i="42"/>
  <c r="DV71" i="42"/>
  <c r="DB38" i="42"/>
  <c r="EV38" i="42"/>
  <c r="EK81" i="42"/>
  <c r="DM16" i="42"/>
  <c r="DN16" i="42" s="1"/>
  <c r="EM26" i="42"/>
  <c r="EL26" i="42"/>
  <c r="DG8" i="42"/>
  <c r="DL8" i="42"/>
  <c r="EH107" i="42"/>
  <c r="EK5" i="42"/>
  <c r="EU105" i="42"/>
  <c r="DZ105" i="42"/>
  <c r="EB105" i="42" s="1"/>
  <c r="ED105" i="42" s="1"/>
  <c r="EV45" i="42"/>
  <c r="DB45" i="42"/>
  <c r="EW45" i="42"/>
  <c r="EZ45" i="42" s="1"/>
  <c r="FA45" i="42" s="1"/>
  <c r="EA100" i="42"/>
  <c r="EB100" i="42" s="1"/>
  <c r="ED100" i="42" s="1"/>
  <c r="CU100" i="42"/>
  <c r="EE100" i="42"/>
  <c r="DH100" i="42"/>
  <c r="DW100" i="42"/>
  <c r="DD100" i="42"/>
  <c r="DF100" i="42" s="1"/>
  <c r="DZ96" i="42"/>
  <c r="EB96" i="42" s="1"/>
  <c r="ED96" i="42" s="1"/>
  <c r="EU96" i="42"/>
  <c r="EQ71" i="42"/>
  <c r="EQ81" i="42"/>
  <c r="EK71" i="42"/>
  <c r="EE79" i="42"/>
  <c r="EA79" i="42"/>
  <c r="CU79" i="42"/>
  <c r="DH79" i="42"/>
  <c r="DW79" i="42"/>
  <c r="DD79" i="42"/>
  <c r="DF79" i="42" s="1"/>
  <c r="EK45" i="42"/>
  <c r="EM60" i="42"/>
  <c r="EL60" i="42"/>
  <c r="EL76" i="42"/>
  <c r="EL61" i="42"/>
  <c r="DH87" i="42"/>
  <c r="EE87" i="42"/>
  <c r="EA87" i="42"/>
  <c r="EB87" i="42" s="1"/>
  <c r="ED87" i="42" s="1"/>
  <c r="DD87" i="42"/>
  <c r="DF87" i="42" s="1"/>
  <c r="CU87" i="42"/>
  <c r="DW87" i="42"/>
  <c r="EV77" i="42"/>
  <c r="DB77" i="42"/>
  <c r="EL35" i="42"/>
  <c r="EM35" i="42"/>
  <c r="DG53" i="42"/>
  <c r="DL53" i="42"/>
  <c r="EL47" i="42"/>
  <c r="EM57" i="42"/>
  <c r="EL57" i="42"/>
  <c r="DG69" i="42"/>
  <c r="DL69" i="42"/>
  <c r="EM23" i="42"/>
  <c r="EL23" i="42"/>
  <c r="EM37" i="42"/>
  <c r="EL37" i="42"/>
  <c r="EE23" i="42"/>
  <c r="EA23" i="42"/>
  <c r="DH23" i="42"/>
  <c r="DD23" i="42"/>
  <c r="DF23" i="42" s="1"/>
  <c r="DW23" i="42"/>
  <c r="CU23" i="42"/>
  <c r="DB62" i="42"/>
  <c r="EV62" i="42"/>
  <c r="EW62" i="42"/>
  <c r="EZ62" i="42" s="1"/>
  <c r="FA62" i="42" s="1"/>
  <c r="EV44" i="42"/>
  <c r="EW44" i="42"/>
  <c r="EZ44" i="42" s="1"/>
  <c r="FA44" i="42" s="1"/>
  <c r="DB44" i="42"/>
  <c r="DH17" i="42"/>
  <c r="EE17" i="42"/>
  <c r="EA17" i="42"/>
  <c r="EB17" i="42" s="1"/>
  <c r="ED17" i="42" s="1"/>
  <c r="DW17" i="42"/>
  <c r="DD17" i="42"/>
  <c r="DF17" i="42" s="1"/>
  <c r="CU17" i="42"/>
  <c r="EU26" i="42"/>
  <c r="DZ26" i="42"/>
  <c r="EB26" i="42" s="1"/>
  <c r="ED26" i="42" s="1"/>
  <c r="EU23" i="42"/>
  <c r="DZ23" i="42"/>
  <c r="EB23" i="42" s="1"/>
  <c r="ED23" i="42" s="1"/>
  <c r="DH6" i="42"/>
  <c r="EA6" i="42"/>
  <c r="EB6" i="42" s="1"/>
  <c r="ED6" i="42" s="1"/>
  <c r="CU6" i="42"/>
  <c r="DW6" i="42"/>
  <c r="DD6" i="42"/>
  <c r="DF6" i="42" s="1"/>
  <c r="EE6" i="42"/>
  <c r="DL13" i="42"/>
  <c r="DG28" i="42"/>
  <c r="DL28" i="42"/>
  <c r="EL18" i="42"/>
  <c r="DB7" i="42"/>
  <c r="EW7" i="42"/>
  <c r="EZ7" i="42" s="1"/>
  <c r="FA7" i="42" s="1"/>
  <c r="EV7" i="42"/>
  <c r="DL20" i="42"/>
  <c r="DZ19" i="42"/>
  <c r="EB19" i="42" s="1"/>
  <c r="ED19" i="42" s="1"/>
  <c r="EU19" i="42"/>
  <c r="AP107" i="42"/>
  <c r="CX107" i="42"/>
  <c r="CW107" i="42"/>
  <c r="CY107" i="42"/>
  <c r="CJ109" i="42"/>
  <c r="AZ109" i="42"/>
  <c r="CI109" i="42"/>
  <c r="AY109" i="42"/>
  <c r="AI109" i="42"/>
  <c r="AH109" i="42"/>
  <c r="BX109" i="42"/>
  <c r="AG109" i="42"/>
  <c r="BW109" i="42"/>
  <c r="AF109" i="42"/>
  <c r="BK109" i="42"/>
  <c r="CZ107" i="42"/>
  <c r="BL109" i="42"/>
  <c r="W109" i="42"/>
  <c r="V109" i="42"/>
  <c r="U109" i="42"/>
  <c r="DA107" i="42"/>
  <c r="BN109" i="42"/>
  <c r="DM12" i="42"/>
  <c r="DN12" i="42" s="1"/>
  <c r="DS12" i="42"/>
  <c r="DT12" i="42" s="1"/>
  <c r="DD72" i="42"/>
  <c r="DF72" i="42" s="1"/>
  <c r="DH72" i="42"/>
  <c r="DW72" i="42"/>
  <c r="EE72" i="42"/>
  <c r="EA72" i="42"/>
  <c r="EB72" i="42" s="1"/>
  <c r="ED72" i="42" s="1"/>
  <c r="CU72" i="42"/>
  <c r="DM104" i="42"/>
  <c r="DN104" i="42" s="1"/>
  <c r="DS104" i="42"/>
  <c r="DT104" i="42" s="1"/>
  <c r="EU97" i="42"/>
  <c r="DZ97" i="42"/>
  <c r="EB97" i="42" s="1"/>
  <c r="ED97" i="42" s="1"/>
  <c r="DS89" i="42"/>
  <c r="DT89" i="42" s="1"/>
  <c r="DM89" i="42"/>
  <c r="EA94" i="42"/>
  <c r="EB94" i="42" s="1"/>
  <c r="ED94" i="42" s="1"/>
  <c r="CU94" i="42"/>
  <c r="EE94" i="42"/>
  <c r="DH94" i="42"/>
  <c r="DW94" i="42"/>
  <c r="DD94" i="42"/>
  <c r="DF94" i="42" s="1"/>
  <c r="DD105" i="42"/>
  <c r="DF105" i="42" s="1"/>
  <c r="EA105" i="42"/>
  <c r="CU105" i="42"/>
  <c r="DW105" i="42"/>
  <c r="DH105" i="42"/>
  <c r="EE105" i="42"/>
  <c r="DS101" i="42"/>
  <c r="DT101" i="42" s="1"/>
  <c r="DM101" i="42"/>
  <c r="DN101" i="42" s="1"/>
  <c r="EL90" i="42"/>
  <c r="EU104" i="42"/>
  <c r="DZ104" i="42"/>
  <c r="EB104" i="42" s="1"/>
  <c r="ED104" i="42" s="1"/>
  <c r="DL98" i="42"/>
  <c r="EK98" i="42"/>
  <c r="X108" i="42"/>
  <c r="EM70" i="42"/>
  <c r="EL70" i="42"/>
  <c r="EL78" i="42"/>
  <c r="DD66" i="42"/>
  <c r="DF66" i="42" s="1"/>
  <c r="EE66" i="42"/>
  <c r="EA66" i="42"/>
  <c r="EB66" i="42" s="1"/>
  <c r="ED66" i="42" s="1"/>
  <c r="DH66" i="42"/>
  <c r="CU66" i="42"/>
  <c r="DW66" i="42"/>
  <c r="DD60" i="42"/>
  <c r="DF60" i="42" s="1"/>
  <c r="EE60" i="42"/>
  <c r="DW60" i="42"/>
  <c r="CU60" i="42"/>
  <c r="DH60" i="42"/>
  <c r="EA60" i="42"/>
  <c r="EB60" i="42" s="1"/>
  <c r="ED60" i="42" s="1"/>
  <c r="DH33" i="42"/>
  <c r="DW33" i="42"/>
  <c r="DD33" i="42"/>
  <c r="DF33" i="42" s="1"/>
  <c r="EE33" i="42"/>
  <c r="EA33" i="42"/>
  <c r="EB33" i="42" s="1"/>
  <c r="ED33" i="42" s="1"/>
  <c r="CU33" i="42"/>
  <c r="CU73" i="42"/>
  <c r="EE73" i="42"/>
  <c r="EA73" i="42"/>
  <c r="DH73" i="42"/>
  <c r="DD73" i="42"/>
  <c r="DF73" i="42" s="1"/>
  <c r="DW73" i="42"/>
  <c r="EL59" i="42"/>
  <c r="EW35" i="42"/>
  <c r="EZ35" i="42" s="1"/>
  <c r="FA35" i="42" s="1"/>
  <c r="EU43" i="42"/>
  <c r="DZ43" i="42"/>
  <c r="EB43" i="42" s="1"/>
  <c r="ED43" i="42" s="1"/>
  <c r="EB54" i="42"/>
  <c r="ED54" i="42" s="1"/>
  <c r="EL44" i="42"/>
  <c r="EM44" i="42"/>
  <c r="EK85" i="42"/>
  <c r="EE57" i="42"/>
  <c r="CU57" i="42"/>
  <c r="EA57" i="42"/>
  <c r="DH57" i="42"/>
  <c r="DD57" i="42"/>
  <c r="DF57" i="42" s="1"/>
  <c r="DW57" i="42"/>
  <c r="DB69" i="42"/>
  <c r="EW69" i="42"/>
  <c r="EZ69" i="42" s="1"/>
  <c r="FA69" i="42" s="1"/>
  <c r="EV69" i="42"/>
  <c r="EM25" i="42"/>
  <c r="EL25" i="42"/>
  <c r="EE37" i="42"/>
  <c r="DH37" i="42"/>
  <c r="EA37" i="42"/>
  <c r="EB37" i="42" s="1"/>
  <c r="ED37" i="42" s="1"/>
  <c r="DW37" i="42"/>
  <c r="DD37" i="42"/>
  <c r="DF37" i="42" s="1"/>
  <c r="CU37" i="42"/>
  <c r="EK24" i="42"/>
  <c r="EW54" i="42"/>
  <c r="EZ54" i="42" s="1"/>
  <c r="FA54" i="42" s="1"/>
  <c r="EV54" i="42"/>
  <c r="DB54" i="42"/>
  <c r="EM33" i="42"/>
  <c r="EL33" i="42"/>
  <c r="EB53" i="42"/>
  <c r="ED53" i="42" s="1"/>
  <c r="DD9" i="42"/>
  <c r="DF9" i="42" s="1"/>
  <c r="EE9" i="42"/>
  <c r="DH9" i="42"/>
  <c r="CU9" i="42"/>
  <c r="EA9" i="42"/>
  <c r="EB9" i="42" s="1"/>
  <c r="ED9" i="42" s="1"/>
  <c r="DW9" i="42"/>
  <c r="DL10" i="42"/>
  <c r="DB15" i="42"/>
  <c r="EV15" i="42"/>
  <c r="EL15" i="42"/>
  <c r="EM11" i="42"/>
  <c r="EL11" i="42"/>
  <c r="ER88" i="28"/>
  <c r="EI88" i="28"/>
  <c r="EG88" i="28"/>
  <c r="EO88" i="28" s="1"/>
  <c r="DY88" i="28"/>
  <c r="DR88" i="28"/>
  <c r="EX88" i="28" s="1"/>
  <c r="DJ88" i="28"/>
  <c r="CX88" i="28"/>
  <c r="CS88" i="28"/>
  <c r="DE88" i="28" s="1"/>
  <c r="AP88" i="28"/>
  <c r="EA88" i="28" s="1"/>
  <c r="AN88" i="28"/>
  <c r="K88" i="28"/>
  <c r="CZ88" i="28" s="1"/>
  <c r="I88" i="28"/>
  <c r="EJ88" i="28" s="1"/>
  <c r="EP88" i="28" s="1"/>
  <c r="EI87" i="28"/>
  <c r="EG87" i="28"/>
  <c r="EO87" i="28" s="1"/>
  <c r="DY87" i="28"/>
  <c r="DR87" i="28"/>
  <c r="EX87" i="28" s="1"/>
  <c r="DK87" i="28"/>
  <c r="EU87" i="28" s="1"/>
  <c r="DJ87" i="28"/>
  <c r="CS87" i="28"/>
  <c r="DE87" i="28" s="1"/>
  <c r="AN87" i="28"/>
  <c r="K87" i="28"/>
  <c r="ER87" i="28" s="1"/>
  <c r="I87" i="28"/>
  <c r="EJ87" i="28" s="1"/>
  <c r="EP87" i="28" s="1"/>
  <c r="EI86" i="28"/>
  <c r="EG86" i="28"/>
  <c r="EO86" i="28" s="1"/>
  <c r="DY86" i="28"/>
  <c r="DR86" i="28"/>
  <c r="EX86" i="28" s="1"/>
  <c r="DJ86" i="28"/>
  <c r="CS86" i="28"/>
  <c r="DE86" i="28" s="1"/>
  <c r="AN86" i="28"/>
  <c r="K86" i="28"/>
  <c r="CZ86" i="28" s="1"/>
  <c r="I86" i="28"/>
  <c r="EJ86" i="28" s="1"/>
  <c r="EP86" i="28" s="1"/>
  <c r="EX91" i="28"/>
  <c r="EI91" i="28"/>
  <c r="EG91" i="28"/>
  <c r="EO91" i="28" s="1"/>
  <c r="DY91" i="28"/>
  <c r="DR91" i="28"/>
  <c r="DJ91" i="28"/>
  <c r="CS91" i="28"/>
  <c r="DE91" i="28" s="1"/>
  <c r="AN91" i="28"/>
  <c r="K91" i="28"/>
  <c r="CZ91" i="28" s="1"/>
  <c r="I91" i="28"/>
  <c r="EI90" i="28"/>
  <c r="EG90" i="28"/>
  <c r="EO90" i="28" s="1"/>
  <c r="DY90" i="28"/>
  <c r="DR90" i="28"/>
  <c r="EX90" i="28" s="1"/>
  <c r="DJ90" i="28"/>
  <c r="CS90" i="28"/>
  <c r="DE90" i="28" s="1"/>
  <c r="AN90" i="28"/>
  <c r="K90" i="28"/>
  <c r="ER90" i="28" s="1"/>
  <c r="I90" i="28"/>
  <c r="EJ90" i="28" s="1"/>
  <c r="EP90" i="28" s="1"/>
  <c r="EO89" i="28"/>
  <c r="EI89" i="28"/>
  <c r="EG89" i="28"/>
  <c r="DY89" i="28"/>
  <c r="DR89" i="28"/>
  <c r="EX89" i="28" s="1"/>
  <c r="DJ89" i="28"/>
  <c r="CS89" i="28"/>
  <c r="DE89" i="28" s="1"/>
  <c r="AN89" i="28"/>
  <c r="K89" i="28"/>
  <c r="CZ89" i="28" s="1"/>
  <c r="I89" i="28"/>
  <c r="EJ89" i="28" s="1"/>
  <c r="EP89" i="28" s="1"/>
  <c r="EO94" i="28"/>
  <c r="EI94" i="28"/>
  <c r="EH94" i="28"/>
  <c r="EG94" i="28"/>
  <c r="DY94" i="28"/>
  <c r="DR94" i="28"/>
  <c r="DJ94" i="28"/>
  <c r="CY94" i="28"/>
  <c r="CS94" i="28"/>
  <c r="DE94" i="28" s="1"/>
  <c r="AN94" i="28"/>
  <c r="K94" i="28"/>
  <c r="CZ94" i="28" s="1"/>
  <c r="I94" i="28"/>
  <c r="EJ94" i="28" s="1"/>
  <c r="EP94" i="28" s="1"/>
  <c r="EQ94" i="28" s="1"/>
  <c r="EI93" i="28"/>
  <c r="EG93" i="28"/>
  <c r="EO93" i="28" s="1"/>
  <c r="DY93" i="28"/>
  <c r="DR93" i="28"/>
  <c r="EX93" i="28" s="1"/>
  <c r="DJ93" i="28"/>
  <c r="CS93" i="28"/>
  <c r="DE93" i="28" s="1"/>
  <c r="AN93" i="28"/>
  <c r="K93" i="28"/>
  <c r="ER93" i="28" s="1"/>
  <c r="I93" i="28"/>
  <c r="EO92" i="28"/>
  <c r="EI92" i="28"/>
  <c r="EG92" i="28"/>
  <c r="DY92" i="28"/>
  <c r="DR92" i="28"/>
  <c r="DJ92" i="28"/>
  <c r="DA92" i="28"/>
  <c r="CY92" i="28"/>
  <c r="CW92" i="28"/>
  <c r="CS92" i="28"/>
  <c r="DE92" i="28" s="1"/>
  <c r="AN92" i="28"/>
  <c r="K92" i="28"/>
  <c r="CZ92" i="28" s="1"/>
  <c r="I92" i="28"/>
  <c r="EJ92" i="28" s="1"/>
  <c r="EP92" i="28" s="1"/>
  <c r="DS60" i="44" l="1"/>
  <c r="DT60" i="44" s="1"/>
  <c r="DM60" i="44"/>
  <c r="DN60" i="44" s="1"/>
  <c r="DG102" i="44"/>
  <c r="DL102" i="44"/>
  <c r="DM6" i="44"/>
  <c r="DS6" i="44"/>
  <c r="DT6" i="44" s="1"/>
  <c r="DD107" i="44"/>
  <c r="DF107" i="44" s="1"/>
  <c r="DF5" i="44"/>
  <c r="DS27" i="44"/>
  <c r="DT27" i="44" s="1"/>
  <c r="DM27" i="44"/>
  <c r="DN27" i="44" s="1"/>
  <c r="DB72" i="44"/>
  <c r="EW72" i="44"/>
  <c r="EZ72" i="44" s="1"/>
  <c r="FA72" i="44" s="1"/>
  <c r="EV72" i="44"/>
  <c r="DG96" i="44"/>
  <c r="DL96" i="44"/>
  <c r="EV99" i="44"/>
  <c r="DB99" i="44"/>
  <c r="EW99" i="44"/>
  <c r="EZ99" i="44" s="1"/>
  <c r="FA99" i="44" s="1"/>
  <c r="DS84" i="44"/>
  <c r="DT84" i="44" s="1"/>
  <c r="DM84" i="44"/>
  <c r="DN84" i="44" s="1"/>
  <c r="DG38" i="44"/>
  <c r="DL38" i="44"/>
  <c r="DW107" i="44"/>
  <c r="DG32" i="44"/>
  <c r="DL32" i="44"/>
  <c r="EP107" i="44"/>
  <c r="DG81" i="44"/>
  <c r="DL81" i="44"/>
  <c r="DG72" i="44"/>
  <c r="DL72" i="44"/>
  <c r="DG106" i="44"/>
  <c r="DL106" i="44"/>
  <c r="EV37" i="44"/>
  <c r="DB37" i="44"/>
  <c r="EW37" i="44"/>
  <c r="EZ37" i="44" s="1"/>
  <c r="FA37" i="44" s="1"/>
  <c r="EL9" i="44"/>
  <c r="EM9" i="44"/>
  <c r="EM107" i="44" s="1"/>
  <c r="EL107" i="44" s="1"/>
  <c r="EM58" i="44"/>
  <c r="EL58" i="44"/>
  <c r="EM44" i="44"/>
  <c r="EL44" i="44"/>
  <c r="EM64" i="44"/>
  <c r="EL64" i="44"/>
  <c r="DS67" i="44"/>
  <c r="DT67" i="44" s="1"/>
  <c r="DM67" i="44"/>
  <c r="DN67" i="44" s="1"/>
  <c r="EM66" i="44"/>
  <c r="EL66" i="44"/>
  <c r="DV59" i="44"/>
  <c r="EV106" i="44"/>
  <c r="DB106" i="44"/>
  <c r="EW106" i="44"/>
  <c r="EZ106" i="44" s="1"/>
  <c r="FA106" i="44" s="1"/>
  <c r="DV26" i="44"/>
  <c r="EM60" i="44"/>
  <c r="EL60" i="44"/>
  <c r="DG43" i="44"/>
  <c r="DL43" i="44"/>
  <c r="EV80" i="44"/>
  <c r="EW80" i="44"/>
  <c r="EZ80" i="44" s="1"/>
  <c r="FA80" i="44" s="1"/>
  <c r="DB80" i="44"/>
  <c r="EE107" i="44"/>
  <c r="DN85" i="44"/>
  <c r="DV85" i="44"/>
  <c r="DS48" i="44"/>
  <c r="DT48" i="44" s="1"/>
  <c r="DM48" i="44"/>
  <c r="EM65" i="44"/>
  <c r="EL65" i="44"/>
  <c r="DB66" i="44"/>
  <c r="EV66" i="44"/>
  <c r="EW66" i="44"/>
  <c r="EZ66" i="44" s="1"/>
  <c r="FA66" i="44" s="1"/>
  <c r="DB102" i="44"/>
  <c r="EV102" i="44"/>
  <c r="EW102" i="44"/>
  <c r="EZ102" i="44" s="1"/>
  <c r="FA102" i="44" s="1"/>
  <c r="EM102" i="44"/>
  <c r="EL102" i="44"/>
  <c r="DH107" i="44"/>
  <c r="DL34" i="44"/>
  <c r="DG34" i="44"/>
  <c r="DL7" i="44"/>
  <c r="DG7" i="44"/>
  <c r="DG64" i="44"/>
  <c r="DL64" i="44"/>
  <c r="DS16" i="44"/>
  <c r="DT16" i="44" s="1"/>
  <c r="DM16" i="44"/>
  <c r="DN16" i="44" s="1"/>
  <c r="DB92" i="44"/>
  <c r="EW92" i="44"/>
  <c r="EZ92" i="44" s="1"/>
  <c r="FA92" i="44" s="1"/>
  <c r="EV92" i="44"/>
  <c r="DB50" i="44"/>
  <c r="EV50" i="44"/>
  <c r="EW50" i="44"/>
  <c r="EZ50" i="44" s="1"/>
  <c r="FA50" i="44" s="1"/>
  <c r="EV53" i="44"/>
  <c r="DB53" i="44"/>
  <c r="EW53" i="44"/>
  <c r="EZ53" i="44" s="1"/>
  <c r="FA53" i="44" s="1"/>
  <c r="DS18" i="44"/>
  <c r="DT18" i="44" s="1"/>
  <c r="DM18" i="44"/>
  <c r="DN18" i="44" s="1"/>
  <c r="DS91" i="44"/>
  <c r="DT91" i="44" s="1"/>
  <c r="DM91" i="44"/>
  <c r="DN91" i="44" s="1"/>
  <c r="DV86" i="44"/>
  <c r="EB106" i="44"/>
  <c r="ED106" i="44" s="1"/>
  <c r="DS98" i="44"/>
  <c r="DT98" i="44" s="1"/>
  <c r="DM98" i="44"/>
  <c r="DN98" i="44" s="1"/>
  <c r="DG42" i="44"/>
  <c r="DL42" i="44"/>
  <c r="DG76" i="44"/>
  <c r="DL76" i="44"/>
  <c r="EV42" i="44"/>
  <c r="EW42" i="44"/>
  <c r="EZ42" i="44" s="1"/>
  <c r="FA42" i="44" s="1"/>
  <c r="DB42" i="44"/>
  <c r="DS10" i="44"/>
  <c r="DT10" i="44" s="1"/>
  <c r="DM10" i="44"/>
  <c r="DN10" i="44" s="1"/>
  <c r="DG87" i="44"/>
  <c r="DL87" i="44"/>
  <c r="DB38" i="44"/>
  <c r="EV38" i="44"/>
  <c r="EW38" i="44"/>
  <c r="EZ38" i="44" s="1"/>
  <c r="FA38" i="44" s="1"/>
  <c r="EA107" i="44"/>
  <c r="DL99" i="44"/>
  <c r="DG99" i="44"/>
  <c r="DV16" i="44"/>
  <c r="EM46" i="44"/>
  <c r="EL46" i="44"/>
  <c r="DG92" i="44"/>
  <c r="DL92" i="44"/>
  <c r="EV81" i="44"/>
  <c r="DB81" i="44"/>
  <c r="EW81" i="44"/>
  <c r="EZ81" i="44" s="1"/>
  <c r="FA81" i="44" s="1"/>
  <c r="EV90" i="44"/>
  <c r="DB90" i="44"/>
  <c r="EW90" i="44"/>
  <c r="EZ90" i="44" s="1"/>
  <c r="FA90" i="44" s="1"/>
  <c r="DB96" i="44"/>
  <c r="EV96" i="44"/>
  <c r="EW96" i="44"/>
  <c r="EZ96" i="44" s="1"/>
  <c r="FA96" i="44" s="1"/>
  <c r="DM35" i="44"/>
  <c r="DN35" i="44" s="1"/>
  <c r="DS35" i="44"/>
  <c r="DT35" i="44" s="1"/>
  <c r="CM110" i="44"/>
  <c r="BO110" i="44"/>
  <c r="CL110" i="44"/>
  <c r="BN110" i="44"/>
  <c r="CK110" i="44"/>
  <c r="BM110" i="44"/>
  <c r="CG110" i="44"/>
  <c r="AX110" i="44"/>
  <c r="CA110" i="44"/>
  <c r="AW110" i="44"/>
  <c r="BZ110" i="44"/>
  <c r="BW110" i="44"/>
  <c r="BY110" i="44"/>
  <c r="BV110" i="44"/>
  <c r="BU110" i="44"/>
  <c r="BI110" i="44"/>
  <c r="BC110" i="44"/>
  <c r="BB110" i="44"/>
  <c r="BA110" i="44"/>
  <c r="AY110" i="44"/>
  <c r="CR110" i="44"/>
  <c r="CC110" i="44"/>
  <c r="CJ110" i="44"/>
  <c r="BF110" i="44"/>
  <c r="AV110" i="44"/>
  <c r="CO110" i="44"/>
  <c r="BR110" i="44"/>
  <c r="AU110" i="44"/>
  <c r="CQ110" i="44"/>
  <c r="BJ110" i="44"/>
  <c r="CN110" i="44"/>
  <c r="CF110" i="44"/>
  <c r="BX110" i="44"/>
  <c r="CH110" i="44"/>
  <c r="BE110" i="44"/>
  <c r="BD110" i="44"/>
  <c r="BH110" i="44"/>
  <c r="CD110" i="44"/>
  <c r="BK110" i="44"/>
  <c r="BS110" i="44"/>
  <c r="BP110" i="44"/>
  <c r="BG110" i="44"/>
  <c r="CI110" i="44"/>
  <c r="CE110" i="44"/>
  <c r="CB110" i="44"/>
  <c r="BT110" i="44"/>
  <c r="CP110" i="44"/>
  <c r="AZ110" i="44"/>
  <c r="BL110" i="44"/>
  <c r="BQ110" i="44"/>
  <c r="DB34" i="44"/>
  <c r="EV34" i="44"/>
  <c r="EW34" i="44"/>
  <c r="EZ34" i="44" s="1"/>
  <c r="FA34" i="44" s="1"/>
  <c r="DB32" i="44"/>
  <c r="EV32" i="44"/>
  <c r="EW32" i="44"/>
  <c r="EZ32" i="44" s="1"/>
  <c r="FA32" i="44" s="1"/>
  <c r="DM59" i="44"/>
  <c r="DN59" i="44" s="1"/>
  <c r="DS59" i="44"/>
  <c r="DT59" i="44" s="1"/>
  <c r="EV56" i="44"/>
  <c r="DB56" i="44"/>
  <c r="EW56" i="44"/>
  <c r="EZ56" i="44" s="1"/>
  <c r="FA56" i="44" s="1"/>
  <c r="DN65" i="44"/>
  <c r="DV65" i="44"/>
  <c r="EM16" i="44"/>
  <c r="EL16" i="44"/>
  <c r="DN52" i="44"/>
  <c r="DV52" i="44"/>
  <c r="DG44" i="44"/>
  <c r="DL44" i="44"/>
  <c r="EV43" i="44"/>
  <c r="EW43" i="44"/>
  <c r="EZ43" i="44" s="1"/>
  <c r="FA43" i="44" s="1"/>
  <c r="DB43" i="44"/>
  <c r="DB19" i="44"/>
  <c r="EW19" i="44"/>
  <c r="EZ19" i="44" s="1"/>
  <c r="FA19" i="44" s="1"/>
  <c r="EV19" i="44"/>
  <c r="EM68" i="44"/>
  <c r="EL68" i="44"/>
  <c r="DL31" i="44"/>
  <c r="DG31" i="44"/>
  <c r="CU107" i="44"/>
  <c r="DB107" i="44" s="1"/>
  <c r="DB5" i="44"/>
  <c r="EW5" i="44"/>
  <c r="EV5" i="44"/>
  <c r="EV39" i="44"/>
  <c r="EW39" i="44"/>
  <c r="EZ39" i="44" s="1"/>
  <c r="FA39" i="44" s="1"/>
  <c r="DB39" i="44"/>
  <c r="DG95" i="44"/>
  <c r="DL95" i="44"/>
  <c r="DB74" i="44"/>
  <c r="EW74" i="44"/>
  <c r="EZ74" i="44" s="1"/>
  <c r="FA74" i="44" s="1"/>
  <c r="EV74" i="44"/>
  <c r="EB7" i="44"/>
  <c r="ED7" i="44" s="1"/>
  <c r="DL14" i="44"/>
  <c r="DG14" i="44"/>
  <c r="DG50" i="44"/>
  <c r="DL50" i="44"/>
  <c r="EM14" i="44"/>
  <c r="EL14" i="44"/>
  <c r="EM70" i="44"/>
  <c r="EL70" i="44"/>
  <c r="DS13" i="44"/>
  <c r="DT13" i="44" s="1"/>
  <c r="DM13" i="44"/>
  <c r="DN13" i="44" s="1"/>
  <c r="DM71" i="44"/>
  <c r="DN71" i="44" s="1"/>
  <c r="DS71" i="44"/>
  <c r="DT71" i="44" s="1"/>
  <c r="DM8" i="44"/>
  <c r="DN8" i="44" s="1"/>
  <c r="DS8" i="44"/>
  <c r="DT8" i="44" s="1"/>
  <c r="EV100" i="44"/>
  <c r="DB100" i="44"/>
  <c r="EW100" i="44"/>
  <c r="EZ100" i="44" s="1"/>
  <c r="FA100" i="44" s="1"/>
  <c r="EM45" i="44"/>
  <c r="EL45" i="44"/>
  <c r="DG58" i="44"/>
  <c r="DL58" i="44"/>
  <c r="EM30" i="44"/>
  <c r="EL30" i="44"/>
  <c r="DV73" i="44"/>
  <c r="DG66" i="44"/>
  <c r="DL66" i="44"/>
  <c r="DG100" i="44"/>
  <c r="DL100" i="44"/>
  <c r="DN45" i="44"/>
  <c r="DV45" i="44"/>
  <c r="EV77" i="44"/>
  <c r="DB77" i="44"/>
  <c r="EW77" i="44"/>
  <c r="EZ77" i="44" s="1"/>
  <c r="FA77" i="44" s="1"/>
  <c r="DG56" i="44"/>
  <c r="DL56" i="44"/>
  <c r="DS78" i="44"/>
  <c r="DT78" i="44" s="1"/>
  <c r="DM78" i="44"/>
  <c r="DN78" i="44" s="1"/>
  <c r="EV44" i="44"/>
  <c r="DB44" i="44"/>
  <c r="EW44" i="44"/>
  <c r="EZ44" i="44" s="1"/>
  <c r="FA44" i="44" s="1"/>
  <c r="DB79" i="44"/>
  <c r="EV79" i="44"/>
  <c r="EW79" i="44"/>
  <c r="EZ79" i="44" s="1"/>
  <c r="FA79" i="44" s="1"/>
  <c r="DG82" i="44"/>
  <c r="DL82" i="44"/>
  <c r="DM41" i="44"/>
  <c r="DN41" i="44" s="1"/>
  <c r="DS41" i="44"/>
  <c r="DT41" i="44" s="1"/>
  <c r="DS46" i="44"/>
  <c r="DT46" i="44" s="1"/>
  <c r="DM46" i="44"/>
  <c r="DN46" i="44" s="1"/>
  <c r="EM106" i="44"/>
  <c r="EL106" i="44"/>
  <c r="DB7" i="44"/>
  <c r="EV7" i="44"/>
  <c r="EW7" i="44"/>
  <c r="EZ7" i="44" s="1"/>
  <c r="FA7" i="44" s="1"/>
  <c r="EV64" i="44"/>
  <c r="EW64" i="44"/>
  <c r="EZ64" i="44" s="1"/>
  <c r="FA64" i="44" s="1"/>
  <c r="DB64" i="44"/>
  <c r="EB24" i="44"/>
  <c r="ED24" i="44" s="1"/>
  <c r="DM33" i="44"/>
  <c r="DN33" i="44" s="1"/>
  <c r="DS33" i="44"/>
  <c r="DT33" i="44" s="1"/>
  <c r="EM67" i="44"/>
  <c r="EL67" i="44"/>
  <c r="EM86" i="44"/>
  <c r="EL86" i="44"/>
  <c r="DG24" i="44"/>
  <c r="DL24" i="44"/>
  <c r="DV54" i="44"/>
  <c r="EB31" i="44"/>
  <c r="ED31" i="44" s="1"/>
  <c r="DS57" i="44"/>
  <c r="DT57" i="44" s="1"/>
  <c r="DM57" i="44"/>
  <c r="EV47" i="44"/>
  <c r="DB47" i="44"/>
  <c r="EW47" i="44"/>
  <c r="EZ47" i="44" s="1"/>
  <c r="FA47" i="44" s="1"/>
  <c r="DL80" i="44"/>
  <c r="DG80" i="44"/>
  <c r="DS61" i="44"/>
  <c r="DT61" i="44" s="1"/>
  <c r="DM61" i="44"/>
  <c r="DG53" i="44"/>
  <c r="DL53" i="44"/>
  <c r="DM73" i="44"/>
  <c r="DN73" i="44" s="1"/>
  <c r="DS73" i="44"/>
  <c r="DT73" i="44" s="1"/>
  <c r="DM97" i="44"/>
  <c r="DN97" i="44" s="1"/>
  <c r="DS97" i="44"/>
  <c r="DT97" i="44" s="1"/>
  <c r="DG37" i="44"/>
  <c r="DL37" i="44"/>
  <c r="DG22" i="44"/>
  <c r="DL22" i="44"/>
  <c r="EM7" i="44"/>
  <c r="EL7" i="44"/>
  <c r="EV87" i="44"/>
  <c r="DB87" i="44"/>
  <c r="EW87" i="44"/>
  <c r="EZ87" i="44" s="1"/>
  <c r="FA87" i="44" s="1"/>
  <c r="DB20" i="44"/>
  <c r="EW20" i="44"/>
  <c r="EZ20" i="44" s="1"/>
  <c r="FA20" i="44" s="1"/>
  <c r="EV20" i="44"/>
  <c r="DV41" i="44"/>
  <c r="EV31" i="44"/>
  <c r="DB31" i="44"/>
  <c r="EW31" i="44"/>
  <c r="EZ31" i="44" s="1"/>
  <c r="FA31" i="44" s="1"/>
  <c r="DG39" i="44"/>
  <c r="DL39" i="44"/>
  <c r="EB44" i="44"/>
  <c r="ED44" i="44" s="1"/>
  <c r="DG74" i="44"/>
  <c r="DL74" i="44"/>
  <c r="DV21" i="44"/>
  <c r="EV14" i="44"/>
  <c r="EW14" i="44"/>
  <c r="EZ14" i="44" s="1"/>
  <c r="FA14" i="44" s="1"/>
  <c r="DB14" i="44"/>
  <c r="DG70" i="44"/>
  <c r="DL70" i="44"/>
  <c r="DL23" i="44"/>
  <c r="DG23" i="44"/>
  <c r="DM29" i="44"/>
  <c r="DN29" i="44" s="1"/>
  <c r="DS29" i="44"/>
  <c r="DT29" i="44" s="1"/>
  <c r="EV83" i="44"/>
  <c r="DB83" i="44"/>
  <c r="EW83" i="44"/>
  <c r="EZ83" i="44" s="1"/>
  <c r="FA83" i="44" s="1"/>
  <c r="DS69" i="44"/>
  <c r="DT69" i="44" s="1"/>
  <c r="DM69" i="44"/>
  <c r="DN94" i="44"/>
  <c r="DV94" i="44"/>
  <c r="DG90" i="44"/>
  <c r="DL90" i="44"/>
  <c r="EV36" i="44"/>
  <c r="DB36" i="44"/>
  <c r="EW36" i="44"/>
  <c r="EZ36" i="44" s="1"/>
  <c r="FA36" i="44" s="1"/>
  <c r="DG77" i="44"/>
  <c r="DL77" i="44"/>
  <c r="EB107" i="44"/>
  <c r="ED5" i="44"/>
  <c r="EM32" i="44"/>
  <c r="EL32" i="44"/>
  <c r="DL19" i="44"/>
  <c r="DG19" i="44"/>
  <c r="DM9" i="44"/>
  <c r="DS9" i="44"/>
  <c r="DT9" i="44" s="1"/>
  <c r="DL79" i="44"/>
  <c r="DG79" i="44"/>
  <c r="DG20" i="44"/>
  <c r="DL20" i="44"/>
  <c r="DM103" i="44"/>
  <c r="DS103" i="44"/>
  <c r="DT103" i="44" s="1"/>
  <c r="EB96" i="44"/>
  <c r="ED96" i="44" s="1"/>
  <c r="DB95" i="44"/>
  <c r="EV95" i="44"/>
  <c r="EW95" i="44"/>
  <c r="EZ95" i="44" s="1"/>
  <c r="FA95" i="44" s="1"/>
  <c r="DN88" i="44"/>
  <c r="DV88" i="44"/>
  <c r="EB14" i="44"/>
  <c r="ED14" i="44" s="1"/>
  <c r="DV25" i="44"/>
  <c r="DS105" i="44"/>
  <c r="DT105" i="44" s="1"/>
  <c r="DM105" i="44"/>
  <c r="DN105" i="44" s="1"/>
  <c r="EB79" i="44"/>
  <c r="ED79" i="44" s="1"/>
  <c r="DS104" i="44"/>
  <c r="DT104" i="44" s="1"/>
  <c r="DM104" i="44"/>
  <c r="DN104" i="44" s="1"/>
  <c r="DB23" i="44"/>
  <c r="EV23" i="44"/>
  <c r="EW23" i="44"/>
  <c r="EZ23" i="44" s="1"/>
  <c r="FA23" i="44" s="1"/>
  <c r="EB102" i="44"/>
  <c r="ED102" i="44" s="1"/>
  <c r="DM15" i="44"/>
  <c r="DS15" i="44"/>
  <c r="DT15" i="44" s="1"/>
  <c r="EV22" i="44"/>
  <c r="DB22" i="44"/>
  <c r="EW22" i="44"/>
  <c r="EZ22" i="44" s="1"/>
  <c r="FA22" i="44" s="1"/>
  <c r="EV82" i="44"/>
  <c r="DB82" i="44"/>
  <c r="EW82" i="44"/>
  <c r="EZ82" i="44" s="1"/>
  <c r="FA82" i="44" s="1"/>
  <c r="EB66" i="44"/>
  <c r="ED66" i="44" s="1"/>
  <c r="DV101" i="44"/>
  <c r="EV28" i="44"/>
  <c r="DB28" i="44"/>
  <c r="EW28" i="44"/>
  <c r="EZ28" i="44" s="1"/>
  <c r="FA28" i="44" s="1"/>
  <c r="EM24" i="44"/>
  <c r="EL24" i="44"/>
  <c r="EV24" i="44"/>
  <c r="DB24" i="44"/>
  <c r="EW24" i="44"/>
  <c r="EZ24" i="44" s="1"/>
  <c r="FA24" i="44" s="1"/>
  <c r="DG83" i="44"/>
  <c r="DL83" i="44"/>
  <c r="EB22" i="44"/>
  <c r="ED22" i="44" s="1"/>
  <c r="DM12" i="44"/>
  <c r="DN12" i="44" s="1"/>
  <c r="DS12" i="44"/>
  <c r="DT12" i="44" s="1"/>
  <c r="DG36" i="44"/>
  <c r="DL36" i="44"/>
  <c r="EM40" i="44"/>
  <c r="EL40" i="44"/>
  <c r="DV60" i="44"/>
  <c r="DN89" i="44"/>
  <c r="DV89" i="44"/>
  <c r="DN40" i="44"/>
  <c r="DV40" i="44"/>
  <c r="DG28" i="44"/>
  <c r="DL28" i="44"/>
  <c r="DV17" i="44"/>
  <c r="EV76" i="44"/>
  <c r="DB76" i="44"/>
  <c r="EW76" i="44"/>
  <c r="EZ76" i="44" s="1"/>
  <c r="FA76" i="44" s="1"/>
  <c r="DB58" i="44"/>
  <c r="EV58" i="44"/>
  <c r="EW58" i="44"/>
  <c r="EZ58" i="44" s="1"/>
  <c r="FA58" i="44" s="1"/>
  <c r="EV70" i="44"/>
  <c r="DB70" i="44"/>
  <c r="EW70" i="44"/>
  <c r="EZ70" i="44" s="1"/>
  <c r="FA70" i="44" s="1"/>
  <c r="EQ107" i="44"/>
  <c r="DS49" i="44"/>
  <c r="DT49" i="44" s="1"/>
  <c r="DM49" i="44"/>
  <c r="DN49" i="44" s="1"/>
  <c r="DL47" i="44"/>
  <c r="DG47" i="44"/>
  <c r="DN61" i="43"/>
  <c r="DV61" i="43"/>
  <c r="DB16" i="43"/>
  <c r="EW16" i="43"/>
  <c r="EZ16" i="43" s="1"/>
  <c r="FA16" i="43" s="1"/>
  <c r="EV16" i="43"/>
  <c r="DB85" i="43"/>
  <c r="EV85" i="43"/>
  <c r="EW85" i="43"/>
  <c r="EZ85" i="43" s="1"/>
  <c r="FA85" i="43" s="1"/>
  <c r="EV20" i="43"/>
  <c r="DB20" i="43"/>
  <c r="EW20" i="43"/>
  <c r="EZ20" i="43" s="1"/>
  <c r="FA20" i="43" s="1"/>
  <c r="DM49" i="43"/>
  <c r="DN49" i="43" s="1"/>
  <c r="DS49" i="43"/>
  <c r="DT49" i="43" s="1"/>
  <c r="DN18" i="43"/>
  <c r="DV18" i="43"/>
  <c r="DG42" i="43"/>
  <c r="DL42" i="43"/>
  <c r="DN51" i="43"/>
  <c r="DV51" i="43"/>
  <c r="DV102" i="43"/>
  <c r="EW88" i="43"/>
  <c r="EZ88" i="43" s="1"/>
  <c r="FA88" i="43" s="1"/>
  <c r="EV88" i="43"/>
  <c r="DB88" i="43"/>
  <c r="EV47" i="43"/>
  <c r="DB47" i="43"/>
  <c r="EW47" i="43"/>
  <c r="EZ47" i="43" s="1"/>
  <c r="FA47" i="43" s="1"/>
  <c r="DG7" i="43"/>
  <c r="DL7" i="43"/>
  <c r="DL54" i="43"/>
  <c r="DG54" i="43"/>
  <c r="EV63" i="43"/>
  <c r="DB63" i="43"/>
  <c r="EW63" i="43"/>
  <c r="EZ63" i="43" s="1"/>
  <c r="FA63" i="43" s="1"/>
  <c r="DG48" i="43"/>
  <c r="DL48" i="43"/>
  <c r="DB76" i="43"/>
  <c r="EV76" i="43"/>
  <c r="EW76" i="43"/>
  <c r="EZ76" i="43" s="1"/>
  <c r="FA76" i="43" s="1"/>
  <c r="DB101" i="43"/>
  <c r="EV101" i="43"/>
  <c r="EW101" i="43"/>
  <c r="EZ101" i="43" s="1"/>
  <c r="FA101" i="43" s="1"/>
  <c r="EB94" i="43"/>
  <c r="ED94" i="43" s="1"/>
  <c r="DG43" i="43"/>
  <c r="DL43" i="43"/>
  <c r="EM80" i="43"/>
  <c r="EL80" i="43"/>
  <c r="DV87" i="43"/>
  <c r="DV33" i="43"/>
  <c r="EM12" i="43"/>
  <c r="EL12" i="43"/>
  <c r="DB79" i="43"/>
  <c r="EV79" i="43"/>
  <c r="EW79" i="43"/>
  <c r="EZ79" i="43" s="1"/>
  <c r="FA79" i="43" s="1"/>
  <c r="EW41" i="43"/>
  <c r="EZ41" i="43" s="1"/>
  <c r="FA41" i="43" s="1"/>
  <c r="DB41" i="43"/>
  <c r="EV41" i="43"/>
  <c r="DM74" i="43"/>
  <c r="DN74" i="43" s="1"/>
  <c r="DS74" i="43"/>
  <c r="DT74" i="43" s="1"/>
  <c r="EM64" i="43"/>
  <c r="EL64" i="43"/>
  <c r="EB7" i="43"/>
  <c r="ED7" i="43" s="1"/>
  <c r="DL88" i="43"/>
  <c r="DG88" i="43"/>
  <c r="DS29" i="43"/>
  <c r="DT29" i="43" s="1"/>
  <c r="DM29" i="43"/>
  <c r="DN29" i="43" s="1"/>
  <c r="DG68" i="43"/>
  <c r="DL68" i="43"/>
  <c r="DB42" i="43"/>
  <c r="EV42" i="43"/>
  <c r="EW42" i="43"/>
  <c r="EZ42" i="43" s="1"/>
  <c r="FA42" i="43" s="1"/>
  <c r="EM34" i="43"/>
  <c r="EL34" i="43"/>
  <c r="EM78" i="43"/>
  <c r="EL78" i="43"/>
  <c r="DG63" i="43"/>
  <c r="DL63" i="43"/>
  <c r="DN40" i="43"/>
  <c r="DV40" i="43"/>
  <c r="DM83" i="43"/>
  <c r="DS83" i="43"/>
  <c r="DT83" i="43" s="1"/>
  <c r="DN6" i="43"/>
  <c r="DV6" i="43"/>
  <c r="DG47" i="43"/>
  <c r="DL47" i="43"/>
  <c r="DN86" i="43"/>
  <c r="DV86" i="43"/>
  <c r="DS97" i="43"/>
  <c r="DT97" i="43" s="1"/>
  <c r="DM97" i="43"/>
  <c r="DN97" i="43" s="1"/>
  <c r="DG19" i="43"/>
  <c r="DL19" i="43"/>
  <c r="DB34" i="43"/>
  <c r="EV34" i="43"/>
  <c r="EW34" i="43"/>
  <c r="EZ34" i="43" s="1"/>
  <c r="FA34" i="43" s="1"/>
  <c r="DS87" i="43"/>
  <c r="DT87" i="43" s="1"/>
  <c r="DM87" i="43"/>
  <c r="DN87" i="43" s="1"/>
  <c r="EV57" i="43"/>
  <c r="DB57" i="43"/>
  <c r="EW57" i="43"/>
  <c r="EZ57" i="43" s="1"/>
  <c r="FA57" i="43" s="1"/>
  <c r="DB81" i="43"/>
  <c r="EV81" i="43"/>
  <c r="EW81" i="43"/>
  <c r="EZ81" i="43" s="1"/>
  <c r="FA81" i="43" s="1"/>
  <c r="EV54" i="43"/>
  <c r="DB54" i="43"/>
  <c r="EW54" i="43"/>
  <c r="EZ54" i="43" s="1"/>
  <c r="FA54" i="43" s="1"/>
  <c r="DV17" i="43"/>
  <c r="DL62" i="43"/>
  <c r="DG62" i="43"/>
  <c r="EW37" i="43"/>
  <c r="EZ37" i="43" s="1"/>
  <c r="FA37" i="43" s="1"/>
  <c r="DB37" i="43"/>
  <c r="EV37" i="43"/>
  <c r="CL110" i="43"/>
  <c r="CK110" i="43"/>
  <c r="BB110" i="43"/>
  <c r="BA110" i="43"/>
  <c r="BZ110" i="43"/>
  <c r="BY110" i="43"/>
  <c r="BW110" i="43"/>
  <c r="BU110" i="43"/>
  <c r="BN110" i="43"/>
  <c r="BM110" i="43"/>
  <c r="AY110" i="43"/>
  <c r="AX110" i="43"/>
  <c r="BS110" i="43"/>
  <c r="BJ110" i="43"/>
  <c r="BT110" i="43"/>
  <c r="CJ110" i="43"/>
  <c r="BG110" i="43"/>
  <c r="CN110" i="43"/>
  <c r="CM110" i="43"/>
  <c r="BH110" i="43"/>
  <c r="CG110" i="43"/>
  <c r="CD110" i="43"/>
  <c r="BD110" i="43"/>
  <c r="BX110" i="43"/>
  <c r="BF110" i="43"/>
  <c r="AV110" i="43"/>
  <c r="AW110" i="43"/>
  <c r="CP110" i="43"/>
  <c r="CE110" i="43"/>
  <c r="BC110" i="43"/>
  <c r="CC110" i="43"/>
  <c r="CI110" i="43"/>
  <c r="BR110" i="43"/>
  <c r="CF110" i="43"/>
  <c r="AU110" i="43"/>
  <c r="BL110" i="43"/>
  <c r="BQ110" i="43"/>
  <c r="CH110" i="43"/>
  <c r="BI110" i="43"/>
  <c r="CB110" i="43"/>
  <c r="CA110" i="43"/>
  <c r="AZ110" i="43"/>
  <c r="BV110" i="43"/>
  <c r="BE110" i="43"/>
  <c r="CQ110" i="43"/>
  <c r="BP110" i="43"/>
  <c r="BO110" i="43"/>
  <c r="CR110" i="43"/>
  <c r="CO110" i="43"/>
  <c r="BK110" i="43"/>
  <c r="DB67" i="43"/>
  <c r="EV67" i="43"/>
  <c r="EW67" i="43"/>
  <c r="EZ67" i="43" s="1"/>
  <c r="FA67" i="43" s="1"/>
  <c r="DL76" i="43"/>
  <c r="DG76" i="43"/>
  <c r="DS104" i="43"/>
  <c r="DT104" i="43" s="1"/>
  <c r="DM104" i="43"/>
  <c r="DN104" i="43" s="1"/>
  <c r="DM92" i="43"/>
  <c r="DN92" i="43" s="1"/>
  <c r="DS92" i="43"/>
  <c r="DT92" i="43" s="1"/>
  <c r="DS103" i="43"/>
  <c r="DT103" i="43" s="1"/>
  <c r="DM103" i="43"/>
  <c r="DN103" i="43" s="1"/>
  <c r="ED5" i="43"/>
  <c r="ED107" i="43" s="1"/>
  <c r="DB59" i="43"/>
  <c r="EW59" i="43"/>
  <c r="EZ59" i="43" s="1"/>
  <c r="FA59" i="43" s="1"/>
  <c r="EV59" i="43"/>
  <c r="EV100" i="43"/>
  <c r="DB100" i="43"/>
  <c r="EW100" i="43"/>
  <c r="EZ100" i="43" s="1"/>
  <c r="FA100" i="43" s="1"/>
  <c r="DG85" i="43"/>
  <c r="DL85" i="43"/>
  <c r="EV94" i="43"/>
  <c r="DB94" i="43"/>
  <c r="EW94" i="43"/>
  <c r="EZ94" i="43" s="1"/>
  <c r="FA94" i="43" s="1"/>
  <c r="DS98" i="43"/>
  <c r="DT98" i="43" s="1"/>
  <c r="DM98" i="43"/>
  <c r="DN98" i="43" s="1"/>
  <c r="EB35" i="43"/>
  <c r="ED35" i="43" s="1"/>
  <c r="DS70" i="43"/>
  <c r="DT70" i="43" s="1"/>
  <c r="DM70" i="43"/>
  <c r="DN70" i="43" s="1"/>
  <c r="EM72" i="43"/>
  <c r="EL72" i="43"/>
  <c r="EL27" i="43"/>
  <c r="EM27" i="43"/>
  <c r="EV48" i="43"/>
  <c r="DB48" i="43"/>
  <c r="EW48" i="43"/>
  <c r="EZ48" i="43" s="1"/>
  <c r="FA48" i="43" s="1"/>
  <c r="EM95" i="43"/>
  <c r="EL95" i="43"/>
  <c r="DM66" i="43"/>
  <c r="DN66" i="43" s="1"/>
  <c r="DS66" i="43"/>
  <c r="DT66" i="43" s="1"/>
  <c r="EM102" i="43"/>
  <c r="EL102" i="43"/>
  <c r="DG67" i="43"/>
  <c r="DL67" i="43"/>
  <c r="EK107" i="43"/>
  <c r="EM5" i="43"/>
  <c r="EL5" i="43"/>
  <c r="DG100" i="43"/>
  <c r="DL100" i="43"/>
  <c r="EB34" i="43"/>
  <c r="ED34" i="43" s="1"/>
  <c r="DM77" i="43"/>
  <c r="DN77" i="43" s="1"/>
  <c r="DS77" i="43"/>
  <c r="DT77" i="43" s="1"/>
  <c r="EB95" i="43"/>
  <c r="ED95" i="43" s="1"/>
  <c r="EM66" i="43"/>
  <c r="EL66" i="43"/>
  <c r="DG57" i="43"/>
  <c r="DL57" i="43"/>
  <c r="EB57" i="43"/>
  <c r="ED57" i="43" s="1"/>
  <c r="EM85" i="43"/>
  <c r="EL85" i="43"/>
  <c r="DG8" i="43"/>
  <c r="DL8" i="43"/>
  <c r="DH107" i="43"/>
  <c r="DS11" i="43"/>
  <c r="DT11" i="43" s="1"/>
  <c r="DM11" i="43"/>
  <c r="DN11" i="43" s="1"/>
  <c r="DV27" i="43"/>
  <c r="DV71" i="43"/>
  <c r="DV104" i="43"/>
  <c r="DM14" i="43"/>
  <c r="DN14" i="43" s="1"/>
  <c r="DS14" i="43"/>
  <c r="DT14" i="43" s="1"/>
  <c r="DV103" i="43"/>
  <c r="DN30" i="43"/>
  <c r="DV30" i="43"/>
  <c r="DG59" i="43"/>
  <c r="DL59" i="43"/>
  <c r="DB13" i="43"/>
  <c r="EV13" i="43"/>
  <c r="EW13" i="43"/>
  <c r="EZ13" i="43" s="1"/>
  <c r="FA13" i="43" s="1"/>
  <c r="DB50" i="43"/>
  <c r="EV50" i="43"/>
  <c r="EW50" i="43"/>
  <c r="EZ50" i="43" s="1"/>
  <c r="FA50" i="43" s="1"/>
  <c r="EM69" i="43"/>
  <c r="EL69" i="43"/>
  <c r="DM52" i="43"/>
  <c r="DN52" i="43" s="1"/>
  <c r="DS52" i="43"/>
  <c r="DT52" i="43" s="1"/>
  <c r="DG101" i="43"/>
  <c r="DL101" i="43"/>
  <c r="EW43" i="43"/>
  <c r="EZ43" i="43" s="1"/>
  <c r="FA43" i="43" s="1"/>
  <c r="DB43" i="43"/>
  <c r="EV43" i="43"/>
  <c r="DS12" i="43"/>
  <c r="DT12" i="43" s="1"/>
  <c r="DM12" i="43"/>
  <c r="DN12" i="43" s="1"/>
  <c r="DG37" i="43"/>
  <c r="DL37" i="43"/>
  <c r="DG20" i="43"/>
  <c r="DL20" i="43"/>
  <c r="DV49" i="43"/>
  <c r="EV7" i="43"/>
  <c r="DB7" i="43"/>
  <c r="EW7" i="43"/>
  <c r="EZ7" i="43" s="1"/>
  <c r="FA7" i="43" s="1"/>
  <c r="DG79" i="43"/>
  <c r="DL79" i="43"/>
  <c r="DW107" i="43"/>
  <c r="DV11" i="43"/>
  <c r="DG95" i="43"/>
  <c r="DL95" i="43"/>
  <c r="DS90" i="43"/>
  <c r="DT90" i="43" s="1"/>
  <c r="DM90" i="43"/>
  <c r="DN90" i="43" s="1"/>
  <c r="DG50" i="43"/>
  <c r="DL50" i="43"/>
  <c r="DV55" i="43"/>
  <c r="EM84" i="43"/>
  <c r="EL84" i="43"/>
  <c r="DG81" i="43"/>
  <c r="DL81" i="43"/>
  <c r="DV60" i="43"/>
  <c r="DB62" i="43"/>
  <c r="EV62" i="43"/>
  <c r="EW62" i="43"/>
  <c r="EZ62" i="43" s="1"/>
  <c r="FA62" i="43" s="1"/>
  <c r="EV8" i="43"/>
  <c r="DB8" i="43"/>
  <c r="EW8" i="43"/>
  <c r="EZ8" i="43" s="1"/>
  <c r="FA8" i="43" s="1"/>
  <c r="DD107" i="43"/>
  <c r="DF107" i="43" s="1"/>
  <c r="DF5" i="43"/>
  <c r="DS10" i="43"/>
  <c r="DT10" i="43" s="1"/>
  <c r="DM10" i="43"/>
  <c r="DM25" i="43"/>
  <c r="DN25" i="43" s="1"/>
  <c r="DS25" i="43"/>
  <c r="DT25" i="43" s="1"/>
  <c r="DL41" i="43"/>
  <c r="DG41" i="43"/>
  <c r="DS28" i="43"/>
  <c r="DT28" i="43" s="1"/>
  <c r="DM28" i="43"/>
  <c r="DN28" i="43" s="1"/>
  <c r="DG45" i="43"/>
  <c r="DL45" i="43"/>
  <c r="DG13" i="43"/>
  <c r="DL13" i="43"/>
  <c r="EW26" i="43"/>
  <c r="EZ26" i="43" s="1"/>
  <c r="FA26" i="43" s="1"/>
  <c r="EV26" i="43"/>
  <c r="DB26" i="43"/>
  <c r="DV84" i="43"/>
  <c r="DL34" i="43"/>
  <c r="DG34" i="43"/>
  <c r="DV70" i="43"/>
  <c r="EM32" i="43"/>
  <c r="EL32" i="43"/>
  <c r="DS31" i="43"/>
  <c r="DT31" i="43" s="1"/>
  <c r="DM31" i="43"/>
  <c r="DN31" i="43" s="1"/>
  <c r="DB91" i="43"/>
  <c r="EW91" i="43"/>
  <c r="EZ91" i="43" s="1"/>
  <c r="FA91" i="43" s="1"/>
  <c r="EV91" i="43"/>
  <c r="DG26" i="43"/>
  <c r="DL26" i="43"/>
  <c r="DB19" i="43"/>
  <c r="EW19" i="43"/>
  <c r="EZ19" i="43" s="1"/>
  <c r="FA19" i="43" s="1"/>
  <c r="EV19" i="43"/>
  <c r="DG35" i="43"/>
  <c r="DL35" i="43"/>
  <c r="EL100" i="43"/>
  <c r="EM100" i="43"/>
  <c r="DS72" i="43"/>
  <c r="DT72" i="43" s="1"/>
  <c r="DM72" i="43"/>
  <c r="DN72" i="43" s="1"/>
  <c r="DN69" i="43"/>
  <c r="DV69" i="43"/>
  <c r="EM61" i="43"/>
  <c r="EL61" i="43"/>
  <c r="EL44" i="43"/>
  <c r="EM44" i="43"/>
  <c r="EM40" i="43"/>
  <c r="EL40" i="43"/>
  <c r="DS99" i="43"/>
  <c r="DT99" i="43" s="1"/>
  <c r="DM99" i="43"/>
  <c r="EV9" i="43"/>
  <c r="DB9" i="43"/>
  <c r="EW9" i="43"/>
  <c r="EZ9" i="43" s="1"/>
  <c r="FA9" i="43" s="1"/>
  <c r="DB35" i="43"/>
  <c r="EV35" i="43"/>
  <c r="EW35" i="43"/>
  <c r="EZ35" i="43" s="1"/>
  <c r="FA35" i="43" s="1"/>
  <c r="DN22" i="43"/>
  <c r="DV22" i="43"/>
  <c r="DS60" i="43"/>
  <c r="DT60" i="43" s="1"/>
  <c r="DM60" i="43"/>
  <c r="DN60" i="43" s="1"/>
  <c r="DV89" i="43"/>
  <c r="DG56" i="43"/>
  <c r="DL56" i="43"/>
  <c r="EA107" i="43"/>
  <c r="DV39" i="43"/>
  <c r="DB105" i="43"/>
  <c r="EV105" i="43"/>
  <c r="EW105" i="43"/>
  <c r="EZ105" i="43" s="1"/>
  <c r="FA105" i="43" s="1"/>
  <c r="DV28" i="43"/>
  <c r="EM49" i="43"/>
  <c r="EL49" i="43"/>
  <c r="EV45" i="43"/>
  <c r="DB45" i="43"/>
  <c r="EW45" i="43"/>
  <c r="EZ45" i="43" s="1"/>
  <c r="FA45" i="43" s="1"/>
  <c r="DM80" i="43"/>
  <c r="DS80" i="43"/>
  <c r="DT80" i="43" s="1"/>
  <c r="DL94" i="43"/>
  <c r="DG94" i="43"/>
  <c r="DS32" i="43"/>
  <c r="DT32" i="43" s="1"/>
  <c r="DM32" i="43"/>
  <c r="DN32" i="43" s="1"/>
  <c r="DS96" i="43"/>
  <c r="DT96" i="43" s="1"/>
  <c r="DM96" i="43"/>
  <c r="DN96" i="43" s="1"/>
  <c r="EV56" i="43"/>
  <c r="DB56" i="43"/>
  <c r="EW56" i="43"/>
  <c r="EZ56" i="43" s="1"/>
  <c r="FA56" i="43" s="1"/>
  <c r="DG105" i="43"/>
  <c r="DL105" i="43"/>
  <c r="DS75" i="43"/>
  <c r="DT75" i="43" s="1"/>
  <c r="DM75" i="43"/>
  <c r="DL73" i="43"/>
  <c r="DG73" i="43"/>
  <c r="DG16" i="43"/>
  <c r="DL16" i="43"/>
  <c r="EM88" i="43"/>
  <c r="EL88" i="43"/>
  <c r="EV68" i="43"/>
  <c r="DB68" i="43"/>
  <c r="EW68" i="43"/>
  <c r="EZ68" i="43" s="1"/>
  <c r="FA68" i="43" s="1"/>
  <c r="EM96" i="43"/>
  <c r="EL96" i="43"/>
  <c r="DG9" i="43"/>
  <c r="DL9" i="43"/>
  <c r="DN64" i="43"/>
  <c r="DV64" i="43"/>
  <c r="EB63" i="43"/>
  <c r="ED63" i="43" s="1"/>
  <c r="EQ107" i="43"/>
  <c r="DM65" i="43"/>
  <c r="DN65" i="43" s="1"/>
  <c r="DS65" i="43"/>
  <c r="DT65" i="43" s="1"/>
  <c r="DG91" i="43"/>
  <c r="DL91" i="43"/>
  <c r="DM21" i="43"/>
  <c r="DS21" i="43"/>
  <c r="DT21" i="43" s="1"/>
  <c r="DM15" i="43"/>
  <c r="DS15" i="43"/>
  <c r="DT15" i="43" s="1"/>
  <c r="EP107" i="43"/>
  <c r="DB73" i="43"/>
  <c r="EW73" i="43"/>
  <c r="EZ73" i="43" s="1"/>
  <c r="FA73" i="43" s="1"/>
  <c r="EV73" i="43"/>
  <c r="EL94" i="43"/>
  <c r="EM94" i="43"/>
  <c r="EM63" i="43"/>
  <c r="EL63" i="43"/>
  <c r="CU107" i="43"/>
  <c r="DB107" i="43" s="1"/>
  <c r="DB5" i="43"/>
  <c r="EV5" i="43"/>
  <c r="EW5" i="43"/>
  <c r="DV46" i="43"/>
  <c r="DS82" i="43"/>
  <c r="DT82" i="43" s="1"/>
  <c r="DM82" i="43"/>
  <c r="DN82" i="43" s="1"/>
  <c r="DV36" i="43"/>
  <c r="DS53" i="43"/>
  <c r="DT53" i="43" s="1"/>
  <c r="DM53" i="43"/>
  <c r="DN53" i="43" s="1"/>
  <c r="EV95" i="43"/>
  <c r="DB95" i="43"/>
  <c r="EW95" i="43"/>
  <c r="EZ95" i="43" s="1"/>
  <c r="FA95" i="43" s="1"/>
  <c r="DS78" i="43"/>
  <c r="DT78" i="43" s="1"/>
  <c r="DM78" i="43"/>
  <c r="DN78" i="43" s="1"/>
  <c r="DV32" i="43"/>
  <c r="EM85" i="42"/>
  <c r="EL85" i="42"/>
  <c r="DL79" i="42"/>
  <c r="DG79" i="42"/>
  <c r="DG63" i="42"/>
  <c r="DL63" i="42"/>
  <c r="EV86" i="42"/>
  <c r="DB86" i="42"/>
  <c r="EW86" i="42"/>
  <c r="EZ86" i="42" s="1"/>
  <c r="FA86" i="42" s="1"/>
  <c r="DS61" i="42"/>
  <c r="DT61" i="42" s="1"/>
  <c r="DM61" i="42"/>
  <c r="DN61" i="42" s="1"/>
  <c r="DS81" i="42"/>
  <c r="DT81" i="42" s="1"/>
  <c r="DM81" i="42"/>
  <c r="EA107" i="42"/>
  <c r="DB93" i="42"/>
  <c r="EV93" i="42"/>
  <c r="EW93" i="42"/>
  <c r="EZ93" i="42" s="1"/>
  <c r="FA93" i="42" s="1"/>
  <c r="DG40" i="42"/>
  <c r="DL40" i="42"/>
  <c r="DG103" i="42"/>
  <c r="DL103" i="42"/>
  <c r="DB41" i="42"/>
  <c r="EV41" i="42"/>
  <c r="EW41" i="42"/>
  <c r="EZ41" i="42" s="1"/>
  <c r="FA41" i="42" s="1"/>
  <c r="DB72" i="42"/>
  <c r="EV72" i="42"/>
  <c r="EW72" i="42"/>
  <c r="EZ72" i="42" s="1"/>
  <c r="FA72" i="42" s="1"/>
  <c r="EE107" i="42"/>
  <c r="EV106" i="42"/>
  <c r="DB106" i="42"/>
  <c r="EW106" i="42"/>
  <c r="EZ106" i="42" s="1"/>
  <c r="FA106" i="42" s="1"/>
  <c r="DB18" i="42"/>
  <c r="EV18" i="42"/>
  <c r="EW18" i="42"/>
  <c r="EZ18" i="42" s="1"/>
  <c r="FA18" i="42" s="1"/>
  <c r="DG55" i="42"/>
  <c r="DL55" i="42"/>
  <c r="EV11" i="42"/>
  <c r="DB11" i="42"/>
  <c r="EW11" i="42"/>
  <c r="EZ11" i="42" s="1"/>
  <c r="FA11" i="42" s="1"/>
  <c r="DM84" i="42"/>
  <c r="DS84" i="42"/>
  <c r="DT84" i="42" s="1"/>
  <c r="DV78" i="42"/>
  <c r="DN34" i="42"/>
  <c r="DV34" i="42"/>
  <c r="EB80" i="42"/>
  <c r="ED80" i="42" s="1"/>
  <c r="DV28" i="42"/>
  <c r="EV23" i="42"/>
  <c r="DB23" i="42"/>
  <c r="EW23" i="42"/>
  <c r="EZ23" i="42" s="1"/>
  <c r="FA23" i="42" s="1"/>
  <c r="EV100" i="42"/>
  <c r="DB100" i="42"/>
  <c r="EW100" i="42"/>
  <c r="EZ100" i="42" s="1"/>
  <c r="FA100" i="42" s="1"/>
  <c r="DS59" i="42"/>
  <c r="DT59" i="42" s="1"/>
  <c r="DM59" i="42"/>
  <c r="DN59" i="42" s="1"/>
  <c r="EL12" i="42"/>
  <c r="EM12" i="42"/>
  <c r="DV75" i="42"/>
  <c r="DB80" i="42"/>
  <c r="EV80" i="42"/>
  <c r="EW80" i="42"/>
  <c r="EZ80" i="42" s="1"/>
  <c r="FA80" i="42" s="1"/>
  <c r="DG85" i="42"/>
  <c r="DL85" i="42"/>
  <c r="DS32" i="42"/>
  <c r="DT32" i="42" s="1"/>
  <c r="DM32" i="42"/>
  <c r="DN32" i="42" s="1"/>
  <c r="DB76" i="42"/>
  <c r="EW76" i="42"/>
  <c r="EZ76" i="42" s="1"/>
  <c r="FA76" i="42" s="1"/>
  <c r="EV76" i="42"/>
  <c r="DG41" i="42"/>
  <c r="DL41" i="42"/>
  <c r="DG99" i="42"/>
  <c r="DL99" i="42"/>
  <c r="EM29" i="42"/>
  <c r="EL29" i="42"/>
  <c r="DG65" i="42"/>
  <c r="DL65" i="42"/>
  <c r="EV40" i="42"/>
  <c r="DB40" i="42"/>
  <c r="EW40" i="42"/>
  <c r="EZ40" i="42" s="1"/>
  <c r="FA40" i="42" s="1"/>
  <c r="EM64" i="42"/>
  <c r="EL64" i="42"/>
  <c r="DN27" i="42"/>
  <c r="DV27" i="42"/>
  <c r="DG11" i="42"/>
  <c r="DL11" i="42"/>
  <c r="DS98" i="42"/>
  <c r="DT98" i="42" s="1"/>
  <c r="DM98" i="42"/>
  <c r="EB86" i="42"/>
  <c r="ED86" i="42" s="1"/>
  <c r="DG106" i="42"/>
  <c r="DL106" i="42"/>
  <c r="EL36" i="42"/>
  <c r="EM36" i="42"/>
  <c r="EW66" i="42"/>
  <c r="EZ66" i="42" s="1"/>
  <c r="FA66" i="42" s="1"/>
  <c r="EV66" i="42"/>
  <c r="DB66" i="42"/>
  <c r="DG31" i="42"/>
  <c r="DL31" i="42"/>
  <c r="EM52" i="42"/>
  <c r="EL52" i="42"/>
  <c r="DM30" i="42"/>
  <c r="DS30" i="42"/>
  <c r="DT30" i="42" s="1"/>
  <c r="DG74" i="42"/>
  <c r="DL74" i="42"/>
  <c r="DV101" i="42"/>
  <c r="DV7" i="42"/>
  <c r="EM80" i="42"/>
  <c r="EL80" i="42"/>
  <c r="DG80" i="42"/>
  <c r="DL80" i="42"/>
  <c r="DB85" i="42"/>
  <c r="EV85" i="42"/>
  <c r="EW85" i="42"/>
  <c r="EZ85" i="42" s="1"/>
  <c r="FA85" i="42" s="1"/>
  <c r="DB82" i="42"/>
  <c r="EW82" i="42"/>
  <c r="EZ82" i="42" s="1"/>
  <c r="FA82" i="42" s="1"/>
  <c r="EV82" i="42"/>
  <c r="EL67" i="42"/>
  <c r="EM67" i="42"/>
  <c r="DB103" i="42"/>
  <c r="EV103" i="42"/>
  <c r="EW103" i="42"/>
  <c r="EZ103" i="42" s="1"/>
  <c r="FA103" i="42" s="1"/>
  <c r="DS38" i="42"/>
  <c r="DT38" i="42" s="1"/>
  <c r="DM38" i="42"/>
  <c r="DN45" i="42"/>
  <c r="DV45" i="42"/>
  <c r="DS95" i="42"/>
  <c r="DT95" i="42" s="1"/>
  <c r="DM95" i="42"/>
  <c r="DL67" i="42"/>
  <c r="DG67" i="42"/>
  <c r="DG100" i="42"/>
  <c r="DL100" i="42"/>
  <c r="EW63" i="42"/>
  <c r="EZ63" i="42" s="1"/>
  <c r="FA63" i="42" s="1"/>
  <c r="EV63" i="42"/>
  <c r="DB63" i="42"/>
  <c r="DS35" i="42"/>
  <c r="DT35" i="42" s="1"/>
  <c r="DM35" i="42"/>
  <c r="DN35" i="42" s="1"/>
  <c r="DV26" i="42"/>
  <c r="EV55" i="42"/>
  <c r="DB55" i="42"/>
  <c r="EW55" i="42"/>
  <c r="EZ55" i="42" s="1"/>
  <c r="FA55" i="42" s="1"/>
  <c r="DL60" i="42"/>
  <c r="DG60" i="42"/>
  <c r="DM58" i="42"/>
  <c r="DN58" i="42" s="1"/>
  <c r="DS58" i="42"/>
  <c r="DT58" i="42" s="1"/>
  <c r="EV33" i="42"/>
  <c r="DB33" i="42"/>
  <c r="EW33" i="42"/>
  <c r="EZ33" i="42" s="1"/>
  <c r="FA33" i="42" s="1"/>
  <c r="DS69" i="42"/>
  <c r="DT69" i="42" s="1"/>
  <c r="DM69" i="42"/>
  <c r="DN69" i="42" s="1"/>
  <c r="DS36" i="42"/>
  <c r="DT36" i="42" s="1"/>
  <c r="DM36" i="42"/>
  <c r="DN36" i="42" s="1"/>
  <c r="DG82" i="42"/>
  <c r="DL82" i="42"/>
  <c r="DG23" i="42"/>
  <c r="DL23" i="42"/>
  <c r="EM71" i="42"/>
  <c r="EL71" i="42"/>
  <c r="DB31" i="42"/>
  <c r="EV31" i="42"/>
  <c r="EW31" i="42"/>
  <c r="EZ31" i="42" s="1"/>
  <c r="FA31" i="42" s="1"/>
  <c r="DN29" i="42"/>
  <c r="DV29" i="42"/>
  <c r="DG76" i="42"/>
  <c r="DL76" i="42"/>
  <c r="DS54" i="42"/>
  <c r="DT54" i="42" s="1"/>
  <c r="DM54" i="42"/>
  <c r="DN54" i="42" s="1"/>
  <c r="EM96" i="42"/>
  <c r="EL96" i="42"/>
  <c r="EM89" i="42"/>
  <c r="EL89" i="42"/>
  <c r="EV14" i="42"/>
  <c r="DB14" i="42"/>
  <c r="EW14" i="42"/>
  <c r="EZ14" i="42" s="1"/>
  <c r="FA14" i="42" s="1"/>
  <c r="DV61" i="42"/>
  <c r="DV104" i="42"/>
  <c r="EV79" i="42"/>
  <c r="DB79" i="42"/>
  <c r="EW79" i="42"/>
  <c r="EZ79" i="42" s="1"/>
  <c r="FA79" i="42" s="1"/>
  <c r="DL17" i="42"/>
  <c r="DG17" i="42"/>
  <c r="EV37" i="42"/>
  <c r="DB37" i="42"/>
  <c r="EW37" i="42"/>
  <c r="EZ37" i="42" s="1"/>
  <c r="FA37" i="42" s="1"/>
  <c r="DG66" i="42"/>
  <c r="DL66" i="42"/>
  <c r="DG6" i="42"/>
  <c r="DL6" i="42"/>
  <c r="DB56" i="42"/>
  <c r="EW56" i="42"/>
  <c r="EZ56" i="42" s="1"/>
  <c r="FA56" i="42" s="1"/>
  <c r="EV56" i="42"/>
  <c r="DS51" i="42"/>
  <c r="DT51" i="42" s="1"/>
  <c r="DM51" i="42"/>
  <c r="DN51" i="42" s="1"/>
  <c r="EQ107" i="42"/>
  <c r="EV88" i="42"/>
  <c r="DB88" i="42"/>
  <c r="EW88" i="42"/>
  <c r="EZ88" i="42" s="1"/>
  <c r="FA88" i="42" s="1"/>
  <c r="DG22" i="42"/>
  <c r="DL22" i="42"/>
  <c r="DB99" i="42"/>
  <c r="EV99" i="42"/>
  <c r="EW99" i="42"/>
  <c r="EZ99" i="42" s="1"/>
  <c r="FA99" i="42" s="1"/>
  <c r="EV65" i="42"/>
  <c r="DB65" i="42"/>
  <c r="EW65" i="42"/>
  <c r="EZ65" i="42" s="1"/>
  <c r="FA65" i="42" s="1"/>
  <c r="EB57" i="42"/>
  <c r="ED57" i="42" s="1"/>
  <c r="EV73" i="42"/>
  <c r="DB73" i="42"/>
  <c r="EW73" i="42"/>
  <c r="EZ73" i="42" s="1"/>
  <c r="FA73" i="42" s="1"/>
  <c r="CU107" i="42"/>
  <c r="DB107" i="42" s="1"/>
  <c r="EV5" i="42"/>
  <c r="DB5" i="42"/>
  <c r="EW5" i="42"/>
  <c r="DM8" i="42"/>
  <c r="DN8" i="42" s="1"/>
  <c r="DS8" i="42"/>
  <c r="DT8" i="42" s="1"/>
  <c r="DG87" i="42"/>
  <c r="DL87" i="42"/>
  <c r="DM75" i="42"/>
  <c r="DN75" i="42" s="1"/>
  <c r="DS75" i="42"/>
  <c r="DT75" i="42" s="1"/>
  <c r="DS10" i="42"/>
  <c r="DT10" i="42" s="1"/>
  <c r="DM10" i="42"/>
  <c r="DG37" i="42"/>
  <c r="DL37" i="42"/>
  <c r="EM81" i="42"/>
  <c r="EL81" i="42"/>
  <c r="DG56" i="42"/>
  <c r="DL56" i="42"/>
  <c r="DG83" i="42"/>
  <c r="DL83" i="42"/>
  <c r="DV51" i="42"/>
  <c r="DS90" i="42"/>
  <c r="DT90" i="42" s="1"/>
  <c r="DM90" i="42"/>
  <c r="DN90" i="42" s="1"/>
  <c r="DB22" i="42"/>
  <c r="EV22" i="42"/>
  <c r="EW22" i="42"/>
  <c r="EZ22" i="42" s="1"/>
  <c r="FA22" i="42" s="1"/>
  <c r="DG47" i="42"/>
  <c r="DL47" i="42"/>
  <c r="EM95" i="42"/>
  <c r="EL95" i="42"/>
  <c r="DM24" i="42"/>
  <c r="DN24" i="42" s="1"/>
  <c r="DS24" i="42"/>
  <c r="DT24" i="42" s="1"/>
  <c r="EB31" i="42"/>
  <c r="ED31" i="42" s="1"/>
  <c r="DV16" i="42"/>
  <c r="EB73" i="42"/>
  <c r="ED73" i="42" s="1"/>
  <c r="DG105" i="42"/>
  <c r="DL105" i="42"/>
  <c r="EM21" i="42"/>
  <c r="EL21" i="42"/>
  <c r="DS26" i="42"/>
  <c r="DT26" i="42" s="1"/>
  <c r="DM26" i="42"/>
  <c r="DN26" i="42" s="1"/>
  <c r="DS28" i="42"/>
  <c r="DT28" i="42" s="1"/>
  <c r="DM28" i="42"/>
  <c r="DN28" i="42" s="1"/>
  <c r="EV94" i="42"/>
  <c r="DB94" i="42"/>
  <c r="EW94" i="42"/>
  <c r="EZ94" i="42" s="1"/>
  <c r="FA94" i="42" s="1"/>
  <c r="CI110" i="42"/>
  <c r="CH110" i="42"/>
  <c r="BX110" i="42"/>
  <c r="BW110" i="42"/>
  <c r="BV110" i="42"/>
  <c r="BL110" i="42"/>
  <c r="BK110" i="42"/>
  <c r="BJ110" i="42"/>
  <c r="BI110" i="42"/>
  <c r="AZ110" i="42"/>
  <c r="AY110" i="42"/>
  <c r="AX110" i="42"/>
  <c r="BC110" i="42"/>
  <c r="CK110" i="42"/>
  <c r="BG110" i="42"/>
  <c r="BA110" i="42"/>
  <c r="CE110" i="42"/>
  <c r="CD110" i="42"/>
  <c r="CO110" i="42"/>
  <c r="CQ110" i="42"/>
  <c r="CB110" i="42"/>
  <c r="BE110" i="42"/>
  <c r="BT110" i="42"/>
  <c r="CC110" i="42"/>
  <c r="BP110" i="42"/>
  <c r="BB110" i="42"/>
  <c r="BO110" i="42"/>
  <c r="BQ110" i="42"/>
  <c r="CP110" i="42"/>
  <c r="BS110" i="42"/>
  <c r="CA110" i="42"/>
  <c r="BU110" i="42"/>
  <c r="CN110" i="42"/>
  <c r="CF110" i="42"/>
  <c r="BN110" i="42"/>
  <c r="CJ110" i="42"/>
  <c r="BM110" i="42"/>
  <c r="CR110" i="42"/>
  <c r="BD110" i="42"/>
  <c r="BF110" i="42"/>
  <c r="AW110" i="42"/>
  <c r="BZ110" i="42"/>
  <c r="BY110" i="42"/>
  <c r="BR110" i="42"/>
  <c r="AV110" i="42"/>
  <c r="CM110" i="42"/>
  <c r="CG110" i="42"/>
  <c r="CL110" i="42"/>
  <c r="AU110" i="42"/>
  <c r="BH110" i="42"/>
  <c r="DG57" i="42"/>
  <c r="DL57" i="42"/>
  <c r="DS53" i="42"/>
  <c r="DT53" i="42" s="1"/>
  <c r="DM53" i="42"/>
  <c r="DN53" i="42" s="1"/>
  <c r="DL73" i="42"/>
  <c r="DG73" i="42"/>
  <c r="DM20" i="42"/>
  <c r="DS20" i="42"/>
  <c r="DT20" i="42" s="1"/>
  <c r="EV6" i="42"/>
  <c r="DB6" i="42"/>
  <c r="EW6" i="42"/>
  <c r="EZ6" i="42" s="1"/>
  <c r="FA6" i="42" s="1"/>
  <c r="DV52" i="42"/>
  <c r="DG14" i="42"/>
  <c r="DL14" i="42"/>
  <c r="DG97" i="42"/>
  <c r="DL97" i="42"/>
  <c r="DG91" i="42"/>
  <c r="DL91" i="42"/>
  <c r="DG21" i="42"/>
  <c r="DL21" i="42"/>
  <c r="DG88" i="42"/>
  <c r="DL88" i="42"/>
  <c r="EB106" i="42"/>
  <c r="ED106" i="42" s="1"/>
  <c r="DS39" i="42"/>
  <c r="DT39" i="42" s="1"/>
  <c r="DM39" i="42"/>
  <c r="DN39" i="42" s="1"/>
  <c r="EV47" i="42"/>
  <c r="DB47" i="42"/>
  <c r="EW47" i="42"/>
  <c r="EZ47" i="42" s="1"/>
  <c r="FA47" i="42" s="1"/>
  <c r="EB11" i="42"/>
  <c r="ED11" i="42" s="1"/>
  <c r="EB93" i="42"/>
  <c r="ED93" i="42" s="1"/>
  <c r="DM15" i="42"/>
  <c r="DN15" i="42" s="1"/>
  <c r="DS15" i="42"/>
  <c r="DT15" i="42" s="1"/>
  <c r="DB67" i="42"/>
  <c r="EV67" i="42"/>
  <c r="EW67" i="42"/>
  <c r="EZ67" i="42" s="1"/>
  <c r="FA67" i="42" s="1"/>
  <c r="EK107" i="42"/>
  <c r="EM5" i="42"/>
  <c r="EL5" i="42"/>
  <c r="EV91" i="42"/>
  <c r="DB91" i="42"/>
  <c r="EW91" i="42"/>
  <c r="EZ91" i="42" s="1"/>
  <c r="FA91" i="42" s="1"/>
  <c r="DG19" i="42"/>
  <c r="DL19" i="42"/>
  <c r="DS102" i="42"/>
  <c r="DT102" i="42" s="1"/>
  <c r="DM102" i="42"/>
  <c r="DN102" i="42" s="1"/>
  <c r="EW87" i="42"/>
  <c r="EZ87" i="42" s="1"/>
  <c r="FA87" i="42" s="1"/>
  <c r="DB87" i="42"/>
  <c r="EV87" i="42"/>
  <c r="DS13" i="42"/>
  <c r="DT13" i="42" s="1"/>
  <c r="DM13" i="42"/>
  <c r="EL24" i="42"/>
  <c r="EM24" i="42"/>
  <c r="DG72" i="42"/>
  <c r="DL72" i="42"/>
  <c r="DB97" i="42"/>
  <c r="EV97" i="42"/>
  <c r="EW97" i="42"/>
  <c r="EZ97" i="42" s="1"/>
  <c r="FA97" i="42" s="1"/>
  <c r="DN44" i="42"/>
  <c r="DV44" i="42"/>
  <c r="DS25" i="42"/>
  <c r="DT25" i="42" s="1"/>
  <c r="DM25" i="42"/>
  <c r="DN25" i="42" s="1"/>
  <c r="DW107" i="42"/>
  <c r="DG86" i="42"/>
  <c r="DL86" i="42"/>
  <c r="DG93" i="42"/>
  <c r="DL93" i="42"/>
  <c r="DV15" i="42"/>
  <c r="DV50" i="42"/>
  <c r="EM98" i="42"/>
  <c r="EL98" i="42"/>
  <c r="DM77" i="42"/>
  <c r="DN77" i="42" s="1"/>
  <c r="DS77" i="42"/>
  <c r="DT77" i="42" s="1"/>
  <c r="DG94" i="42"/>
  <c r="DL94" i="42"/>
  <c r="DV8" i="42"/>
  <c r="EW74" i="42"/>
  <c r="EZ74" i="42" s="1"/>
  <c r="FA74" i="42" s="1"/>
  <c r="EV74" i="42"/>
  <c r="DB74" i="42"/>
  <c r="DN70" i="42"/>
  <c r="DV70" i="42"/>
  <c r="DB17" i="42"/>
  <c r="EW17" i="42"/>
  <c r="EZ17" i="42" s="1"/>
  <c r="FA17" i="42" s="1"/>
  <c r="EV17" i="42"/>
  <c r="DG33" i="42"/>
  <c r="DL33" i="42"/>
  <c r="DN89" i="42"/>
  <c r="DV89" i="42"/>
  <c r="DM62" i="42"/>
  <c r="DS62" i="42"/>
  <c r="DT62" i="42" s="1"/>
  <c r="DB9" i="42"/>
  <c r="EW9" i="42"/>
  <c r="EZ9" i="42" s="1"/>
  <c r="FA9" i="42" s="1"/>
  <c r="EV9" i="42"/>
  <c r="EV57" i="42"/>
  <c r="DB57" i="42"/>
  <c r="EW57" i="42"/>
  <c r="EZ57" i="42" s="1"/>
  <c r="FA57" i="42" s="1"/>
  <c r="EW60" i="42"/>
  <c r="EZ60" i="42" s="1"/>
  <c r="FA60" i="42" s="1"/>
  <c r="EV60" i="42"/>
  <c r="DB60" i="42"/>
  <c r="DB105" i="42"/>
  <c r="EV105" i="42"/>
  <c r="EW105" i="42"/>
  <c r="EZ105" i="42" s="1"/>
  <c r="FA105" i="42" s="1"/>
  <c r="DV46" i="42"/>
  <c r="DG9" i="42"/>
  <c r="DL9" i="42"/>
  <c r="EM45" i="42"/>
  <c r="EL45" i="42"/>
  <c r="DV12" i="42"/>
  <c r="DB83" i="42"/>
  <c r="EW83" i="42"/>
  <c r="EZ83" i="42" s="1"/>
  <c r="FA83" i="42" s="1"/>
  <c r="EV83" i="42"/>
  <c r="EM50" i="42"/>
  <c r="EL50" i="42"/>
  <c r="DB21" i="42"/>
  <c r="EW21" i="42"/>
  <c r="EZ21" i="42" s="1"/>
  <c r="FA21" i="42" s="1"/>
  <c r="EV21" i="42"/>
  <c r="DB19" i="42"/>
  <c r="EV19" i="42"/>
  <c r="EW19" i="42"/>
  <c r="EZ19" i="42" s="1"/>
  <c r="FA19" i="42" s="1"/>
  <c r="DD107" i="42"/>
  <c r="DF107" i="42" s="1"/>
  <c r="DF5" i="42"/>
  <c r="EB5" i="42"/>
  <c r="DG18" i="42"/>
  <c r="DL18" i="42"/>
  <c r="DM42" i="42"/>
  <c r="DN42" i="42" s="1"/>
  <c r="DS42" i="42"/>
  <c r="DT42" i="42" s="1"/>
  <c r="DV77" i="42"/>
  <c r="AP91" i="28"/>
  <c r="EA91" i="28" s="1"/>
  <c r="AP94" i="28"/>
  <c r="DW94" i="28" s="1"/>
  <c r="AP92" i="28"/>
  <c r="CW94" i="28"/>
  <c r="CY91" i="28"/>
  <c r="CX94" i="28"/>
  <c r="EQ92" i="28"/>
  <c r="ER92" i="28"/>
  <c r="AP86" i="28"/>
  <c r="EA86" i="28" s="1"/>
  <c r="DK92" i="28"/>
  <c r="EU92" i="28" s="1"/>
  <c r="DA94" i="28"/>
  <c r="CY86" i="28"/>
  <c r="CX86" i="28"/>
  <c r="ER86" i="28"/>
  <c r="CX92" i="28"/>
  <c r="EH92" i="28"/>
  <c r="CY93" i="28"/>
  <c r="DK94" i="28"/>
  <c r="EU94" i="28" s="1"/>
  <c r="ER94" i="28"/>
  <c r="DK90" i="28"/>
  <c r="EU90" i="28" s="1"/>
  <c r="CY88" i="28"/>
  <c r="EL86" i="28"/>
  <c r="EQ88" i="28"/>
  <c r="EQ86" i="28"/>
  <c r="EQ87" i="28"/>
  <c r="CX89" i="28"/>
  <c r="ER89" i="28"/>
  <c r="DD86" i="28"/>
  <c r="DF86" i="28" s="1"/>
  <c r="DA87" i="28"/>
  <c r="EL87" i="28"/>
  <c r="DH88" i="28"/>
  <c r="EE88" i="28"/>
  <c r="AP89" i="28"/>
  <c r="EA89" i="28" s="1"/>
  <c r="CX91" i="28"/>
  <c r="ER91" i="28"/>
  <c r="CW86" i="28"/>
  <c r="DA86" i="28"/>
  <c r="DK86" i="28"/>
  <c r="DW86" i="28"/>
  <c r="EH86" i="28"/>
  <c r="EK86" i="28" s="1"/>
  <c r="EM86" i="28" s="1"/>
  <c r="CY87" i="28"/>
  <c r="DZ87" i="28"/>
  <c r="CW88" i="28"/>
  <c r="DA88" i="28"/>
  <c r="DK88" i="28"/>
  <c r="DW88" i="28"/>
  <c r="EH88" i="28"/>
  <c r="EK88" i="28" s="1"/>
  <c r="EM88" i="28" s="1"/>
  <c r="CZ87" i="28"/>
  <c r="CW87" i="28"/>
  <c r="EH87" i="28"/>
  <c r="EK87" i="28" s="1"/>
  <c r="EM87" i="28" s="1"/>
  <c r="DD88" i="28"/>
  <c r="DF88" i="28" s="1"/>
  <c r="CY89" i="28"/>
  <c r="CU86" i="28"/>
  <c r="EW86" i="28" s="1"/>
  <c r="EZ86" i="28" s="1"/>
  <c r="FA86" i="28" s="1"/>
  <c r="AP87" i="28"/>
  <c r="CX87" i="28"/>
  <c r="CU88" i="28"/>
  <c r="EW88" i="28" s="1"/>
  <c r="EZ88" i="28" s="1"/>
  <c r="FA88" i="28" s="1"/>
  <c r="EQ89" i="28"/>
  <c r="EQ90" i="28"/>
  <c r="CW90" i="28"/>
  <c r="DD91" i="28"/>
  <c r="DF91" i="28" s="1"/>
  <c r="DH91" i="28"/>
  <c r="EE91" i="28"/>
  <c r="EJ91" i="28"/>
  <c r="EP91" i="28" s="1"/>
  <c r="EQ91" i="28" s="1"/>
  <c r="CW89" i="28"/>
  <c r="DA89" i="28"/>
  <c r="DK89" i="28"/>
  <c r="EH89" i="28"/>
  <c r="EK89" i="28" s="1"/>
  <c r="EM89" i="28" s="1"/>
  <c r="CY90" i="28"/>
  <c r="CW91" i="28"/>
  <c r="DA91" i="28"/>
  <c r="DK91" i="28"/>
  <c r="DW91" i="28"/>
  <c r="EH91" i="28"/>
  <c r="EK91" i="28" s="1"/>
  <c r="EM91" i="28" s="1"/>
  <c r="CZ90" i="28"/>
  <c r="DA90" i="28"/>
  <c r="EH90" i="28"/>
  <c r="EK90" i="28" s="1"/>
  <c r="EM90" i="28" s="1"/>
  <c r="CU89" i="28"/>
  <c r="AP90" i="28"/>
  <c r="CX90" i="28"/>
  <c r="CU91" i="28"/>
  <c r="EA92" i="28"/>
  <c r="CU92" i="28"/>
  <c r="EE92" i="28"/>
  <c r="DH92" i="28"/>
  <c r="DD92" i="28"/>
  <c r="DF92" i="28" s="1"/>
  <c r="DG92" i="28" s="1"/>
  <c r="EX92" i="28"/>
  <c r="DL92" i="28"/>
  <c r="DK93" i="28"/>
  <c r="EJ93" i="28"/>
  <c r="EP93" i="28" s="1"/>
  <c r="EK94" i="28"/>
  <c r="EE94" i="28"/>
  <c r="DH94" i="28"/>
  <c r="DD94" i="28"/>
  <c r="DF94" i="28" s="1"/>
  <c r="DG94" i="28" s="1"/>
  <c r="EX94" i="28"/>
  <c r="DW92" i="28"/>
  <c r="EK92" i="28"/>
  <c r="EQ93" i="28"/>
  <c r="CZ93" i="28"/>
  <c r="CW93" i="28"/>
  <c r="DA93" i="28"/>
  <c r="EH93" i="28"/>
  <c r="AP93" i="28"/>
  <c r="CX93" i="28"/>
  <c r="DV104" i="44" l="1"/>
  <c r="DS34" i="44"/>
  <c r="DT34" i="44" s="1"/>
  <c r="DM34" i="44"/>
  <c r="DN34" i="44" s="1"/>
  <c r="DM36" i="44"/>
  <c r="DN36" i="44" s="1"/>
  <c r="DS36" i="44"/>
  <c r="DT36" i="44" s="1"/>
  <c r="DV105" i="44"/>
  <c r="DN57" i="44"/>
  <c r="DV57" i="44"/>
  <c r="DS56" i="44"/>
  <c r="DT56" i="44" s="1"/>
  <c r="DM56" i="44"/>
  <c r="DN56" i="44" s="1"/>
  <c r="DM44" i="44"/>
  <c r="DN44" i="44" s="1"/>
  <c r="DS44" i="44"/>
  <c r="DT44" i="44" s="1"/>
  <c r="DM37" i="44"/>
  <c r="DN37" i="44" s="1"/>
  <c r="DS37" i="44"/>
  <c r="DT37" i="44" s="1"/>
  <c r="DV37" i="44"/>
  <c r="DM14" i="44"/>
  <c r="DN14" i="44" s="1"/>
  <c r="DS14" i="44"/>
  <c r="DT14" i="44" s="1"/>
  <c r="DV35" i="44"/>
  <c r="DM106" i="44"/>
  <c r="DN106" i="44" s="1"/>
  <c r="DS106" i="44"/>
  <c r="DT106" i="44" s="1"/>
  <c r="DN15" i="44"/>
  <c r="DV15" i="44"/>
  <c r="DV79" i="44"/>
  <c r="DM74" i="44"/>
  <c r="DN74" i="44" s="1"/>
  <c r="DS74" i="44"/>
  <c r="DT74" i="44" s="1"/>
  <c r="DV46" i="44"/>
  <c r="DV44" i="44"/>
  <c r="DN48" i="44"/>
  <c r="DV48" i="44"/>
  <c r="DV91" i="44"/>
  <c r="DG5" i="44"/>
  <c r="DL5" i="44"/>
  <c r="DS43" i="44"/>
  <c r="DT43" i="44" s="1"/>
  <c r="DM43" i="44"/>
  <c r="DN43" i="44" s="1"/>
  <c r="EW107" i="44"/>
  <c r="EZ5" i="44"/>
  <c r="DS20" i="44"/>
  <c r="DT20" i="44" s="1"/>
  <c r="DM20" i="44"/>
  <c r="DN20" i="44" s="1"/>
  <c r="DS47" i="44"/>
  <c r="DT47" i="44" s="1"/>
  <c r="DM47" i="44"/>
  <c r="DN47" i="44" s="1"/>
  <c r="DS28" i="44"/>
  <c r="DT28" i="44" s="1"/>
  <c r="DM28" i="44"/>
  <c r="DN28" i="44" s="1"/>
  <c r="DV12" i="44"/>
  <c r="DS79" i="44"/>
  <c r="DT79" i="44" s="1"/>
  <c r="DM79" i="44"/>
  <c r="DN79" i="44" s="1"/>
  <c r="DM82" i="44"/>
  <c r="DN82" i="44" s="1"/>
  <c r="DS82" i="44"/>
  <c r="DT82" i="44" s="1"/>
  <c r="DM58" i="44"/>
  <c r="DN58" i="44" s="1"/>
  <c r="DS58" i="44"/>
  <c r="DT58" i="44" s="1"/>
  <c r="DV49" i="44"/>
  <c r="DM72" i="44"/>
  <c r="DN72" i="44" s="1"/>
  <c r="DS72" i="44"/>
  <c r="DT72" i="44" s="1"/>
  <c r="DG107" i="44"/>
  <c r="DV33" i="44"/>
  <c r="DM53" i="44"/>
  <c r="DN53" i="44" s="1"/>
  <c r="DS53" i="44"/>
  <c r="DT53" i="44" s="1"/>
  <c r="DV13" i="44"/>
  <c r="DV82" i="44"/>
  <c r="DV58" i="44"/>
  <c r="DS31" i="44"/>
  <c r="DT31" i="44" s="1"/>
  <c r="DM31" i="44"/>
  <c r="DN31" i="44" s="1"/>
  <c r="DV99" i="44"/>
  <c r="DS66" i="44"/>
  <c r="DT66" i="44" s="1"/>
  <c r="DM66" i="44"/>
  <c r="DN66" i="44" s="1"/>
  <c r="DV43" i="44"/>
  <c r="DM77" i="44"/>
  <c r="DN77" i="44" s="1"/>
  <c r="DS77" i="44"/>
  <c r="DT77" i="44" s="1"/>
  <c r="DM38" i="44"/>
  <c r="DN38" i="44" s="1"/>
  <c r="DS38" i="44"/>
  <c r="DT38" i="44" s="1"/>
  <c r="DV29" i="44"/>
  <c r="DN9" i="44"/>
  <c r="DV9" i="44"/>
  <c r="DV97" i="44"/>
  <c r="DM95" i="44"/>
  <c r="DN95" i="44" s="1"/>
  <c r="DS95" i="44"/>
  <c r="DT95" i="44" s="1"/>
  <c r="DV78" i="44"/>
  <c r="DM99" i="44"/>
  <c r="DN99" i="44" s="1"/>
  <c r="DS99" i="44"/>
  <c r="DT99" i="44" s="1"/>
  <c r="DM76" i="44"/>
  <c r="DN76" i="44" s="1"/>
  <c r="DS76" i="44"/>
  <c r="DT76" i="44" s="1"/>
  <c r="DV18" i="44"/>
  <c r="DN6" i="44"/>
  <c r="DV6" i="44"/>
  <c r="EV107" i="44"/>
  <c r="DV34" i="44"/>
  <c r="DN61" i="44"/>
  <c r="DV61" i="44"/>
  <c r="ED107" i="44"/>
  <c r="DM81" i="44"/>
  <c r="DN81" i="44" s="1"/>
  <c r="DS81" i="44"/>
  <c r="DT81" i="44" s="1"/>
  <c r="DS102" i="44"/>
  <c r="DT102" i="44" s="1"/>
  <c r="DM102" i="44"/>
  <c r="DN102" i="44" s="1"/>
  <c r="DS83" i="44"/>
  <c r="DT83" i="44" s="1"/>
  <c r="DM83" i="44"/>
  <c r="DN83" i="44" s="1"/>
  <c r="DS90" i="44"/>
  <c r="DT90" i="44" s="1"/>
  <c r="DM90" i="44"/>
  <c r="DN90" i="44" s="1"/>
  <c r="DM23" i="44"/>
  <c r="DN23" i="44" s="1"/>
  <c r="DS23" i="44"/>
  <c r="DT23" i="44" s="1"/>
  <c r="DM24" i="44"/>
  <c r="DN24" i="44" s="1"/>
  <c r="DS24" i="44"/>
  <c r="DT24" i="44" s="1"/>
  <c r="DV83" i="44"/>
  <c r="DS19" i="44"/>
  <c r="DT19" i="44" s="1"/>
  <c r="DM19" i="44"/>
  <c r="DN19" i="44" s="1"/>
  <c r="DM70" i="44"/>
  <c r="DN70" i="44" s="1"/>
  <c r="DS70" i="44"/>
  <c r="DT70" i="44" s="1"/>
  <c r="DV8" i="44"/>
  <c r="DV71" i="44"/>
  <c r="DM42" i="44"/>
  <c r="DN42" i="44" s="1"/>
  <c r="DS42" i="44"/>
  <c r="DT42" i="44" s="1"/>
  <c r="DV64" i="44"/>
  <c r="DV84" i="44"/>
  <c r="DM96" i="44"/>
  <c r="DN96" i="44" s="1"/>
  <c r="DS96" i="44"/>
  <c r="DT96" i="44" s="1"/>
  <c r="DM87" i="44"/>
  <c r="DN87" i="44" s="1"/>
  <c r="DS87" i="44"/>
  <c r="DT87" i="44" s="1"/>
  <c r="DN103" i="44"/>
  <c r="DV103" i="44"/>
  <c r="DV14" i="44"/>
  <c r="DS92" i="44"/>
  <c r="DT92" i="44" s="1"/>
  <c r="DM92" i="44"/>
  <c r="DN92" i="44" s="1"/>
  <c r="DM39" i="44"/>
  <c r="DN39" i="44" s="1"/>
  <c r="DS39" i="44"/>
  <c r="DT39" i="44" s="1"/>
  <c r="DM64" i="44"/>
  <c r="DN64" i="44" s="1"/>
  <c r="DS64" i="44"/>
  <c r="DT64" i="44" s="1"/>
  <c r="DV70" i="44"/>
  <c r="DS22" i="44"/>
  <c r="DT22" i="44" s="1"/>
  <c r="DM22" i="44"/>
  <c r="DN22" i="44" s="1"/>
  <c r="DM100" i="44"/>
  <c r="DN100" i="44" s="1"/>
  <c r="DS100" i="44"/>
  <c r="DT100" i="44" s="1"/>
  <c r="DV42" i="44"/>
  <c r="DV10" i="44"/>
  <c r="DV67" i="44"/>
  <c r="DV96" i="44"/>
  <c r="DN69" i="44"/>
  <c r="DV69" i="44"/>
  <c r="DV50" i="44"/>
  <c r="DV98" i="44"/>
  <c r="DV22" i="44"/>
  <c r="DM80" i="44"/>
  <c r="DN80" i="44" s="1"/>
  <c r="DS80" i="44"/>
  <c r="DT80" i="44" s="1"/>
  <c r="DS50" i="44"/>
  <c r="DT50" i="44" s="1"/>
  <c r="DM50" i="44"/>
  <c r="DN50" i="44" s="1"/>
  <c r="DV27" i="44"/>
  <c r="DS7" i="44"/>
  <c r="DT7" i="44" s="1"/>
  <c r="DM7" i="44"/>
  <c r="DN7" i="44" s="1"/>
  <c r="DS32" i="44"/>
  <c r="DT32" i="44" s="1"/>
  <c r="DM32" i="44"/>
  <c r="DN32" i="44" s="1"/>
  <c r="DM95" i="43"/>
  <c r="DN95" i="43" s="1"/>
  <c r="DS95" i="43"/>
  <c r="DT95" i="43" s="1"/>
  <c r="DV53" i="43"/>
  <c r="DV25" i="43"/>
  <c r="DM100" i="43"/>
  <c r="DN100" i="43" s="1"/>
  <c r="DS100" i="43"/>
  <c r="DT100" i="43" s="1"/>
  <c r="DN99" i="43"/>
  <c r="DV99" i="43"/>
  <c r="DV100" i="43"/>
  <c r="DN83" i="43"/>
  <c r="DV83" i="43"/>
  <c r="DN10" i="43"/>
  <c r="DV10" i="43"/>
  <c r="EW107" i="43"/>
  <c r="EZ5" i="43"/>
  <c r="DV74" i="43"/>
  <c r="DV96" i="43"/>
  <c r="DM63" i="43"/>
  <c r="DN63" i="43" s="1"/>
  <c r="DS63" i="43"/>
  <c r="DT63" i="43" s="1"/>
  <c r="DM56" i="43"/>
  <c r="DN56" i="43" s="1"/>
  <c r="DS56" i="43"/>
  <c r="DT56" i="43" s="1"/>
  <c r="DM68" i="43"/>
  <c r="DN68" i="43" s="1"/>
  <c r="DS68" i="43"/>
  <c r="DT68" i="43" s="1"/>
  <c r="EV107" i="43"/>
  <c r="DN15" i="43"/>
  <c r="DV15" i="43"/>
  <c r="DS73" i="43"/>
  <c r="DT73" i="43" s="1"/>
  <c r="DM73" i="43"/>
  <c r="DN73" i="43" s="1"/>
  <c r="DL5" i="43"/>
  <c r="DG5" i="43"/>
  <c r="DS79" i="43"/>
  <c r="DT79" i="43" s="1"/>
  <c r="DM79" i="43"/>
  <c r="DN79" i="43" s="1"/>
  <c r="DS67" i="43"/>
  <c r="DT67" i="43" s="1"/>
  <c r="DM67" i="43"/>
  <c r="DN67" i="43" s="1"/>
  <c r="DS85" i="43"/>
  <c r="DT85" i="43" s="1"/>
  <c r="DM85" i="43"/>
  <c r="DN85" i="43" s="1"/>
  <c r="DV14" i="43"/>
  <c r="DM54" i="43"/>
  <c r="DN54" i="43" s="1"/>
  <c r="DS54" i="43"/>
  <c r="DT54" i="43" s="1"/>
  <c r="DS42" i="43"/>
  <c r="DT42" i="43" s="1"/>
  <c r="DM42" i="43"/>
  <c r="DN42" i="43" s="1"/>
  <c r="DV78" i="43"/>
  <c r="DV65" i="43"/>
  <c r="DV68" i="43"/>
  <c r="DM9" i="43"/>
  <c r="DN9" i="43" s="1"/>
  <c r="DS9" i="43"/>
  <c r="DT9" i="43" s="1"/>
  <c r="DV73" i="43"/>
  <c r="DV72" i="43"/>
  <c r="DN75" i="43"/>
  <c r="DV75" i="43"/>
  <c r="DV12" i="43"/>
  <c r="DV90" i="43"/>
  <c r="DV85" i="43"/>
  <c r="DS88" i="43"/>
  <c r="DT88" i="43" s="1"/>
  <c r="DM88" i="43"/>
  <c r="DN88" i="43" s="1"/>
  <c r="DS7" i="43"/>
  <c r="DT7" i="43" s="1"/>
  <c r="DM7" i="43"/>
  <c r="DN7" i="43" s="1"/>
  <c r="DV42" i="43"/>
  <c r="DS37" i="43"/>
  <c r="DT37" i="43" s="1"/>
  <c r="DM37" i="43"/>
  <c r="DN37" i="43" s="1"/>
  <c r="DS57" i="43"/>
  <c r="DT57" i="43" s="1"/>
  <c r="DM57" i="43"/>
  <c r="DN57" i="43" s="1"/>
  <c r="DV52" i="43"/>
  <c r="DS13" i="43"/>
  <c r="DT13" i="43" s="1"/>
  <c r="DM13" i="43"/>
  <c r="DN13" i="43" s="1"/>
  <c r="DN21" i="43"/>
  <c r="DV21" i="43"/>
  <c r="DM94" i="43"/>
  <c r="DN94" i="43" s="1"/>
  <c r="DS94" i="43"/>
  <c r="DT94" i="43" s="1"/>
  <c r="DV31" i="43"/>
  <c r="DS45" i="43"/>
  <c r="DT45" i="43" s="1"/>
  <c r="DM45" i="43"/>
  <c r="DN45" i="43" s="1"/>
  <c r="DV97" i="43"/>
  <c r="DV77" i="43"/>
  <c r="DV7" i="43"/>
  <c r="DS76" i="43"/>
  <c r="DT76" i="43" s="1"/>
  <c r="DM76" i="43"/>
  <c r="DN76" i="43" s="1"/>
  <c r="DS41" i="43"/>
  <c r="DT41" i="43" s="1"/>
  <c r="DM41" i="43"/>
  <c r="DN41" i="43" s="1"/>
  <c r="EM107" i="43"/>
  <c r="EL107" i="43" s="1"/>
  <c r="DM35" i="43"/>
  <c r="DN35" i="43" s="1"/>
  <c r="DS35" i="43"/>
  <c r="DT35" i="43" s="1"/>
  <c r="DG107" i="43"/>
  <c r="DV62" i="43"/>
  <c r="DM47" i="43"/>
  <c r="DN47" i="43" s="1"/>
  <c r="DS47" i="43"/>
  <c r="DT47" i="43" s="1"/>
  <c r="DM48" i="43"/>
  <c r="DN48" i="43" s="1"/>
  <c r="DS48" i="43"/>
  <c r="DT48" i="43" s="1"/>
  <c r="DS16" i="43"/>
  <c r="DT16" i="43" s="1"/>
  <c r="DM16" i="43"/>
  <c r="DN16" i="43" s="1"/>
  <c r="DS19" i="43"/>
  <c r="DT19" i="43" s="1"/>
  <c r="DM19" i="43"/>
  <c r="DN19" i="43" s="1"/>
  <c r="EB107" i="43"/>
  <c r="DM26" i="43"/>
  <c r="DN26" i="43" s="1"/>
  <c r="DS26" i="43"/>
  <c r="DT26" i="43" s="1"/>
  <c r="DV45" i="43"/>
  <c r="DM50" i="43"/>
  <c r="DN50" i="43" s="1"/>
  <c r="DS50" i="43"/>
  <c r="DT50" i="43" s="1"/>
  <c r="DM101" i="43"/>
  <c r="DN101" i="43" s="1"/>
  <c r="DS101" i="43"/>
  <c r="DT101" i="43" s="1"/>
  <c r="DN80" i="43"/>
  <c r="DV80" i="43"/>
  <c r="DS34" i="43"/>
  <c r="DT34" i="43" s="1"/>
  <c r="DM34" i="43"/>
  <c r="DN34" i="43" s="1"/>
  <c r="DV50" i="43"/>
  <c r="DV59" i="43"/>
  <c r="DS8" i="43"/>
  <c r="DT8" i="43" s="1"/>
  <c r="DM8" i="43"/>
  <c r="DN8" i="43" s="1"/>
  <c r="DS62" i="43"/>
  <c r="DT62" i="43" s="1"/>
  <c r="DM62" i="43"/>
  <c r="DN62" i="43" s="1"/>
  <c r="DS20" i="43"/>
  <c r="DT20" i="43" s="1"/>
  <c r="DM20" i="43"/>
  <c r="DN20" i="43" s="1"/>
  <c r="DV56" i="43"/>
  <c r="DS81" i="43"/>
  <c r="DT81" i="43" s="1"/>
  <c r="DM81" i="43"/>
  <c r="DN81" i="43" s="1"/>
  <c r="DM43" i="43"/>
  <c r="DN43" i="43" s="1"/>
  <c r="DS43" i="43"/>
  <c r="DT43" i="43" s="1"/>
  <c r="DV98" i="43"/>
  <c r="DS91" i="43"/>
  <c r="DT91" i="43" s="1"/>
  <c r="DM91" i="43"/>
  <c r="DN91" i="43" s="1"/>
  <c r="DS105" i="43"/>
  <c r="DT105" i="43" s="1"/>
  <c r="DM105" i="43"/>
  <c r="DN105" i="43" s="1"/>
  <c r="DV82" i="43"/>
  <c r="DS59" i="43"/>
  <c r="DT59" i="43" s="1"/>
  <c r="DM59" i="43"/>
  <c r="DN59" i="43" s="1"/>
  <c r="DV29" i="43"/>
  <c r="DV92" i="43"/>
  <c r="DV66" i="43"/>
  <c r="DM88" i="42"/>
  <c r="DN88" i="42" s="1"/>
  <c r="DS88" i="42"/>
  <c r="DT88" i="42" s="1"/>
  <c r="DS9" i="42"/>
  <c r="DT9" i="42" s="1"/>
  <c r="DM9" i="42"/>
  <c r="DN9" i="42" s="1"/>
  <c r="DM74" i="42"/>
  <c r="DN74" i="42" s="1"/>
  <c r="DS74" i="42"/>
  <c r="DT74" i="42" s="1"/>
  <c r="DS18" i="42"/>
  <c r="DT18" i="42" s="1"/>
  <c r="DM18" i="42"/>
  <c r="DN18" i="42" s="1"/>
  <c r="DV93" i="42"/>
  <c r="DS72" i="42"/>
  <c r="DT72" i="42" s="1"/>
  <c r="DM72" i="42"/>
  <c r="DN72" i="42" s="1"/>
  <c r="DM91" i="42"/>
  <c r="DN91" i="42" s="1"/>
  <c r="DS91" i="42"/>
  <c r="DT91" i="42" s="1"/>
  <c r="DN20" i="42"/>
  <c r="DV20" i="42"/>
  <c r="DS87" i="42"/>
  <c r="DT87" i="42" s="1"/>
  <c r="DM87" i="42"/>
  <c r="DN87" i="42" s="1"/>
  <c r="DV42" i="42"/>
  <c r="DN38" i="42"/>
  <c r="DV38" i="42"/>
  <c r="DN30" i="42"/>
  <c r="DV30" i="42"/>
  <c r="DM40" i="42"/>
  <c r="DN40" i="42" s="1"/>
  <c r="DS40" i="42"/>
  <c r="DT40" i="42" s="1"/>
  <c r="DN95" i="42"/>
  <c r="DV95" i="42"/>
  <c r="DS41" i="42"/>
  <c r="DT41" i="42" s="1"/>
  <c r="DM41" i="42"/>
  <c r="DN41" i="42" s="1"/>
  <c r="DS19" i="42"/>
  <c r="DT19" i="42" s="1"/>
  <c r="DM19" i="42"/>
  <c r="DN19" i="42" s="1"/>
  <c r="DS106" i="42"/>
  <c r="DT106" i="42" s="1"/>
  <c r="DM106" i="42"/>
  <c r="DN106" i="42" s="1"/>
  <c r="DV40" i="42"/>
  <c r="DM21" i="42"/>
  <c r="DN21" i="42" s="1"/>
  <c r="DS21" i="42"/>
  <c r="DT21" i="42" s="1"/>
  <c r="DN62" i="42"/>
  <c r="DV62" i="42"/>
  <c r="DS86" i="42"/>
  <c r="DT86" i="42" s="1"/>
  <c r="DM86" i="42"/>
  <c r="DN86" i="42" s="1"/>
  <c r="DV73" i="42"/>
  <c r="DM56" i="42"/>
  <c r="DN56" i="42" s="1"/>
  <c r="DS56" i="42"/>
  <c r="DT56" i="42" s="1"/>
  <c r="EB107" i="42"/>
  <c r="ED5" i="42"/>
  <c r="DS97" i="42"/>
  <c r="DT97" i="42" s="1"/>
  <c r="DM97" i="42"/>
  <c r="DN97" i="42" s="1"/>
  <c r="DS73" i="42"/>
  <c r="DT73" i="42" s="1"/>
  <c r="DM73" i="42"/>
  <c r="DN73" i="42" s="1"/>
  <c r="DV56" i="42"/>
  <c r="DV17" i="42"/>
  <c r="DV54" i="42"/>
  <c r="DN84" i="42"/>
  <c r="DV84" i="42"/>
  <c r="ED107" i="42"/>
  <c r="DV58" i="42"/>
  <c r="DS63" i="42"/>
  <c r="DT63" i="42" s="1"/>
  <c r="DM63" i="42"/>
  <c r="DN63" i="42" s="1"/>
  <c r="DV41" i="42"/>
  <c r="DS83" i="42"/>
  <c r="DT83" i="42" s="1"/>
  <c r="DM83" i="42"/>
  <c r="DN83" i="42" s="1"/>
  <c r="DV91" i="42"/>
  <c r="DG5" i="42"/>
  <c r="DL5" i="42"/>
  <c r="DS94" i="42"/>
  <c r="DT94" i="42" s="1"/>
  <c r="DM94" i="42"/>
  <c r="DN94" i="42" s="1"/>
  <c r="DS47" i="42"/>
  <c r="DT47" i="42" s="1"/>
  <c r="DM47" i="42"/>
  <c r="DN47" i="42" s="1"/>
  <c r="DS17" i="42"/>
  <c r="DT17" i="42" s="1"/>
  <c r="DM17" i="42"/>
  <c r="DN17" i="42" s="1"/>
  <c r="DV32" i="42"/>
  <c r="DM80" i="42"/>
  <c r="DN80" i="42" s="1"/>
  <c r="DS80" i="42"/>
  <c r="DT80" i="42" s="1"/>
  <c r="DS31" i="42"/>
  <c r="DT31" i="42" s="1"/>
  <c r="DM31" i="42"/>
  <c r="DN31" i="42" s="1"/>
  <c r="DM65" i="42"/>
  <c r="DN65" i="42" s="1"/>
  <c r="DS65" i="42"/>
  <c r="DT65" i="42" s="1"/>
  <c r="DM66" i="42"/>
  <c r="DN66" i="42" s="1"/>
  <c r="DS66" i="42"/>
  <c r="DT66" i="42" s="1"/>
  <c r="DV21" i="42"/>
  <c r="DS33" i="42"/>
  <c r="DT33" i="42" s="1"/>
  <c r="DM33" i="42"/>
  <c r="DN33" i="42" s="1"/>
  <c r="DV94" i="42"/>
  <c r="DV39" i="42"/>
  <c r="DN13" i="42"/>
  <c r="DV13" i="42"/>
  <c r="DV90" i="42"/>
  <c r="EW107" i="42"/>
  <c r="EZ5" i="42"/>
  <c r="DV24" i="42"/>
  <c r="DM23" i="42"/>
  <c r="DN23" i="42" s="1"/>
  <c r="DS23" i="42"/>
  <c r="DT23" i="42" s="1"/>
  <c r="DS100" i="42"/>
  <c r="DT100" i="42" s="1"/>
  <c r="DM100" i="42"/>
  <c r="DN100" i="42" s="1"/>
  <c r="DV31" i="42"/>
  <c r="DN98" i="42"/>
  <c r="DV98" i="42"/>
  <c r="DS85" i="42"/>
  <c r="DT85" i="42" s="1"/>
  <c r="DM85" i="42"/>
  <c r="DN85" i="42" s="1"/>
  <c r="DN10" i="42"/>
  <c r="DV10" i="42"/>
  <c r="DV72" i="42"/>
  <c r="DV25" i="42"/>
  <c r="EM107" i="42"/>
  <c r="EL107" i="42" s="1"/>
  <c r="DM14" i="42"/>
  <c r="DN14" i="42" s="1"/>
  <c r="DS14" i="42"/>
  <c r="DT14" i="42" s="1"/>
  <c r="DM57" i="42"/>
  <c r="DN57" i="42" s="1"/>
  <c r="DS57" i="42"/>
  <c r="DT57" i="42" s="1"/>
  <c r="DV53" i="42"/>
  <c r="DV60" i="42"/>
  <c r="DV36" i="42"/>
  <c r="DV85" i="42"/>
  <c r="DM79" i="42"/>
  <c r="DN79" i="42" s="1"/>
  <c r="DS79" i="42"/>
  <c r="DT79" i="42" s="1"/>
  <c r="DV35" i="42"/>
  <c r="DV14" i="42"/>
  <c r="DV57" i="42"/>
  <c r="DS105" i="42"/>
  <c r="DT105" i="42" s="1"/>
  <c r="DM105" i="42"/>
  <c r="DN105" i="42" s="1"/>
  <c r="DM37" i="42"/>
  <c r="DN37" i="42" s="1"/>
  <c r="DS37" i="42"/>
  <c r="DT37" i="42" s="1"/>
  <c r="EV107" i="42"/>
  <c r="DS82" i="42"/>
  <c r="DT82" i="42" s="1"/>
  <c r="DM82" i="42"/>
  <c r="DN82" i="42" s="1"/>
  <c r="DS60" i="42"/>
  <c r="DT60" i="42" s="1"/>
  <c r="DM60" i="42"/>
  <c r="DN60" i="42" s="1"/>
  <c r="DV59" i="42"/>
  <c r="DM11" i="42"/>
  <c r="DN11" i="42" s="1"/>
  <c r="DS11" i="42"/>
  <c r="DT11" i="42" s="1"/>
  <c r="DS55" i="42"/>
  <c r="DT55" i="42" s="1"/>
  <c r="DM55" i="42"/>
  <c r="DN55" i="42" s="1"/>
  <c r="DV102" i="42"/>
  <c r="DM22" i="42"/>
  <c r="DN22" i="42" s="1"/>
  <c r="DS22" i="42"/>
  <c r="DT22" i="42" s="1"/>
  <c r="DV9" i="42"/>
  <c r="DS103" i="42"/>
  <c r="DT103" i="42" s="1"/>
  <c r="DM103" i="42"/>
  <c r="DN103" i="42" s="1"/>
  <c r="DS93" i="42"/>
  <c r="DT93" i="42" s="1"/>
  <c r="DM93" i="42"/>
  <c r="DN93" i="42" s="1"/>
  <c r="DM6" i="42"/>
  <c r="DN6" i="42" s="1"/>
  <c r="DS6" i="42"/>
  <c r="DT6" i="42" s="1"/>
  <c r="DS76" i="42"/>
  <c r="DT76" i="42" s="1"/>
  <c r="DM76" i="42"/>
  <c r="DN76" i="42" s="1"/>
  <c r="DV82" i="42"/>
  <c r="DS67" i="42"/>
  <c r="DT67" i="42" s="1"/>
  <c r="DM67" i="42"/>
  <c r="DN67" i="42" s="1"/>
  <c r="DV69" i="42"/>
  <c r="DS99" i="42"/>
  <c r="DT99" i="42" s="1"/>
  <c r="DM99" i="42"/>
  <c r="DN99" i="42" s="1"/>
  <c r="DN81" i="42"/>
  <c r="DV81" i="42"/>
  <c r="EE86" i="28"/>
  <c r="DZ92" i="28"/>
  <c r="EB92" i="28" s="1"/>
  <c r="ED92" i="28" s="1"/>
  <c r="DH89" i="28"/>
  <c r="CU94" i="28"/>
  <c r="EA94" i="28"/>
  <c r="DH86" i="28"/>
  <c r="DW89" i="28"/>
  <c r="DZ90" i="28"/>
  <c r="DZ94" i="28"/>
  <c r="EB94" i="28" s="1"/>
  <c r="ED94" i="28" s="1"/>
  <c r="EL88" i="28"/>
  <c r="DL86" i="28"/>
  <c r="DG86" i="28"/>
  <c r="DG88" i="28"/>
  <c r="DL88" i="28"/>
  <c r="EU88" i="28"/>
  <c r="DZ88" i="28"/>
  <c r="EB88" i="28" s="1"/>
  <c r="ED88" i="28" s="1"/>
  <c r="EU86" i="28"/>
  <c r="DZ86" i="28"/>
  <c r="EB86" i="28" s="1"/>
  <c r="ED86" i="28" s="1"/>
  <c r="DW87" i="28"/>
  <c r="EE87" i="28"/>
  <c r="DH87" i="28"/>
  <c r="DD87" i="28"/>
  <c r="DF87" i="28" s="1"/>
  <c r="EA87" i="28"/>
  <c r="EB87" i="28" s="1"/>
  <c r="ED87" i="28" s="1"/>
  <c r="CU87" i="28"/>
  <c r="EE89" i="28"/>
  <c r="DD89" i="28"/>
  <c r="DF89" i="28" s="1"/>
  <c r="DL89" i="28" s="1"/>
  <c r="EV88" i="28"/>
  <c r="DB88" i="28"/>
  <c r="EV86" i="28"/>
  <c r="DB86" i="28"/>
  <c r="EV91" i="28"/>
  <c r="DB91" i="28"/>
  <c r="EV89" i="28"/>
  <c r="DB89" i="28"/>
  <c r="EU91" i="28"/>
  <c r="DZ91" i="28"/>
  <c r="EB91" i="28" s="1"/>
  <c r="ED91" i="28" s="1"/>
  <c r="EU89" i="28"/>
  <c r="DZ89" i="28"/>
  <c r="EB89" i="28" s="1"/>
  <c r="ED89" i="28" s="1"/>
  <c r="EW89" i="28"/>
  <c r="EZ89" i="28" s="1"/>
  <c r="FA89" i="28" s="1"/>
  <c r="EW91" i="28"/>
  <c r="EZ91" i="28" s="1"/>
  <c r="FA91" i="28" s="1"/>
  <c r="DG91" i="28"/>
  <c r="DL91" i="28"/>
  <c r="EL89" i="28"/>
  <c r="DW90" i="28"/>
  <c r="CU90" i="28"/>
  <c r="EE90" i="28"/>
  <c r="DH90" i="28"/>
  <c r="DD90" i="28"/>
  <c r="DF90" i="28" s="1"/>
  <c r="EA90" i="28"/>
  <c r="EB90" i="28" s="1"/>
  <c r="ED90" i="28" s="1"/>
  <c r="EL90" i="28"/>
  <c r="EL91" i="28"/>
  <c r="EM92" i="28"/>
  <c r="EL92" i="28"/>
  <c r="EU93" i="28"/>
  <c r="DZ93" i="28"/>
  <c r="DW93" i="28"/>
  <c r="EA93" i="28"/>
  <c r="CU93" i="28"/>
  <c r="EE93" i="28"/>
  <c r="DD93" i="28"/>
  <c r="DF93" i="28" s="1"/>
  <c r="DH93" i="28"/>
  <c r="EV92" i="28"/>
  <c r="DB92" i="28"/>
  <c r="EW92" i="28"/>
  <c r="EZ92" i="28" s="1"/>
  <c r="FA92" i="28" s="1"/>
  <c r="EK93" i="28"/>
  <c r="DL94" i="28"/>
  <c r="EV94" i="28"/>
  <c r="DB94" i="28"/>
  <c r="EW94" i="28"/>
  <c r="EZ94" i="28" s="1"/>
  <c r="FA94" i="28" s="1"/>
  <c r="EM94" i="28"/>
  <c r="EL94" i="28"/>
  <c r="DM92" i="28"/>
  <c r="DN92" i="28" s="1"/>
  <c r="DS92" i="28"/>
  <c r="DT92" i="28" s="1"/>
  <c r="DV32" i="44" l="1"/>
  <c r="EZ107" i="44"/>
  <c r="FA5" i="44"/>
  <c r="FA107" i="44" s="1"/>
  <c r="DV20" i="44"/>
  <c r="DV39" i="44"/>
  <c r="DV66" i="44"/>
  <c r="DV47" i="44"/>
  <c r="DV19" i="44"/>
  <c r="DV76" i="44"/>
  <c r="DV80" i="44"/>
  <c r="DV31" i="44"/>
  <c r="DV77" i="44"/>
  <c r="DV53" i="44"/>
  <c r="DV74" i="44"/>
  <c r="DV38" i="44"/>
  <c r="DV92" i="44"/>
  <c r="DV24" i="44"/>
  <c r="DV102" i="44"/>
  <c r="DV95" i="44"/>
  <c r="DV23" i="44"/>
  <c r="DV28" i="44"/>
  <c r="DV106" i="44"/>
  <c r="DV90" i="44"/>
  <c r="DL107" i="44"/>
  <c r="DS5" i="44"/>
  <c r="DT5" i="44" s="1"/>
  <c r="DT107" i="44" s="1"/>
  <c r="DS107" i="44" s="1"/>
  <c r="DM5" i="44"/>
  <c r="DN5" i="44" s="1"/>
  <c r="DN107" i="44" s="1"/>
  <c r="DM107" i="44" s="1"/>
  <c r="DV56" i="44"/>
  <c r="DV100" i="44"/>
  <c r="DV7" i="44"/>
  <c r="DV81" i="44"/>
  <c r="DV72" i="44"/>
  <c r="DV87" i="44"/>
  <c r="DV5" i="44"/>
  <c r="DV36" i="44"/>
  <c r="DV76" i="43"/>
  <c r="DV67" i="43"/>
  <c r="DV8" i="43"/>
  <c r="DV101" i="43"/>
  <c r="DV19" i="43"/>
  <c r="DV79" i="43"/>
  <c r="DV95" i="43"/>
  <c r="DV81" i="43"/>
  <c r="DV37" i="43"/>
  <c r="DV35" i="43"/>
  <c r="DV94" i="43"/>
  <c r="DV16" i="43"/>
  <c r="EZ107" i="43"/>
  <c r="FA5" i="43"/>
  <c r="FA107" i="43" s="1"/>
  <c r="DV20" i="43"/>
  <c r="DV34" i="43"/>
  <c r="DV26" i="43"/>
  <c r="DV41" i="43"/>
  <c r="DL107" i="43"/>
  <c r="DS5" i="43"/>
  <c r="DT5" i="43" s="1"/>
  <c r="DT107" i="43" s="1"/>
  <c r="DS107" i="43" s="1"/>
  <c r="DM5" i="43"/>
  <c r="DN5" i="43" s="1"/>
  <c r="DN107" i="43" s="1"/>
  <c r="DM107" i="43" s="1"/>
  <c r="DV43" i="43"/>
  <c r="DV9" i="43"/>
  <c r="DV47" i="43"/>
  <c r="DV48" i="43"/>
  <c r="DV13" i="43"/>
  <c r="DV57" i="43"/>
  <c r="DV105" i="43"/>
  <c r="DV88" i="43"/>
  <c r="DV91" i="43"/>
  <c r="DV63" i="43"/>
  <c r="DV54" i="43"/>
  <c r="DV105" i="42"/>
  <c r="DV23" i="42"/>
  <c r="DV79" i="42"/>
  <c r="DV83" i="42"/>
  <c r="DV37" i="42"/>
  <c r="DV63" i="42"/>
  <c r="DV97" i="42"/>
  <c r="DV86" i="42"/>
  <c r="DV67" i="42"/>
  <c r="DV65" i="42"/>
  <c r="DV47" i="42"/>
  <c r="DV76" i="42"/>
  <c r="DV100" i="42"/>
  <c r="DV55" i="42"/>
  <c r="EZ107" i="42"/>
  <c r="FA5" i="42"/>
  <c r="FA107" i="42" s="1"/>
  <c r="DV22" i="42"/>
  <c r="DV103" i="42"/>
  <c r="DV18" i="42"/>
  <c r="DV11" i="42"/>
  <c r="DV99" i="42"/>
  <c r="DV66" i="42"/>
  <c r="DV6" i="42"/>
  <c r="DV87" i="42"/>
  <c r="DV88" i="42"/>
  <c r="DV19" i="42"/>
  <c r="DV74" i="42"/>
  <c r="DL107" i="42"/>
  <c r="DM5" i="42"/>
  <c r="DN5" i="42" s="1"/>
  <c r="DN107" i="42" s="1"/>
  <c r="DM107" i="42" s="1"/>
  <c r="DS5" i="42"/>
  <c r="DT5" i="42" s="1"/>
  <c r="DT107" i="42" s="1"/>
  <c r="DS107" i="42" s="1"/>
  <c r="DV106" i="42"/>
  <c r="DV33" i="42"/>
  <c r="DV80" i="42"/>
  <c r="DV5" i="42"/>
  <c r="DG107" i="42"/>
  <c r="DV92" i="28"/>
  <c r="DM86" i="28"/>
  <c r="DN86" i="28" s="1"/>
  <c r="DS86" i="28"/>
  <c r="DT86" i="28" s="1"/>
  <c r="DG87" i="28"/>
  <c r="DL87" i="28"/>
  <c r="DM88" i="28"/>
  <c r="DN88" i="28" s="1"/>
  <c r="DS88" i="28"/>
  <c r="DT88" i="28" s="1"/>
  <c r="DG89" i="28"/>
  <c r="DB87" i="28"/>
  <c r="EW87" i="28"/>
  <c r="EZ87" i="28" s="1"/>
  <c r="FA87" i="28" s="1"/>
  <c r="EV87" i="28"/>
  <c r="DS91" i="28"/>
  <c r="DT91" i="28" s="1"/>
  <c r="DM91" i="28"/>
  <c r="DN91" i="28" s="1"/>
  <c r="DM89" i="28"/>
  <c r="DN89" i="28" s="1"/>
  <c r="DS89" i="28"/>
  <c r="DT89" i="28" s="1"/>
  <c r="DG90" i="28"/>
  <c r="DL90" i="28"/>
  <c r="DB90" i="28"/>
  <c r="EV90" i="28"/>
  <c r="EW90" i="28"/>
  <c r="EZ90" i="28" s="1"/>
  <c r="FA90" i="28" s="1"/>
  <c r="DM94" i="28"/>
  <c r="DS94" i="28"/>
  <c r="DT94" i="28" s="1"/>
  <c r="DG93" i="28"/>
  <c r="DL93" i="28"/>
  <c r="EM93" i="28"/>
  <c r="EL93" i="28"/>
  <c r="DB93" i="28"/>
  <c r="EV93" i="28"/>
  <c r="EW93" i="28"/>
  <c r="EZ93" i="28" s="1"/>
  <c r="FA93" i="28" s="1"/>
  <c r="EB93" i="28"/>
  <c r="ED93" i="28" s="1"/>
  <c r="DV107" i="44" l="1"/>
  <c r="DV5" i="43"/>
  <c r="DV107" i="43" s="1"/>
  <c r="DV107" i="42"/>
  <c r="DV86" i="28"/>
  <c r="DV88" i="28"/>
  <c r="DS87" i="28"/>
  <c r="DT87" i="28" s="1"/>
  <c r="DM87" i="28"/>
  <c r="DN87" i="28" s="1"/>
  <c r="DV91" i="28"/>
  <c r="DS90" i="28"/>
  <c r="DT90" i="28" s="1"/>
  <c r="DM90" i="28"/>
  <c r="DN90" i="28" s="1"/>
  <c r="DV89" i="28"/>
  <c r="DS93" i="28"/>
  <c r="DT93" i="28" s="1"/>
  <c r="DM93" i="28"/>
  <c r="DN93" i="28" s="1"/>
  <c r="DN94" i="28"/>
  <c r="DV94" i="28"/>
  <c r="DV87" i="28" l="1"/>
  <c r="DV90" i="28"/>
  <c r="DV93" i="28"/>
  <c r="I75" i="28" l="1"/>
  <c r="I74" i="28"/>
  <c r="I57" i="28"/>
  <c r="I56" i="28"/>
  <c r="I54" i="28"/>
  <c r="I53" i="28"/>
  <c r="I47" i="28"/>
  <c r="DQ107" i="28" l="1"/>
  <c r="DP107" i="28"/>
  <c r="CR107" i="28"/>
  <c r="CQ107" i="28"/>
  <c r="CP107" i="28"/>
  <c r="CO107" i="28"/>
  <c r="CN107" i="28"/>
  <c r="CM107" i="28"/>
  <c r="CL107" i="28"/>
  <c r="CK107" i="28"/>
  <c r="CJ107" i="28"/>
  <c r="CI107" i="28"/>
  <c r="CH107" i="28"/>
  <c r="CG107" i="28"/>
  <c r="CF107" i="28"/>
  <c r="CE107" i="28"/>
  <c r="CD107" i="28"/>
  <c r="CC107" i="28"/>
  <c r="CB107" i="28"/>
  <c r="CA107" i="28"/>
  <c r="BZ107" i="28"/>
  <c r="BY107" i="28"/>
  <c r="BX107" i="28"/>
  <c r="BW107" i="28"/>
  <c r="BV107" i="28"/>
  <c r="BU107" i="28"/>
  <c r="BT107" i="28"/>
  <c r="BS107" i="28"/>
  <c r="BR107" i="28"/>
  <c r="BQ107" i="28"/>
  <c r="BP107" i="28"/>
  <c r="BO107" i="28"/>
  <c r="BN107" i="28"/>
  <c r="BM107" i="28"/>
  <c r="BL107" i="28"/>
  <c r="BK107" i="28"/>
  <c r="BJ107" i="28"/>
  <c r="BI107" i="28"/>
  <c r="BH107" i="28"/>
  <c r="BG107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M107" i="28"/>
  <c r="AL107" i="28"/>
  <c r="AK107" i="28"/>
  <c r="AJ107" i="28"/>
  <c r="AI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E107" i="28"/>
  <c r="I35" i="28" l="1"/>
  <c r="I33" i="28"/>
  <c r="AH107" i="28" l="1"/>
  <c r="I32" i="28"/>
  <c r="AU107" i="28" l="1"/>
  <c r="AR107" i="28"/>
  <c r="M107" i="28"/>
  <c r="L107" i="28"/>
  <c r="G107" i="28"/>
  <c r="EI106" i="28"/>
  <c r="EG106" i="28"/>
  <c r="EO106" i="28" s="1"/>
  <c r="DY106" i="28"/>
  <c r="DR106" i="28"/>
  <c r="EX106" i="28" s="1"/>
  <c r="DJ106" i="28"/>
  <c r="CS106" i="28"/>
  <c r="DE106" i="28" s="1"/>
  <c r="AN106" i="28"/>
  <c r="K106" i="28"/>
  <c r="EH106" i="28" s="1"/>
  <c r="I106" i="28"/>
  <c r="EJ106" i="28" s="1"/>
  <c r="EP106" i="28" s="1"/>
  <c r="EI105" i="28"/>
  <c r="EG105" i="28"/>
  <c r="DY105" i="28"/>
  <c r="DR105" i="28"/>
  <c r="DJ105" i="28"/>
  <c r="CS105" i="28"/>
  <c r="DE105" i="28" s="1"/>
  <c r="AN105" i="28"/>
  <c r="K105" i="28"/>
  <c r="DA105" i="28" s="1"/>
  <c r="I105" i="28"/>
  <c r="EJ105" i="28" s="1"/>
  <c r="EP105" i="28" s="1"/>
  <c r="EI104" i="28"/>
  <c r="EG104" i="28"/>
  <c r="EO104" i="28" s="1"/>
  <c r="DY104" i="28"/>
  <c r="DR104" i="28"/>
  <c r="EX104" i="28" s="1"/>
  <c r="DJ104" i="28"/>
  <c r="CS104" i="28"/>
  <c r="DE104" i="28" s="1"/>
  <c r="AN104" i="28"/>
  <c r="K104" i="28"/>
  <c r="CZ104" i="28" s="1"/>
  <c r="I104" i="28"/>
  <c r="EJ104" i="28" s="1"/>
  <c r="EP104" i="28" s="1"/>
  <c r="EI103" i="28"/>
  <c r="EG103" i="28"/>
  <c r="DY103" i="28"/>
  <c r="DR103" i="28"/>
  <c r="DJ103" i="28"/>
  <c r="CS103" i="28"/>
  <c r="DE103" i="28" s="1"/>
  <c r="AN103" i="28"/>
  <c r="K103" i="28"/>
  <c r="CZ103" i="28" s="1"/>
  <c r="I103" i="28"/>
  <c r="EJ103" i="28" s="1"/>
  <c r="EP103" i="28" s="1"/>
  <c r="EO102" i="28"/>
  <c r="EI102" i="28"/>
  <c r="EG102" i="28"/>
  <c r="DY102" i="28"/>
  <c r="DR102" i="28"/>
  <c r="EX102" i="28" s="1"/>
  <c r="DJ102" i="28"/>
  <c r="CS102" i="28"/>
  <c r="DE102" i="28" s="1"/>
  <c r="AN102" i="28"/>
  <c r="K102" i="28"/>
  <c r="CX102" i="28" s="1"/>
  <c r="I102" i="28"/>
  <c r="EJ102" i="28" s="1"/>
  <c r="EP102" i="28" s="1"/>
  <c r="EI101" i="28"/>
  <c r="EG101" i="28"/>
  <c r="EO101" i="28" s="1"/>
  <c r="DY101" i="28"/>
  <c r="DR101" i="28"/>
  <c r="DJ101" i="28"/>
  <c r="CS101" i="28"/>
  <c r="DE101" i="28" s="1"/>
  <c r="AN101" i="28"/>
  <c r="K101" i="28"/>
  <c r="DA101" i="28" s="1"/>
  <c r="I101" i="28"/>
  <c r="EI100" i="28"/>
  <c r="EG100" i="28"/>
  <c r="EO100" i="28" s="1"/>
  <c r="DY100" i="28"/>
  <c r="DR100" i="28"/>
  <c r="EX100" i="28" s="1"/>
  <c r="DJ100" i="28"/>
  <c r="CS100" i="28"/>
  <c r="DE100" i="28" s="1"/>
  <c r="AN100" i="28"/>
  <c r="K100" i="28"/>
  <c r="CZ100" i="28" s="1"/>
  <c r="I100" i="28"/>
  <c r="DK100" i="28" s="1"/>
  <c r="EI99" i="28"/>
  <c r="EG99" i="28"/>
  <c r="EO99" i="28" s="1"/>
  <c r="DY99" i="28"/>
  <c r="DR99" i="28"/>
  <c r="DJ99" i="28"/>
  <c r="CS99" i="28"/>
  <c r="DE99" i="28" s="1"/>
  <c r="AN99" i="28"/>
  <c r="K99" i="28"/>
  <c r="I99" i="28"/>
  <c r="DK99" i="28" s="1"/>
  <c r="EU99" i="28" s="1"/>
  <c r="EI98" i="28"/>
  <c r="EG98" i="28"/>
  <c r="EO98" i="28" s="1"/>
  <c r="DY98" i="28"/>
  <c r="DR98" i="28"/>
  <c r="EX98" i="28" s="1"/>
  <c r="DJ98" i="28"/>
  <c r="CS98" i="28"/>
  <c r="DE98" i="28" s="1"/>
  <c r="AN98" i="28"/>
  <c r="K98" i="28"/>
  <c r="CZ98" i="28" s="1"/>
  <c r="I98" i="28"/>
  <c r="EI97" i="28"/>
  <c r="EG97" i="28"/>
  <c r="EO97" i="28" s="1"/>
  <c r="DY97" i="28"/>
  <c r="DR97" i="28"/>
  <c r="DJ97" i="28"/>
  <c r="CS97" i="28"/>
  <c r="DE97" i="28" s="1"/>
  <c r="AN97" i="28"/>
  <c r="K97" i="28"/>
  <c r="CZ97" i="28" s="1"/>
  <c r="I97" i="28"/>
  <c r="EI96" i="28"/>
  <c r="EG96" i="28"/>
  <c r="EO96" i="28" s="1"/>
  <c r="DY96" i="28"/>
  <c r="DR96" i="28"/>
  <c r="EX96" i="28" s="1"/>
  <c r="DJ96" i="28"/>
  <c r="CS96" i="28"/>
  <c r="DE96" i="28" s="1"/>
  <c r="AN96" i="28"/>
  <c r="K96" i="28"/>
  <c r="CZ96" i="28" s="1"/>
  <c r="I96" i="28"/>
  <c r="DK96" i="28" s="1"/>
  <c r="EI95" i="28"/>
  <c r="EG95" i="28"/>
  <c r="EO95" i="28" s="1"/>
  <c r="DY95" i="28"/>
  <c r="DR95" i="28"/>
  <c r="DJ95" i="28"/>
  <c r="CS95" i="28"/>
  <c r="DE95" i="28" s="1"/>
  <c r="AN95" i="28"/>
  <c r="K95" i="28"/>
  <c r="EH95" i="28" s="1"/>
  <c r="I95" i="28"/>
  <c r="EI85" i="28"/>
  <c r="EG85" i="28"/>
  <c r="EO85" i="28" s="1"/>
  <c r="DY85" i="28"/>
  <c r="DR85" i="28"/>
  <c r="DJ85" i="28"/>
  <c r="CS85" i="28"/>
  <c r="DE85" i="28" s="1"/>
  <c r="AN85" i="28"/>
  <c r="K85" i="28"/>
  <c r="CZ85" i="28" s="1"/>
  <c r="I85" i="28"/>
  <c r="DK85" i="28" s="1"/>
  <c r="EI84" i="28"/>
  <c r="EG84" i="28"/>
  <c r="DY84" i="28"/>
  <c r="DR84" i="28"/>
  <c r="DJ84" i="28"/>
  <c r="CS84" i="28"/>
  <c r="DE84" i="28" s="1"/>
  <c r="AN84" i="28"/>
  <c r="K84" i="28"/>
  <c r="CW84" i="28" s="1"/>
  <c r="I84" i="28"/>
  <c r="DK84" i="28" s="1"/>
  <c r="EU84" i="28" s="1"/>
  <c r="EI83" i="28"/>
  <c r="EG83" i="28"/>
  <c r="EO83" i="28" s="1"/>
  <c r="DY83" i="28"/>
  <c r="DR83" i="28"/>
  <c r="DJ83" i="28"/>
  <c r="CS83" i="28"/>
  <c r="DE83" i="28" s="1"/>
  <c r="AN83" i="28"/>
  <c r="K83" i="28"/>
  <c r="CX83" i="28" s="1"/>
  <c r="I83" i="28"/>
  <c r="DK83" i="28" s="1"/>
  <c r="EI82" i="28"/>
  <c r="EG82" i="28"/>
  <c r="DY82" i="28"/>
  <c r="DR82" i="28"/>
  <c r="EX82" i="28" s="1"/>
  <c r="DJ82" i="28"/>
  <c r="CS82" i="28"/>
  <c r="DE82" i="28" s="1"/>
  <c r="AN82" i="28"/>
  <c r="K82" i="28"/>
  <c r="CX82" i="28" s="1"/>
  <c r="I82" i="28"/>
  <c r="EI81" i="28"/>
  <c r="EG81" i="28"/>
  <c r="EO81" i="28" s="1"/>
  <c r="DY81" i="28"/>
  <c r="DR81" i="28"/>
  <c r="EX81" i="28" s="1"/>
  <c r="DJ81" i="28"/>
  <c r="CS81" i="28"/>
  <c r="DE81" i="28" s="1"/>
  <c r="AN81" i="28"/>
  <c r="K81" i="28"/>
  <c r="I81" i="28"/>
  <c r="EJ81" i="28" s="1"/>
  <c r="EP81" i="28" s="1"/>
  <c r="EI80" i="28"/>
  <c r="EG80" i="28"/>
  <c r="DY80" i="28"/>
  <c r="DR80" i="28"/>
  <c r="EX80" i="28" s="1"/>
  <c r="DJ80" i="28"/>
  <c r="CS80" i="28"/>
  <c r="DE80" i="28" s="1"/>
  <c r="AN80" i="28"/>
  <c r="K80" i="28"/>
  <c r="I80" i="28"/>
  <c r="EJ80" i="28" s="1"/>
  <c r="EP80" i="28" s="1"/>
  <c r="EI79" i="28"/>
  <c r="EG79" i="28"/>
  <c r="DY79" i="28"/>
  <c r="DR79" i="28"/>
  <c r="DJ79" i="28"/>
  <c r="CS79" i="28"/>
  <c r="DE79" i="28" s="1"/>
  <c r="AN79" i="28"/>
  <c r="K79" i="28"/>
  <c r="CY79" i="28" s="1"/>
  <c r="I79" i="28"/>
  <c r="EJ79" i="28" s="1"/>
  <c r="EP79" i="28" s="1"/>
  <c r="EI78" i="28"/>
  <c r="EG78" i="28"/>
  <c r="EO78" i="28" s="1"/>
  <c r="DY78" i="28"/>
  <c r="DR78" i="28"/>
  <c r="EX78" i="28" s="1"/>
  <c r="DJ78" i="28"/>
  <c r="CS78" i="28"/>
  <c r="DE78" i="28" s="1"/>
  <c r="AN78" i="28"/>
  <c r="K78" i="28"/>
  <c r="CZ78" i="28" s="1"/>
  <c r="I78" i="28"/>
  <c r="EI77" i="28"/>
  <c r="EG77" i="28"/>
  <c r="EO77" i="28" s="1"/>
  <c r="DY77" i="28"/>
  <c r="DR77" i="28"/>
  <c r="EX77" i="28" s="1"/>
  <c r="DJ77" i="28"/>
  <c r="CS77" i="28"/>
  <c r="DE77" i="28" s="1"/>
  <c r="AN77" i="28"/>
  <c r="K77" i="28"/>
  <c r="CX77" i="28" s="1"/>
  <c r="I77" i="28"/>
  <c r="EJ77" i="28" s="1"/>
  <c r="EP77" i="28" s="1"/>
  <c r="EI76" i="28"/>
  <c r="EG76" i="28"/>
  <c r="DY76" i="28"/>
  <c r="DR76" i="28"/>
  <c r="EX76" i="28" s="1"/>
  <c r="DJ76" i="28"/>
  <c r="CS76" i="28"/>
  <c r="DE76" i="28" s="1"/>
  <c r="AN76" i="28"/>
  <c r="K76" i="28"/>
  <c r="CY76" i="28" s="1"/>
  <c r="I76" i="28"/>
  <c r="EJ76" i="28" s="1"/>
  <c r="EP76" i="28" s="1"/>
  <c r="EI75" i="28"/>
  <c r="EG75" i="28"/>
  <c r="DY75" i="28"/>
  <c r="DR75" i="28"/>
  <c r="DJ75" i="28"/>
  <c r="CS75" i="28"/>
  <c r="DE75" i="28" s="1"/>
  <c r="AN75" i="28"/>
  <c r="K75" i="28"/>
  <c r="CY75" i="28" s="1"/>
  <c r="EI74" i="28"/>
  <c r="EG74" i="28"/>
  <c r="EO74" i="28" s="1"/>
  <c r="DY74" i="28"/>
  <c r="DR74" i="28"/>
  <c r="EX74" i="28" s="1"/>
  <c r="DJ74" i="28"/>
  <c r="CS74" i="28"/>
  <c r="DE74" i="28" s="1"/>
  <c r="AN74" i="28"/>
  <c r="K74" i="28"/>
  <c r="ER74" i="28" s="1"/>
  <c r="EI73" i="28"/>
  <c r="EG73" i="28"/>
  <c r="EO73" i="28" s="1"/>
  <c r="DY73" i="28"/>
  <c r="DR73" i="28"/>
  <c r="EX73" i="28" s="1"/>
  <c r="DJ73" i="28"/>
  <c r="CS73" i="28"/>
  <c r="DE73" i="28" s="1"/>
  <c r="AN73" i="28"/>
  <c r="K73" i="28"/>
  <c r="I73" i="28"/>
  <c r="EJ73" i="28" s="1"/>
  <c r="EP73" i="28" s="1"/>
  <c r="EI72" i="28"/>
  <c r="EG72" i="28"/>
  <c r="DY72" i="28"/>
  <c r="DR72" i="28"/>
  <c r="EX72" i="28" s="1"/>
  <c r="DJ72" i="28"/>
  <c r="CS72" i="28"/>
  <c r="DE72" i="28" s="1"/>
  <c r="AN72" i="28"/>
  <c r="K72" i="28"/>
  <c r="I72" i="28"/>
  <c r="EJ72" i="28" s="1"/>
  <c r="EP72" i="28" s="1"/>
  <c r="EI71" i="28"/>
  <c r="EG71" i="28"/>
  <c r="DY71" i="28"/>
  <c r="DR71" i="28"/>
  <c r="DJ71" i="28"/>
  <c r="CS71" i="28"/>
  <c r="DE71" i="28" s="1"/>
  <c r="AN71" i="28"/>
  <c r="K71" i="28"/>
  <c r="CY71" i="28" s="1"/>
  <c r="I71" i="28"/>
  <c r="EJ71" i="28" s="1"/>
  <c r="EP71" i="28" s="1"/>
  <c r="EI70" i="28"/>
  <c r="EG70" i="28"/>
  <c r="EO70" i="28" s="1"/>
  <c r="DY70" i="28"/>
  <c r="DR70" i="28"/>
  <c r="EX70" i="28" s="1"/>
  <c r="DJ70" i="28"/>
  <c r="CS70" i="28"/>
  <c r="DE70" i="28" s="1"/>
  <c r="AN70" i="28"/>
  <c r="K70" i="28"/>
  <c r="CZ70" i="28" s="1"/>
  <c r="I70" i="28"/>
  <c r="EI69" i="28"/>
  <c r="EG69" i="28"/>
  <c r="EO69" i="28" s="1"/>
  <c r="DY69" i="28"/>
  <c r="DR69" i="28"/>
  <c r="EX69" i="28" s="1"/>
  <c r="DJ69" i="28"/>
  <c r="CS69" i="28"/>
  <c r="DE69" i="28" s="1"/>
  <c r="AN69" i="28"/>
  <c r="K69" i="28"/>
  <c r="CX69" i="28" s="1"/>
  <c r="I69" i="28"/>
  <c r="EJ69" i="28" s="1"/>
  <c r="EP69" i="28" s="1"/>
  <c r="EI68" i="28"/>
  <c r="EG68" i="28"/>
  <c r="DY68" i="28"/>
  <c r="DR68" i="28"/>
  <c r="EX68" i="28" s="1"/>
  <c r="DJ68" i="28"/>
  <c r="CS68" i="28"/>
  <c r="DE68" i="28" s="1"/>
  <c r="AN68" i="28"/>
  <c r="K68" i="28"/>
  <c r="CY68" i="28" s="1"/>
  <c r="I68" i="28"/>
  <c r="EJ68" i="28" s="1"/>
  <c r="EP68" i="28" s="1"/>
  <c r="EI67" i="28"/>
  <c r="EG67" i="28"/>
  <c r="EO67" i="28" s="1"/>
  <c r="DY67" i="28"/>
  <c r="DR67" i="28"/>
  <c r="EX67" i="28" s="1"/>
  <c r="DJ67" i="28"/>
  <c r="CS67" i="28"/>
  <c r="DE67" i="28" s="1"/>
  <c r="AN67" i="28"/>
  <c r="K67" i="28"/>
  <c r="EH67" i="28" s="1"/>
  <c r="I67" i="28"/>
  <c r="EJ67" i="28" s="1"/>
  <c r="EP67" i="28" s="1"/>
  <c r="EI66" i="28"/>
  <c r="EG66" i="28"/>
  <c r="EO66" i="28" s="1"/>
  <c r="DY66" i="28"/>
  <c r="DR66" i="28"/>
  <c r="EX66" i="28" s="1"/>
  <c r="DJ66" i="28"/>
  <c r="CS66" i="28"/>
  <c r="DE66" i="28" s="1"/>
  <c r="AN66" i="28"/>
  <c r="K66" i="28"/>
  <c r="I66" i="28"/>
  <c r="EI65" i="28"/>
  <c r="EG65" i="28"/>
  <c r="EO65" i="28" s="1"/>
  <c r="DY65" i="28"/>
  <c r="DR65" i="28"/>
  <c r="DJ65" i="28"/>
  <c r="CS65" i="28"/>
  <c r="DE65" i="28" s="1"/>
  <c r="AN65" i="28"/>
  <c r="CW65" i="28"/>
  <c r="EJ65" i="28"/>
  <c r="EP65" i="28" s="1"/>
  <c r="EI64" i="28"/>
  <c r="EG64" i="28"/>
  <c r="EO64" i="28" s="1"/>
  <c r="DY64" i="28"/>
  <c r="DR64" i="28"/>
  <c r="DJ64" i="28"/>
  <c r="CS64" i="28"/>
  <c r="DE64" i="28" s="1"/>
  <c r="AN64" i="28"/>
  <c r="K64" i="28"/>
  <c r="EH64" i="28" s="1"/>
  <c r="I64" i="28"/>
  <c r="DK64" i="28" s="1"/>
  <c r="EI63" i="28"/>
  <c r="EG63" i="28"/>
  <c r="DY63" i="28"/>
  <c r="DR63" i="28"/>
  <c r="DJ63" i="28"/>
  <c r="CS63" i="28"/>
  <c r="DE63" i="28" s="1"/>
  <c r="AN63" i="28"/>
  <c r="K63" i="28"/>
  <c r="CW63" i="28" s="1"/>
  <c r="I63" i="28"/>
  <c r="EJ63" i="28" s="1"/>
  <c r="EP63" i="28" s="1"/>
  <c r="EI62" i="28"/>
  <c r="EG62" i="28"/>
  <c r="EO62" i="28" s="1"/>
  <c r="DY62" i="28"/>
  <c r="DR62" i="28"/>
  <c r="EX62" i="28" s="1"/>
  <c r="DJ62" i="28"/>
  <c r="CW62" i="28"/>
  <c r="CS62" i="28"/>
  <c r="DE62" i="28" s="1"/>
  <c r="AN62" i="28"/>
  <c r="K62" i="28"/>
  <c r="CZ62" i="28" s="1"/>
  <c r="I62" i="28"/>
  <c r="EI61" i="28"/>
  <c r="EG61" i="28"/>
  <c r="DY61" i="28"/>
  <c r="DR61" i="28"/>
  <c r="DJ61" i="28"/>
  <c r="CS61" i="28"/>
  <c r="DE61" i="28" s="1"/>
  <c r="AN61" i="28"/>
  <c r="K61" i="28"/>
  <c r="CW61" i="28" s="1"/>
  <c r="I61" i="28"/>
  <c r="DK61" i="28" s="1"/>
  <c r="EU61" i="28" s="1"/>
  <c r="EI60" i="28"/>
  <c r="EG60" i="28"/>
  <c r="EO60" i="28" s="1"/>
  <c r="DY60" i="28"/>
  <c r="DR60" i="28"/>
  <c r="DJ60" i="28"/>
  <c r="CS60" i="28"/>
  <c r="DE60" i="28" s="1"/>
  <c r="AN60" i="28"/>
  <c r="K60" i="28"/>
  <c r="CZ60" i="28" s="1"/>
  <c r="I60" i="28"/>
  <c r="DK60" i="28" s="1"/>
  <c r="EI59" i="28"/>
  <c r="EG59" i="28"/>
  <c r="DY59" i="28"/>
  <c r="DR59" i="28"/>
  <c r="DJ59" i="28"/>
  <c r="CS59" i="28"/>
  <c r="DE59" i="28" s="1"/>
  <c r="AN59" i="28"/>
  <c r="K59" i="28"/>
  <c r="CW59" i="28" s="1"/>
  <c r="I59" i="28"/>
  <c r="EJ59" i="28" s="1"/>
  <c r="EP59" i="28" s="1"/>
  <c r="EI58" i="28"/>
  <c r="EG58" i="28"/>
  <c r="EO58" i="28" s="1"/>
  <c r="DY58" i="28"/>
  <c r="DR58" i="28"/>
  <c r="EX58" i="28" s="1"/>
  <c r="DJ58" i="28"/>
  <c r="CS58" i="28"/>
  <c r="DE58" i="28" s="1"/>
  <c r="AN58" i="28"/>
  <c r="K58" i="28"/>
  <c r="CW58" i="28" s="1"/>
  <c r="I58" i="28"/>
  <c r="EI57" i="28"/>
  <c r="EG57" i="28"/>
  <c r="DY57" i="28"/>
  <c r="DR57" i="28"/>
  <c r="DJ57" i="28"/>
  <c r="CS57" i="28"/>
  <c r="DE57" i="28" s="1"/>
  <c r="AN57" i="28"/>
  <c r="K57" i="28"/>
  <c r="CZ57" i="28" s="1"/>
  <c r="EI56" i="28"/>
  <c r="EG56" i="28"/>
  <c r="EO56" i="28" s="1"/>
  <c r="DY56" i="28"/>
  <c r="DR56" i="28"/>
  <c r="EX56" i="28" s="1"/>
  <c r="DK56" i="28"/>
  <c r="DJ56" i="28"/>
  <c r="CS56" i="28"/>
  <c r="DE56" i="28" s="1"/>
  <c r="AN56" i="28"/>
  <c r="K56" i="28"/>
  <c r="CZ56" i="28" s="1"/>
  <c r="EJ56" i="28"/>
  <c r="EP56" i="28" s="1"/>
  <c r="EI55" i="28"/>
  <c r="EG55" i="28"/>
  <c r="DY55" i="28"/>
  <c r="DR55" i="28"/>
  <c r="EX55" i="28" s="1"/>
  <c r="DJ55" i="28"/>
  <c r="CS55" i="28"/>
  <c r="DE55" i="28" s="1"/>
  <c r="AN55" i="28"/>
  <c r="K55" i="28"/>
  <c r="I55" i="28"/>
  <c r="EI54" i="28"/>
  <c r="EG54" i="28"/>
  <c r="EO54" i="28" s="1"/>
  <c r="DY54" i="28"/>
  <c r="DR54" i="28"/>
  <c r="EX54" i="28" s="1"/>
  <c r="DK54" i="28"/>
  <c r="DJ54" i="28"/>
  <c r="CS54" i="28"/>
  <c r="DE54" i="28" s="1"/>
  <c r="AN54" i="28"/>
  <c r="K54" i="28"/>
  <c r="EJ54" i="28"/>
  <c r="EP54" i="28" s="1"/>
  <c r="EI53" i="28"/>
  <c r="EG53" i="28"/>
  <c r="DY53" i="28"/>
  <c r="DR53" i="28"/>
  <c r="EX53" i="28" s="1"/>
  <c r="DJ53" i="28"/>
  <c r="CS53" i="28"/>
  <c r="DE53" i="28" s="1"/>
  <c r="AN53" i="28"/>
  <c r="K53" i="28"/>
  <c r="CZ53" i="28" s="1"/>
  <c r="EJ53" i="28"/>
  <c r="EP53" i="28" s="1"/>
  <c r="EI52" i="28"/>
  <c r="EG52" i="28"/>
  <c r="EO52" i="28" s="1"/>
  <c r="DY52" i="28"/>
  <c r="DR52" i="28"/>
  <c r="DJ52" i="28"/>
  <c r="CS52" i="28"/>
  <c r="DE52" i="28" s="1"/>
  <c r="AN52" i="28"/>
  <c r="K52" i="28"/>
  <c r="CW52" i="28" s="1"/>
  <c r="I52" i="28"/>
  <c r="EI51" i="28"/>
  <c r="EG51" i="28"/>
  <c r="DY51" i="28"/>
  <c r="DR51" i="28"/>
  <c r="EX51" i="28" s="1"/>
  <c r="DJ51" i="28"/>
  <c r="CS51" i="28"/>
  <c r="DE51" i="28" s="1"/>
  <c r="AN51" i="28"/>
  <c r="K51" i="28"/>
  <c r="CZ51" i="28" s="1"/>
  <c r="I51" i="28"/>
  <c r="EJ51" i="28" s="1"/>
  <c r="EP51" i="28" s="1"/>
  <c r="EI50" i="28"/>
  <c r="EG50" i="28"/>
  <c r="EO50" i="28" s="1"/>
  <c r="DY50" i="28"/>
  <c r="DR50" i="28"/>
  <c r="EX50" i="28" s="1"/>
  <c r="DJ50" i="28"/>
  <c r="CS50" i="28"/>
  <c r="DE50" i="28" s="1"/>
  <c r="AN50" i="28"/>
  <c r="K50" i="28"/>
  <c r="CZ50" i="28" s="1"/>
  <c r="I50" i="28"/>
  <c r="EI49" i="28"/>
  <c r="EG49" i="28"/>
  <c r="EO49" i="28" s="1"/>
  <c r="DY49" i="28"/>
  <c r="DR49" i="28"/>
  <c r="EX49" i="28" s="1"/>
  <c r="DJ49" i="28"/>
  <c r="CS49" i="28"/>
  <c r="DE49" i="28" s="1"/>
  <c r="AN49" i="28"/>
  <c r="K49" i="28"/>
  <c r="CX49" i="28" s="1"/>
  <c r="I49" i="28"/>
  <c r="EI48" i="28"/>
  <c r="EG48" i="28"/>
  <c r="EO48" i="28" s="1"/>
  <c r="DY48" i="28"/>
  <c r="DR48" i="28"/>
  <c r="EX48" i="28" s="1"/>
  <c r="DJ48" i="28"/>
  <c r="CS48" i="28"/>
  <c r="DE48" i="28" s="1"/>
  <c r="AN48" i="28"/>
  <c r="K48" i="28"/>
  <c r="DA48" i="28" s="1"/>
  <c r="I48" i="28"/>
  <c r="EI47" i="28"/>
  <c r="EG47" i="28"/>
  <c r="DY47" i="28"/>
  <c r="DR47" i="28"/>
  <c r="EX47" i="28" s="1"/>
  <c r="DJ47" i="28"/>
  <c r="CS47" i="28"/>
  <c r="DE47" i="28" s="1"/>
  <c r="AN47" i="28"/>
  <c r="K47" i="28"/>
  <c r="EI46" i="28"/>
  <c r="EG46" i="28"/>
  <c r="EO46" i="28" s="1"/>
  <c r="DY46" i="28"/>
  <c r="DR46" i="28"/>
  <c r="EX46" i="28" s="1"/>
  <c r="DJ46" i="28"/>
  <c r="CS46" i="28"/>
  <c r="DE46" i="28" s="1"/>
  <c r="AN46" i="28"/>
  <c r="K46" i="28"/>
  <c r="I46" i="28"/>
  <c r="EI45" i="28"/>
  <c r="EG45" i="28"/>
  <c r="EO45" i="28" s="1"/>
  <c r="DY45" i="28"/>
  <c r="DR45" i="28"/>
  <c r="EX45" i="28" s="1"/>
  <c r="DJ45" i="28"/>
  <c r="CS45" i="28"/>
  <c r="DE45" i="28" s="1"/>
  <c r="AN45" i="28"/>
  <c r="K45" i="28"/>
  <c r="CY45" i="28" s="1"/>
  <c r="I45" i="28"/>
  <c r="EI44" i="28"/>
  <c r="EG44" i="28"/>
  <c r="EO44" i="28" s="1"/>
  <c r="DY44" i="28"/>
  <c r="DR44" i="28"/>
  <c r="DJ44" i="28"/>
  <c r="CS44" i="28"/>
  <c r="DE44" i="28" s="1"/>
  <c r="AN44" i="28"/>
  <c r="K44" i="28"/>
  <c r="I44" i="28"/>
  <c r="EJ44" i="28" s="1"/>
  <c r="EP44" i="28" s="1"/>
  <c r="EI43" i="28"/>
  <c r="EG43" i="28"/>
  <c r="DY43" i="28"/>
  <c r="DR43" i="28"/>
  <c r="EX43" i="28" s="1"/>
  <c r="DJ43" i="28"/>
  <c r="CS43" i="28"/>
  <c r="DE43" i="28" s="1"/>
  <c r="AN43" i="28"/>
  <c r="K43" i="28"/>
  <c r="CX43" i="28" s="1"/>
  <c r="I43" i="28"/>
  <c r="EJ43" i="28" s="1"/>
  <c r="EP43" i="28" s="1"/>
  <c r="EI42" i="28"/>
  <c r="EG42" i="28"/>
  <c r="EO42" i="28" s="1"/>
  <c r="DY42" i="28"/>
  <c r="DR42" i="28"/>
  <c r="EX42" i="28" s="1"/>
  <c r="DJ42" i="28"/>
  <c r="CS42" i="28"/>
  <c r="DE42" i="28" s="1"/>
  <c r="AN42" i="28"/>
  <c r="K42" i="28"/>
  <c r="ER42" i="28" s="1"/>
  <c r="I42" i="28"/>
  <c r="EI41" i="28"/>
  <c r="EG41" i="28"/>
  <c r="EO41" i="28" s="1"/>
  <c r="DY41" i="28"/>
  <c r="DR41" i="28"/>
  <c r="EX41" i="28" s="1"/>
  <c r="DJ41" i="28"/>
  <c r="CS41" i="28"/>
  <c r="DE41" i="28" s="1"/>
  <c r="AN41" i="28"/>
  <c r="K41" i="28"/>
  <c r="ER41" i="28" s="1"/>
  <c r="I41" i="28"/>
  <c r="EJ41" i="28" s="1"/>
  <c r="EP41" i="28" s="1"/>
  <c r="EU40" i="28"/>
  <c r="EI40" i="28"/>
  <c r="EG40" i="28"/>
  <c r="EO40" i="28" s="1"/>
  <c r="DZ40" i="28"/>
  <c r="DY40" i="28"/>
  <c r="DR40" i="28"/>
  <c r="EX40" i="28" s="1"/>
  <c r="DJ40" i="28"/>
  <c r="CS40" i="28"/>
  <c r="DE40" i="28" s="1"/>
  <c r="AN40" i="28"/>
  <c r="K40" i="28"/>
  <c r="I40" i="28"/>
  <c r="EJ40" i="28" s="1"/>
  <c r="EP40" i="28" s="1"/>
  <c r="EU39" i="28"/>
  <c r="EI39" i="28"/>
  <c r="EG39" i="28"/>
  <c r="EO39" i="28" s="1"/>
  <c r="DZ39" i="28"/>
  <c r="DY39" i="28"/>
  <c r="DR39" i="28"/>
  <c r="EX39" i="28" s="1"/>
  <c r="DJ39" i="28"/>
  <c r="CS39" i="28"/>
  <c r="DE39" i="28" s="1"/>
  <c r="AN39" i="28"/>
  <c r="K39" i="28"/>
  <c r="CY39" i="28" s="1"/>
  <c r="I39" i="28"/>
  <c r="EJ39" i="28" s="1"/>
  <c r="EP39" i="28" s="1"/>
  <c r="EI38" i="28"/>
  <c r="EG38" i="28"/>
  <c r="EO38" i="28" s="1"/>
  <c r="DY38" i="28"/>
  <c r="DR38" i="28"/>
  <c r="EX38" i="28" s="1"/>
  <c r="DJ38" i="28"/>
  <c r="CS38" i="28"/>
  <c r="DE38" i="28" s="1"/>
  <c r="AN38" i="28"/>
  <c r="K38" i="28"/>
  <c r="CX38" i="28" s="1"/>
  <c r="I38" i="28"/>
  <c r="EU37" i="28"/>
  <c r="EI37" i="28"/>
  <c r="EG37" i="28"/>
  <c r="EO37" i="28" s="1"/>
  <c r="DZ37" i="28"/>
  <c r="DY37" i="28"/>
  <c r="DR37" i="28"/>
  <c r="EX37" i="28" s="1"/>
  <c r="DJ37" i="28"/>
  <c r="CS37" i="28"/>
  <c r="DE37" i="28" s="1"/>
  <c r="AN37" i="28"/>
  <c r="K37" i="28"/>
  <c r="I37" i="28"/>
  <c r="EJ37" i="28" s="1"/>
  <c r="EP37" i="28" s="1"/>
  <c r="EU36" i="28"/>
  <c r="EI36" i="28"/>
  <c r="EG36" i="28"/>
  <c r="EO36" i="28" s="1"/>
  <c r="DZ36" i="28"/>
  <c r="DY36" i="28"/>
  <c r="DR36" i="28"/>
  <c r="EX36" i="28" s="1"/>
  <c r="DJ36" i="28"/>
  <c r="CS36" i="28"/>
  <c r="DE36" i="28" s="1"/>
  <c r="AN36" i="28"/>
  <c r="K36" i="28"/>
  <c r="I36" i="28"/>
  <c r="EJ36" i="28" s="1"/>
  <c r="EP36" i="28" s="1"/>
  <c r="EI35" i="28"/>
  <c r="EG35" i="28"/>
  <c r="EO35" i="28" s="1"/>
  <c r="DY35" i="28"/>
  <c r="DR35" i="28"/>
  <c r="EX35" i="28" s="1"/>
  <c r="DJ35" i="28"/>
  <c r="CS35" i="28"/>
  <c r="DE35" i="28" s="1"/>
  <c r="AN35" i="28"/>
  <c r="K35" i="28"/>
  <c r="EJ35" i="28"/>
  <c r="EP35" i="28" s="1"/>
  <c r="EI34" i="28"/>
  <c r="EG34" i="28"/>
  <c r="EO34" i="28" s="1"/>
  <c r="DY34" i="28"/>
  <c r="DR34" i="28"/>
  <c r="EX34" i="28" s="1"/>
  <c r="DJ34" i="28"/>
  <c r="CS34" i="28"/>
  <c r="DE34" i="28" s="1"/>
  <c r="AN34" i="28"/>
  <c r="K34" i="28"/>
  <c r="CZ34" i="28" s="1"/>
  <c r="I34" i="28"/>
  <c r="EI33" i="28"/>
  <c r="EG33" i="28"/>
  <c r="DY33" i="28"/>
  <c r="DR33" i="28"/>
  <c r="EX33" i="28" s="1"/>
  <c r="DJ33" i="28"/>
  <c r="CS33" i="28"/>
  <c r="DE33" i="28" s="1"/>
  <c r="AN33" i="28"/>
  <c r="K33" i="28"/>
  <c r="EJ33" i="28"/>
  <c r="EP33" i="28" s="1"/>
  <c r="EI32" i="28"/>
  <c r="EG32" i="28"/>
  <c r="EO32" i="28" s="1"/>
  <c r="DY32" i="28"/>
  <c r="DR32" i="28"/>
  <c r="DK32" i="28"/>
  <c r="DJ32" i="28"/>
  <c r="CS32" i="28"/>
  <c r="DE32" i="28" s="1"/>
  <c r="AN32" i="28"/>
  <c r="K32" i="28"/>
  <c r="EJ32" i="28"/>
  <c r="EP32" i="28" s="1"/>
  <c r="EI31" i="28"/>
  <c r="EG31" i="28"/>
  <c r="DY31" i="28"/>
  <c r="DR31" i="28"/>
  <c r="EX31" i="28" s="1"/>
  <c r="DJ31" i="28"/>
  <c r="CS31" i="28"/>
  <c r="DE31" i="28" s="1"/>
  <c r="AN31" i="28"/>
  <c r="K31" i="28"/>
  <c r="CZ31" i="28" s="1"/>
  <c r="I31" i="28"/>
  <c r="EJ31" i="28" s="1"/>
  <c r="EP31" i="28" s="1"/>
  <c r="EI30" i="28"/>
  <c r="EG30" i="28"/>
  <c r="EO30" i="28" s="1"/>
  <c r="DY30" i="28"/>
  <c r="DR30" i="28"/>
  <c r="EX30" i="28" s="1"/>
  <c r="DJ30" i="28"/>
  <c r="CS30" i="28"/>
  <c r="DE30" i="28" s="1"/>
  <c r="AN30" i="28"/>
  <c r="K30" i="28"/>
  <c r="I30" i="28"/>
  <c r="EI29" i="28"/>
  <c r="EG29" i="28"/>
  <c r="DY29" i="28"/>
  <c r="DR29" i="28"/>
  <c r="EX29" i="28" s="1"/>
  <c r="DJ29" i="28"/>
  <c r="CS29" i="28"/>
  <c r="DE29" i="28" s="1"/>
  <c r="AN29" i="28"/>
  <c r="K29" i="28"/>
  <c r="CZ29" i="28" s="1"/>
  <c r="I29" i="28"/>
  <c r="EI28" i="28"/>
  <c r="EG28" i="28"/>
  <c r="EO28" i="28" s="1"/>
  <c r="DY28" i="28"/>
  <c r="DR28" i="28"/>
  <c r="EX28" i="28" s="1"/>
  <c r="DJ28" i="28"/>
  <c r="CS28" i="28"/>
  <c r="DE28" i="28" s="1"/>
  <c r="AN28" i="28"/>
  <c r="K28" i="28"/>
  <c r="EH28" i="28" s="1"/>
  <c r="I28" i="28"/>
  <c r="EI27" i="28"/>
  <c r="EG27" i="28"/>
  <c r="DY27" i="28"/>
  <c r="DR27" i="28"/>
  <c r="EX27" i="28" s="1"/>
  <c r="DJ27" i="28"/>
  <c r="CS27" i="28"/>
  <c r="DE27" i="28" s="1"/>
  <c r="AN27" i="28"/>
  <c r="K27" i="28"/>
  <c r="CZ27" i="28" s="1"/>
  <c r="I27" i="28"/>
  <c r="EI26" i="28"/>
  <c r="EG26" i="28"/>
  <c r="EO26" i="28" s="1"/>
  <c r="DY26" i="28"/>
  <c r="DR26" i="28"/>
  <c r="EX26" i="28" s="1"/>
  <c r="DJ26" i="28"/>
  <c r="CS26" i="28"/>
  <c r="DE26" i="28" s="1"/>
  <c r="AN26" i="28"/>
  <c r="K26" i="28"/>
  <c r="I26" i="28"/>
  <c r="EJ26" i="28" s="1"/>
  <c r="EP26" i="28" s="1"/>
  <c r="EI25" i="28"/>
  <c r="EG25" i="28"/>
  <c r="DY25" i="28"/>
  <c r="DR25" i="28"/>
  <c r="EX25" i="28" s="1"/>
  <c r="DJ25" i="28"/>
  <c r="CS25" i="28"/>
  <c r="DE25" i="28" s="1"/>
  <c r="AN25" i="28"/>
  <c r="K25" i="28"/>
  <c r="I25" i="28"/>
  <c r="EJ25" i="28" s="1"/>
  <c r="EP25" i="28" s="1"/>
  <c r="EI24" i="28"/>
  <c r="EG24" i="28"/>
  <c r="EO24" i="28" s="1"/>
  <c r="DY24" i="28"/>
  <c r="DR24" i="28"/>
  <c r="DJ24" i="28"/>
  <c r="CS24" i="28"/>
  <c r="DE24" i="28" s="1"/>
  <c r="AN24" i="28"/>
  <c r="K24" i="28"/>
  <c r="CZ24" i="28" s="1"/>
  <c r="I24" i="28"/>
  <c r="EI23" i="28"/>
  <c r="EG23" i="28"/>
  <c r="DY23" i="28"/>
  <c r="DR23" i="28"/>
  <c r="EX23" i="28" s="1"/>
  <c r="DJ23" i="28"/>
  <c r="CS23" i="28"/>
  <c r="DE23" i="28" s="1"/>
  <c r="AN23" i="28"/>
  <c r="K23" i="28"/>
  <c r="CZ23" i="28" s="1"/>
  <c r="I23" i="28"/>
  <c r="EJ23" i="28" s="1"/>
  <c r="EP23" i="28" s="1"/>
  <c r="EI22" i="28"/>
  <c r="EG22" i="28"/>
  <c r="EO22" i="28" s="1"/>
  <c r="DY22" i="28"/>
  <c r="DR22" i="28"/>
  <c r="EX22" i="28" s="1"/>
  <c r="DJ22" i="28"/>
  <c r="CS22" i="28"/>
  <c r="DE22" i="28" s="1"/>
  <c r="AN22" i="28"/>
  <c r="K22" i="28"/>
  <c r="I22" i="28"/>
  <c r="EI21" i="28"/>
  <c r="EG21" i="28"/>
  <c r="EO21" i="28" s="1"/>
  <c r="DY21" i="28"/>
  <c r="DR21" i="28"/>
  <c r="EX21" i="28" s="1"/>
  <c r="DJ21" i="28"/>
  <c r="CS21" i="28"/>
  <c r="DE21" i="28" s="1"/>
  <c r="AN21" i="28"/>
  <c r="K21" i="28"/>
  <c r="CZ21" i="28" s="1"/>
  <c r="I21" i="28"/>
  <c r="EI20" i="28"/>
  <c r="EG20" i="28"/>
  <c r="EO20" i="28" s="1"/>
  <c r="DY20" i="28"/>
  <c r="DR20" i="28"/>
  <c r="EX20" i="28" s="1"/>
  <c r="DJ20" i="28"/>
  <c r="CS20" i="28"/>
  <c r="DE20" i="28" s="1"/>
  <c r="AN20" i="28"/>
  <c r="K20" i="28"/>
  <c r="I20" i="28"/>
  <c r="EJ20" i="28" s="1"/>
  <c r="EP20" i="28" s="1"/>
  <c r="EI19" i="28"/>
  <c r="EG19" i="28"/>
  <c r="DY19" i="28"/>
  <c r="DR19" i="28"/>
  <c r="EX19" i="28" s="1"/>
  <c r="DJ19" i="28"/>
  <c r="CS19" i="28"/>
  <c r="DE19" i="28" s="1"/>
  <c r="AN19" i="28"/>
  <c r="K19" i="28"/>
  <c r="I19" i="28"/>
  <c r="EI18" i="28"/>
  <c r="EG18" i="28"/>
  <c r="EO18" i="28" s="1"/>
  <c r="DY18" i="28"/>
  <c r="DR18" i="28"/>
  <c r="EX18" i="28" s="1"/>
  <c r="DJ18" i="28"/>
  <c r="CS18" i="28"/>
  <c r="DE18" i="28" s="1"/>
  <c r="AN18" i="28"/>
  <c r="K18" i="28"/>
  <c r="I18" i="28"/>
  <c r="EI17" i="28"/>
  <c r="EG17" i="28"/>
  <c r="DY17" i="28"/>
  <c r="DR17" i="28"/>
  <c r="EX17" i="28" s="1"/>
  <c r="DJ17" i="28"/>
  <c r="CS17" i="28"/>
  <c r="DE17" i="28" s="1"/>
  <c r="AN17" i="28"/>
  <c r="K17" i="28"/>
  <c r="CY17" i="28" s="1"/>
  <c r="I17" i="28"/>
  <c r="EJ17" i="28" s="1"/>
  <c r="EP17" i="28" s="1"/>
  <c r="EI16" i="28"/>
  <c r="EG16" i="28"/>
  <c r="EO16" i="28" s="1"/>
  <c r="DY16" i="28"/>
  <c r="DR16" i="28"/>
  <c r="EX16" i="28" s="1"/>
  <c r="DJ16" i="28"/>
  <c r="CS16" i="28"/>
  <c r="DE16" i="28" s="1"/>
  <c r="AN16" i="28"/>
  <c r="K16" i="28"/>
  <c r="CY16" i="28" s="1"/>
  <c r="I16" i="28"/>
  <c r="EJ16" i="28" s="1"/>
  <c r="EP16" i="28" s="1"/>
  <c r="EU15" i="28"/>
  <c r="EI15" i="28"/>
  <c r="EG15" i="28"/>
  <c r="EO15" i="28" s="1"/>
  <c r="DZ15" i="28"/>
  <c r="DY15" i="28"/>
  <c r="DR15" i="28"/>
  <c r="EX15" i="28" s="1"/>
  <c r="DJ15" i="28"/>
  <c r="CS15" i="28"/>
  <c r="DE15" i="28" s="1"/>
  <c r="AN15" i="28"/>
  <c r="K15" i="28"/>
  <c r="I15" i="28"/>
  <c r="EJ15" i="28" s="1"/>
  <c r="EP15" i="28" s="1"/>
  <c r="EI14" i="28"/>
  <c r="EG14" i="28"/>
  <c r="EO14" i="28" s="1"/>
  <c r="DY14" i="28"/>
  <c r="DR14" i="28"/>
  <c r="DJ14" i="28"/>
  <c r="CS14" i="28"/>
  <c r="DE14" i="28" s="1"/>
  <c r="AN14" i="28"/>
  <c r="K14" i="28"/>
  <c r="EH14" i="28" s="1"/>
  <c r="I14" i="28"/>
  <c r="EI13" i="28"/>
  <c r="EG13" i="28"/>
  <c r="EO13" i="28" s="1"/>
  <c r="DY13" i="28"/>
  <c r="DR13" i="28"/>
  <c r="DJ13" i="28"/>
  <c r="CS13" i="28"/>
  <c r="DE13" i="28" s="1"/>
  <c r="AN13" i="28"/>
  <c r="K13" i="28"/>
  <c r="EH13" i="28" s="1"/>
  <c r="I13" i="28"/>
  <c r="EI12" i="28"/>
  <c r="EG12" i="28"/>
  <c r="EO12" i="28" s="1"/>
  <c r="DY12" i="28"/>
  <c r="DR12" i="28"/>
  <c r="DJ12" i="28"/>
  <c r="CS12" i="28"/>
  <c r="DE12" i="28" s="1"/>
  <c r="AN12" i="28"/>
  <c r="K12" i="28"/>
  <c r="CW12" i="28" s="1"/>
  <c r="I12" i="28"/>
  <c r="EJ12" i="28" s="1"/>
  <c r="EP12" i="28" s="1"/>
  <c r="EI11" i="28"/>
  <c r="EG11" i="28"/>
  <c r="EO11" i="28" s="1"/>
  <c r="DY11" i="28"/>
  <c r="DR11" i="28"/>
  <c r="DJ11" i="28"/>
  <c r="CS11" i="28"/>
  <c r="DE11" i="28" s="1"/>
  <c r="AN11" i="28"/>
  <c r="K11" i="28"/>
  <c r="CZ11" i="28" s="1"/>
  <c r="I11" i="28"/>
  <c r="DK11" i="28" s="1"/>
  <c r="EI10" i="28"/>
  <c r="EG10" i="28"/>
  <c r="EO10" i="28" s="1"/>
  <c r="DY10" i="28"/>
  <c r="DR10" i="28"/>
  <c r="DJ10" i="28"/>
  <c r="CS10" i="28"/>
  <c r="DE10" i="28" s="1"/>
  <c r="AN10" i="28"/>
  <c r="K10" i="28"/>
  <c r="EH10" i="28" s="1"/>
  <c r="I10" i="28"/>
  <c r="DK10" i="28" s="1"/>
  <c r="DZ10" i="28" s="1"/>
  <c r="EI9" i="28"/>
  <c r="EG9" i="28"/>
  <c r="EO9" i="28" s="1"/>
  <c r="DY9" i="28"/>
  <c r="DR9" i="28"/>
  <c r="DJ9" i="28"/>
  <c r="CS9" i="28"/>
  <c r="DE9" i="28" s="1"/>
  <c r="AN9" i="28"/>
  <c r="K9" i="28"/>
  <c r="I9" i="28"/>
  <c r="EI8" i="28"/>
  <c r="EG8" i="28"/>
  <c r="EO8" i="28" s="1"/>
  <c r="DY8" i="28"/>
  <c r="DR8" i="28"/>
  <c r="DJ8" i="28"/>
  <c r="CS8" i="28"/>
  <c r="DE8" i="28" s="1"/>
  <c r="AN8" i="28"/>
  <c r="K8" i="28"/>
  <c r="I8" i="28"/>
  <c r="EI7" i="28"/>
  <c r="EG7" i="28"/>
  <c r="EO7" i="28" s="1"/>
  <c r="DY7" i="28"/>
  <c r="DR7" i="28"/>
  <c r="EX7" i="28" s="1"/>
  <c r="DJ7" i="28"/>
  <c r="CS7" i="28"/>
  <c r="DE7" i="28" s="1"/>
  <c r="AN7" i="28"/>
  <c r="K7" i="28"/>
  <c r="CX7" i="28" s="1"/>
  <c r="I7" i="28"/>
  <c r="EI6" i="28"/>
  <c r="EG6" i="28"/>
  <c r="EO6" i="28" s="1"/>
  <c r="DY6" i="28"/>
  <c r="DR6" i="28"/>
  <c r="EX6" i="28" s="1"/>
  <c r="DJ6" i="28"/>
  <c r="CS6" i="28"/>
  <c r="DE6" i="28" s="1"/>
  <c r="AN6" i="28"/>
  <c r="K6" i="28"/>
  <c r="CW6" i="28" s="1"/>
  <c r="I6" i="28"/>
  <c r="EI5" i="28"/>
  <c r="EG5" i="28"/>
  <c r="EO5" i="28" s="1"/>
  <c r="DY5" i="28"/>
  <c r="DR5" i="28"/>
  <c r="EX5" i="28" s="1"/>
  <c r="DJ5" i="28"/>
  <c r="AN5" i="28"/>
  <c r="K5" i="28"/>
  <c r="CY5" i="28" s="1"/>
  <c r="I5" i="28"/>
  <c r="DA97" i="28" l="1"/>
  <c r="EH62" i="28"/>
  <c r="ER75" i="28"/>
  <c r="CY96" i="28"/>
  <c r="AP75" i="28"/>
  <c r="DD75" i="28" s="1"/>
  <c r="DF75" i="28" s="1"/>
  <c r="DG75" i="28" s="1"/>
  <c r="DK79" i="28"/>
  <c r="CY7" i="28"/>
  <c r="AP24" i="28"/>
  <c r="DW24" i="28" s="1"/>
  <c r="EJ96" i="28"/>
  <c r="EP96" i="28" s="1"/>
  <c r="EQ96" i="28" s="1"/>
  <c r="CW34" i="28"/>
  <c r="DA42" i="28"/>
  <c r="CY60" i="28"/>
  <c r="CX67" i="28"/>
  <c r="EQ69" i="28"/>
  <c r="DA69" i="28"/>
  <c r="CW85" i="28"/>
  <c r="ER96" i="28"/>
  <c r="AP69" i="28"/>
  <c r="EA69" i="28" s="1"/>
  <c r="DK81" i="28"/>
  <c r="DZ81" i="28" s="1"/>
  <c r="AP82" i="28"/>
  <c r="EE82" i="28" s="1"/>
  <c r="CY95" i="28"/>
  <c r="CW98" i="28"/>
  <c r="CW100" i="28"/>
  <c r="CZ105" i="28"/>
  <c r="DA106" i="28"/>
  <c r="DK16" i="28"/>
  <c r="EU16" i="28" s="1"/>
  <c r="DA60" i="28"/>
  <c r="AP77" i="28"/>
  <c r="EA77" i="28" s="1"/>
  <c r="CY85" i="28"/>
  <c r="CY100" i="28"/>
  <c r="EJ100" i="28"/>
  <c r="EP100" i="28" s="1"/>
  <c r="EQ100" i="28" s="1"/>
  <c r="CW11" i="28"/>
  <c r="ER24" i="28"/>
  <c r="ER34" i="28"/>
  <c r="ER39" i="28"/>
  <c r="DK44" i="28"/>
  <c r="EU44" i="28" s="1"/>
  <c r="DK59" i="28"/>
  <c r="EU59" i="28" s="1"/>
  <c r="ER60" i="28"/>
  <c r="DA62" i="28"/>
  <c r="DK65" i="28"/>
  <c r="DZ65" i="28" s="1"/>
  <c r="CX70" i="28"/>
  <c r="EQ77" i="28"/>
  <c r="DA77" i="28"/>
  <c r="CZ82" i="28"/>
  <c r="AP83" i="28"/>
  <c r="EA83" i="28" s="1"/>
  <c r="AP96" i="28"/>
  <c r="DH96" i="28" s="1"/>
  <c r="CY101" i="28"/>
  <c r="DK102" i="28"/>
  <c r="EU102" i="28" s="1"/>
  <c r="EJ85" i="28"/>
  <c r="EP85" i="28" s="1"/>
  <c r="EQ85" i="28" s="1"/>
  <c r="EH101" i="28"/>
  <c r="EH39" i="28"/>
  <c r="EK39" i="28" s="1"/>
  <c r="EJ61" i="28"/>
  <c r="EP61" i="28" s="1"/>
  <c r="EJ10" i="28"/>
  <c r="EP10" i="28" s="1"/>
  <c r="AP39" i="28"/>
  <c r="EE39" i="28" s="1"/>
  <c r="AP45" i="28"/>
  <c r="EA45" i="28" s="1"/>
  <c r="AP50" i="28"/>
  <c r="DW50" i="28" s="1"/>
  <c r="AP60" i="28"/>
  <c r="EE60" i="28" s="1"/>
  <c r="EK67" i="28"/>
  <c r="EL67" i="28" s="1"/>
  <c r="DK73" i="28"/>
  <c r="DZ73" i="28" s="1"/>
  <c r="CY82" i="28"/>
  <c r="AP85" i="28"/>
  <c r="DD85" i="28" s="1"/>
  <c r="DF85" i="28" s="1"/>
  <c r="DG85" i="28" s="1"/>
  <c r="DA85" i="28"/>
  <c r="CZ95" i="28"/>
  <c r="DA96" i="28"/>
  <c r="AP100" i="28"/>
  <c r="DD100" i="28" s="1"/>
  <c r="DF100" i="28" s="1"/>
  <c r="DA100" i="28"/>
  <c r="DA104" i="28"/>
  <c r="DK105" i="28"/>
  <c r="EU105" i="28" s="1"/>
  <c r="EH105" i="28"/>
  <c r="EK105" i="28" s="1"/>
  <c r="EM105" i="28" s="1"/>
  <c r="ER106" i="28"/>
  <c r="CW75" i="28"/>
  <c r="CZ74" i="28"/>
  <c r="AP74" i="28"/>
  <c r="EA74" i="28" s="1"/>
  <c r="CY74" i="28"/>
  <c r="CY64" i="28"/>
  <c r="CW13" i="28"/>
  <c r="ER13" i="28"/>
  <c r="EE100" i="28"/>
  <c r="EJ18" i="28"/>
  <c r="EP18" i="28" s="1"/>
  <c r="EQ18" i="28" s="1"/>
  <c r="DK18" i="28"/>
  <c r="DZ18" i="28" s="1"/>
  <c r="EJ28" i="28"/>
  <c r="EP28" i="28" s="1"/>
  <c r="EQ28" i="28" s="1"/>
  <c r="DK28" i="28"/>
  <c r="EU28" i="28" s="1"/>
  <c r="EH58" i="28"/>
  <c r="DK67" i="28"/>
  <c r="DZ67" i="28" s="1"/>
  <c r="CW71" i="28"/>
  <c r="DK71" i="28"/>
  <c r="DZ71" i="28" s="1"/>
  <c r="CW79" i="28"/>
  <c r="ER79" i="28"/>
  <c r="CZ83" i="28"/>
  <c r="CW83" i="28"/>
  <c r="EJ84" i="28"/>
  <c r="EP84" i="28" s="1"/>
  <c r="EQ102" i="28"/>
  <c r="EJ22" i="28"/>
  <c r="EP22" i="28" s="1"/>
  <c r="EQ22" i="28" s="1"/>
  <c r="DK22" i="28"/>
  <c r="DZ22" i="28" s="1"/>
  <c r="EJ48" i="28"/>
  <c r="EP48" i="28" s="1"/>
  <c r="EQ48" i="28" s="1"/>
  <c r="DK48" i="28"/>
  <c r="EU48" i="28" s="1"/>
  <c r="CZ64" i="28"/>
  <c r="CW64" i="28"/>
  <c r="ER64" i="28"/>
  <c r="DA64" i="28"/>
  <c r="CY67" i="28"/>
  <c r="ER67" i="28"/>
  <c r="CZ67" i="28"/>
  <c r="DW82" i="28"/>
  <c r="EJ98" i="28"/>
  <c r="EP98" i="28" s="1"/>
  <c r="EQ98" i="28" s="1"/>
  <c r="DK98" i="28"/>
  <c r="EU98" i="28" s="1"/>
  <c r="EH99" i="28"/>
  <c r="CY99" i="28"/>
  <c r="DA99" i="28"/>
  <c r="AP64" i="28"/>
  <c r="CU64" i="28" s="1"/>
  <c r="ER65" i="28"/>
  <c r="ER6" i="28"/>
  <c r="EJ42" i="28"/>
  <c r="EP42" i="28" s="1"/>
  <c r="EQ42" i="28" s="1"/>
  <c r="DK42" i="28"/>
  <c r="EU42" i="28" s="1"/>
  <c r="CX64" i="28"/>
  <c r="CW67" i="28"/>
  <c r="CZ71" i="28"/>
  <c r="ER71" i="28"/>
  <c r="EJ75" i="28"/>
  <c r="EP75" i="28" s="1"/>
  <c r="DK75" i="28"/>
  <c r="EU75" i="28" s="1"/>
  <c r="CZ79" i="28"/>
  <c r="CZ99" i="28"/>
  <c r="CZ102" i="28"/>
  <c r="CW102" i="28"/>
  <c r="DA102" i="28"/>
  <c r="ER102" i="28"/>
  <c r="EH102" i="28"/>
  <c r="EK102" i="28" s="1"/>
  <c r="CY102" i="28"/>
  <c r="CY103" i="28"/>
  <c r="EH103" i="28"/>
  <c r="EK103" i="28" s="1"/>
  <c r="DA103" i="28"/>
  <c r="EQ106" i="28"/>
  <c r="CX98" i="28"/>
  <c r="EH98" i="28"/>
  <c r="CW104" i="28"/>
  <c r="EH104" i="28"/>
  <c r="EK104" i="28" s="1"/>
  <c r="EK106" i="28"/>
  <c r="CW106" i="28"/>
  <c r="DA24" i="28"/>
  <c r="CX39" i="28"/>
  <c r="EQ40" i="28"/>
  <c r="CZ45" i="28"/>
  <c r="DA50" i="28"/>
  <c r="CW60" i="28"/>
  <c r="CX62" i="28"/>
  <c r="AP67" i="28"/>
  <c r="DW67" i="28" s="1"/>
  <c r="ER70" i="28"/>
  <c r="CX75" i="28"/>
  <c r="EH75" i="28"/>
  <c r="CX78" i="28"/>
  <c r="ER78" i="28"/>
  <c r="EJ83" i="28"/>
  <c r="EP83" i="28" s="1"/>
  <c r="EQ83" i="28" s="1"/>
  <c r="CX85" i="28"/>
  <c r="EH85" i="28"/>
  <c r="DA95" i="28"/>
  <c r="CW96" i="28"/>
  <c r="CY97" i="28"/>
  <c r="EH97" i="28"/>
  <c r="AP98" i="28"/>
  <c r="EA98" i="28" s="1"/>
  <c r="CY98" i="28"/>
  <c r="EH100" i="28"/>
  <c r="CZ101" i="28"/>
  <c r="CX104" i="28"/>
  <c r="CX106" i="28"/>
  <c r="ER98" i="28"/>
  <c r="AP102" i="28"/>
  <c r="DD102" i="28" s="1"/>
  <c r="DF102" i="28" s="1"/>
  <c r="DG102" i="28" s="1"/>
  <c r="ER104" i="28"/>
  <c r="AP34" i="28"/>
  <c r="DH34" i="28" s="1"/>
  <c r="CZ39" i="28"/>
  <c r="EH50" i="28"/>
  <c r="CX60" i="28"/>
  <c r="EH60" i="28"/>
  <c r="AP62" i="28"/>
  <c r="EE62" i="28" s="1"/>
  <c r="CY62" i="28"/>
  <c r="ER62" i="28"/>
  <c r="DK69" i="28"/>
  <c r="EU69" i="28" s="1"/>
  <c r="CX74" i="28"/>
  <c r="CZ75" i="28"/>
  <c r="DK77" i="28"/>
  <c r="EU77" i="28" s="1"/>
  <c r="ER85" i="28"/>
  <c r="CX96" i="28"/>
  <c r="EH96" i="28"/>
  <c r="DA98" i="28"/>
  <c r="CX100" i="28"/>
  <c r="ER100" i="28"/>
  <c r="AP104" i="28"/>
  <c r="DW104" i="28" s="1"/>
  <c r="CY104" i="28"/>
  <c r="AP106" i="28"/>
  <c r="CU106" i="28" s="1"/>
  <c r="EW106" i="28" s="1"/>
  <c r="EZ106" i="28" s="1"/>
  <c r="FA106" i="28" s="1"/>
  <c r="CY106" i="28"/>
  <c r="CZ9" i="28"/>
  <c r="DA9" i="28"/>
  <c r="CY9" i="28"/>
  <c r="CX9" i="28"/>
  <c r="DK13" i="28"/>
  <c r="EU13" i="28" s="1"/>
  <c r="EJ13" i="28"/>
  <c r="EP13" i="28" s="1"/>
  <c r="EQ13" i="28" s="1"/>
  <c r="EH15" i="28"/>
  <c r="EK15" i="28" s="1"/>
  <c r="EM15" i="28" s="1"/>
  <c r="DA15" i="28"/>
  <c r="CY15" i="28"/>
  <c r="CX15" i="28"/>
  <c r="CZ18" i="28"/>
  <c r="ER18" i="28"/>
  <c r="CW18" i="28"/>
  <c r="DA18" i="28"/>
  <c r="CZ20" i="28"/>
  <c r="CW20" i="28"/>
  <c r="ER20" i="28"/>
  <c r="CZ22" i="28"/>
  <c r="EH22" i="28"/>
  <c r="DA22" i="28"/>
  <c r="AP22" i="28"/>
  <c r="DW22" i="28" s="1"/>
  <c r="CX22" i="28"/>
  <c r="CZ26" i="28"/>
  <c r="ER26" i="28"/>
  <c r="CW26" i="28"/>
  <c r="CZ28" i="28"/>
  <c r="ER28" i="28"/>
  <c r="CW28" i="28"/>
  <c r="DA28" i="28"/>
  <c r="CZ30" i="28"/>
  <c r="EH30" i="28"/>
  <c r="DA30" i="28"/>
  <c r="AP30" i="28"/>
  <c r="DW30" i="28" s="1"/>
  <c r="CX30" i="28"/>
  <c r="CZ36" i="28"/>
  <c r="DA36" i="28"/>
  <c r="CX36" i="28"/>
  <c r="EQ36" i="28"/>
  <c r="DA37" i="28"/>
  <c r="CY37" i="28"/>
  <c r="EH37" i="28"/>
  <c r="EK37" i="28" s="1"/>
  <c r="EM37" i="28" s="1"/>
  <c r="EQ37" i="28"/>
  <c r="CY44" i="28"/>
  <c r="AP44" i="28"/>
  <c r="DW44" i="28" s="1"/>
  <c r="CX44" i="28"/>
  <c r="EQ44" i="28"/>
  <c r="CY46" i="28"/>
  <c r="EH46" i="28"/>
  <c r="CZ46" i="28"/>
  <c r="AP46" i="28"/>
  <c r="EA46" i="28" s="1"/>
  <c r="CX46" i="28"/>
  <c r="ER52" i="28"/>
  <c r="CZ54" i="28"/>
  <c r="AP54" i="28"/>
  <c r="CU54" i="28" s="1"/>
  <c r="DA54" i="28"/>
  <c r="CS107" i="28"/>
  <c r="EJ8" i="28"/>
  <c r="EP8" i="28" s="1"/>
  <c r="EQ8" i="28" s="1"/>
  <c r="DK8" i="28"/>
  <c r="EU8" i="28" s="1"/>
  <c r="EH9" i="28"/>
  <c r="CZ13" i="28"/>
  <c r="DA13" i="28"/>
  <c r="CY13" i="28"/>
  <c r="CX13" i="28"/>
  <c r="EJ14" i="28"/>
  <c r="EP14" i="28" s="1"/>
  <c r="EQ14" i="28" s="1"/>
  <c r="DK14" i="28"/>
  <c r="EU14" i="28" s="1"/>
  <c r="AP18" i="28"/>
  <c r="DH18" i="28" s="1"/>
  <c r="AP28" i="28"/>
  <c r="CU28" i="28" s="1"/>
  <c r="EJ34" i="28"/>
  <c r="EP34" i="28" s="1"/>
  <c r="EQ34" i="28" s="1"/>
  <c r="DK34" i="28"/>
  <c r="EU34" i="28" s="1"/>
  <c r="ER36" i="28"/>
  <c r="CZ38" i="28"/>
  <c r="AP38" i="28"/>
  <c r="EA38" i="28" s="1"/>
  <c r="CY38" i="28"/>
  <c r="CZ43" i="28"/>
  <c r="AP43" i="28"/>
  <c r="EA43" i="28" s="1"/>
  <c r="ER43" i="28"/>
  <c r="CY43" i="28"/>
  <c r="EH44" i="28"/>
  <c r="EK44" i="28" s="1"/>
  <c r="EM44" i="28" s="1"/>
  <c r="EJ50" i="28"/>
  <c r="EP50" i="28" s="1"/>
  <c r="EQ50" i="28" s="1"/>
  <c r="DK50" i="28"/>
  <c r="EU50" i="28" s="1"/>
  <c r="EJ52" i="28"/>
  <c r="EP52" i="28" s="1"/>
  <c r="EQ52" i="28" s="1"/>
  <c r="DK52" i="28"/>
  <c r="EU52" i="28" s="1"/>
  <c r="DK62" i="28"/>
  <c r="EU62" i="28" s="1"/>
  <c r="EJ62" i="28"/>
  <c r="EP62" i="28" s="1"/>
  <c r="EQ62" i="28" s="1"/>
  <c r="EJ6" i="28"/>
  <c r="EP6" i="28" s="1"/>
  <c r="EQ6" i="28" s="1"/>
  <c r="DK6" i="28"/>
  <c r="EU6" i="28" s="1"/>
  <c r="CZ52" i="28"/>
  <c r="DA52" i="28"/>
  <c r="AP52" i="28"/>
  <c r="CU52" i="28" s="1"/>
  <c r="EH52" i="28"/>
  <c r="CX52" i="28"/>
  <c r="EH54" i="28"/>
  <c r="EK54" i="28" s="1"/>
  <c r="DK58" i="28"/>
  <c r="EU58" i="28" s="1"/>
  <c r="EJ58" i="28"/>
  <c r="EP58" i="28" s="1"/>
  <c r="EQ58" i="28" s="1"/>
  <c r="CZ6" i="28"/>
  <c r="DA6" i="28"/>
  <c r="EH6" i="28"/>
  <c r="CX6" i="28"/>
  <c r="DK9" i="28"/>
  <c r="DZ9" i="28" s="1"/>
  <c r="EJ9" i="28"/>
  <c r="EP9" i="28" s="1"/>
  <c r="EQ9" i="28" s="1"/>
  <c r="CW9" i="28"/>
  <c r="ER9" i="28"/>
  <c r="CW15" i="28"/>
  <c r="ER15" i="28"/>
  <c r="CX18" i="28"/>
  <c r="EH18" i="28"/>
  <c r="CW22" i="28"/>
  <c r="ER22" i="28"/>
  <c r="EJ24" i="28"/>
  <c r="EP24" i="28" s="1"/>
  <c r="EQ24" i="28" s="1"/>
  <c r="DK24" i="28"/>
  <c r="DZ24" i="28" s="1"/>
  <c r="EQ26" i="28"/>
  <c r="CX28" i="28"/>
  <c r="EJ30" i="28"/>
  <c r="EP30" i="28" s="1"/>
  <c r="EQ30" i="28" s="1"/>
  <c r="DK30" i="28"/>
  <c r="EU30" i="28" s="1"/>
  <c r="CW30" i="28"/>
  <c r="ER30" i="28"/>
  <c r="CZ32" i="28"/>
  <c r="ER32" i="28"/>
  <c r="CW36" i="28"/>
  <c r="CZ37" i="28"/>
  <c r="ER38" i="28"/>
  <c r="EQ39" i="28"/>
  <c r="DA40" i="28"/>
  <c r="ER40" i="28"/>
  <c r="CW44" i="28"/>
  <c r="ER44" i="28"/>
  <c r="EJ46" i="28"/>
  <c r="EP46" i="28" s="1"/>
  <c r="EQ46" i="28" s="1"/>
  <c r="DK46" i="28"/>
  <c r="EU46" i="28" s="1"/>
  <c r="CW46" i="28"/>
  <c r="ER46" i="28"/>
  <c r="CX54" i="28"/>
  <c r="CZ58" i="28"/>
  <c r="DA58" i="28"/>
  <c r="CY58" i="28"/>
  <c r="CX58" i="28"/>
  <c r="ER58" i="28"/>
  <c r="EJ60" i="28"/>
  <c r="EP60" i="28" s="1"/>
  <c r="EQ60" i="28" s="1"/>
  <c r="EJ64" i="28"/>
  <c r="EP64" i="28" s="1"/>
  <c r="EQ64" i="28" s="1"/>
  <c r="AP9" i="28"/>
  <c r="EE9" i="28" s="1"/>
  <c r="EQ10" i="28"/>
  <c r="DA11" i="28"/>
  <c r="ER11" i="28"/>
  <c r="DK12" i="28"/>
  <c r="DZ12" i="28" s="1"/>
  <c r="AP13" i="28"/>
  <c r="EA13" i="28" s="1"/>
  <c r="AP15" i="28"/>
  <c r="EA15" i="28" s="1"/>
  <c r="EB15" i="28" s="1"/>
  <c r="ED15" i="28" s="1"/>
  <c r="CW24" i="28"/>
  <c r="CX34" i="28"/>
  <c r="EH34" i="28"/>
  <c r="AP36" i="28"/>
  <c r="DH36" i="28" s="1"/>
  <c r="CX45" i="28"/>
  <c r="ER45" i="28"/>
  <c r="CW50" i="28"/>
  <c r="ER50" i="28"/>
  <c r="AP58" i="28"/>
  <c r="EE58" i="28" s="1"/>
  <c r="DK63" i="28"/>
  <c r="EU63" i="28" s="1"/>
  <c r="AP6" i="28"/>
  <c r="EA6" i="28" s="1"/>
  <c r="EH11" i="28"/>
  <c r="EQ16" i="28"/>
  <c r="CX24" i="28"/>
  <c r="EH24" i="28"/>
  <c r="EQ32" i="28"/>
  <c r="DA34" i="28"/>
  <c r="CW39" i="28"/>
  <c r="CX50" i="28"/>
  <c r="EQ54" i="28"/>
  <c r="AN107" i="28"/>
  <c r="K107" i="28"/>
  <c r="AP107" i="28" s="1"/>
  <c r="CX56" i="28"/>
  <c r="EH56" i="28"/>
  <c r="EK56" i="28" s="1"/>
  <c r="AP56" i="28"/>
  <c r="EE56" i="28" s="1"/>
  <c r="DA56" i="28"/>
  <c r="CW56" i="28"/>
  <c r="EQ56" i="28"/>
  <c r="ER56" i="28"/>
  <c r="EG107" i="28"/>
  <c r="CW54" i="28"/>
  <c r="ER54" i="28"/>
  <c r="EI107" i="28"/>
  <c r="EO47" i="28"/>
  <c r="AP26" i="28"/>
  <c r="EE26" i="28" s="1"/>
  <c r="DA26" i="28"/>
  <c r="CX26" i="28"/>
  <c r="DK26" i="28"/>
  <c r="EU26" i="28" s="1"/>
  <c r="EH26" i="28"/>
  <c r="EK26" i="28" s="1"/>
  <c r="EM26" i="28" s="1"/>
  <c r="DK20" i="28"/>
  <c r="DZ20" i="28" s="1"/>
  <c r="AP20" i="28"/>
  <c r="CU20" i="28" s="1"/>
  <c r="DA20" i="28"/>
  <c r="EQ20" i="28"/>
  <c r="CX20" i="28"/>
  <c r="EH20" i="28"/>
  <c r="EK20" i="28" s="1"/>
  <c r="CZ17" i="28"/>
  <c r="AP17" i="28"/>
  <c r="EA17" i="28" s="1"/>
  <c r="CX11" i="28"/>
  <c r="AP11" i="28"/>
  <c r="EE11" i="28" s="1"/>
  <c r="CY11" i="28"/>
  <c r="EJ11" i="28"/>
  <c r="EP11" i="28" s="1"/>
  <c r="EQ11" i="28" s="1"/>
  <c r="AP32" i="28"/>
  <c r="DH32" i="28" s="1"/>
  <c r="DA32" i="28"/>
  <c r="CW32" i="28"/>
  <c r="CX32" i="28"/>
  <c r="EH32" i="28"/>
  <c r="EK32" i="28" s="1"/>
  <c r="EU11" i="28"/>
  <c r="DZ11" i="28"/>
  <c r="EQ35" i="28"/>
  <c r="EE15" i="28"/>
  <c r="DH15" i="28"/>
  <c r="EE34" i="28"/>
  <c r="EA36" i="28"/>
  <c r="EB36" i="28" s="1"/>
  <c r="ED36" i="28" s="1"/>
  <c r="EQ12" i="28"/>
  <c r="EJ5" i="28"/>
  <c r="EP5" i="28" s="1"/>
  <c r="ER8" i="28"/>
  <c r="CX8" i="28"/>
  <c r="AP8" i="28"/>
  <c r="CW10" i="28"/>
  <c r="EX10" i="28"/>
  <c r="ER12" i="28"/>
  <c r="CX12" i="28"/>
  <c r="AP12" i="28"/>
  <c r="CW14" i="28"/>
  <c r="DK19" i="28"/>
  <c r="EO19" i="28"/>
  <c r="ER25" i="28"/>
  <c r="CX25" i="28"/>
  <c r="AP25" i="28"/>
  <c r="EH25" i="28"/>
  <c r="EK25" i="28" s="1"/>
  <c r="EM25" i="28" s="1"/>
  <c r="DA25" i="28"/>
  <c r="CW25" i="28"/>
  <c r="DK27" i="28"/>
  <c r="EO27" i="28"/>
  <c r="ER33" i="28"/>
  <c r="CX33" i="28"/>
  <c r="AP33" i="28"/>
  <c r="EH33" i="28"/>
  <c r="EK33" i="28" s="1"/>
  <c r="EM33" i="28" s="1"/>
  <c r="DA33" i="28"/>
  <c r="CW33" i="28"/>
  <c r="EX44" i="28"/>
  <c r="EH47" i="28"/>
  <c r="DA47" i="28"/>
  <c r="CW47" i="28"/>
  <c r="CY47" i="28"/>
  <c r="AP47" i="28"/>
  <c r="ER47" i="28"/>
  <c r="CX47" i="28"/>
  <c r="EX52" i="28"/>
  <c r="ER55" i="28"/>
  <c r="CX55" i="28"/>
  <c r="AP55" i="28"/>
  <c r="EH55" i="28"/>
  <c r="DA55" i="28"/>
  <c r="CW55" i="28"/>
  <c r="CZ55" i="28"/>
  <c r="CY55" i="28"/>
  <c r="EJ57" i="28"/>
  <c r="EP57" i="28" s="1"/>
  <c r="DK57" i="28"/>
  <c r="EO61" i="28"/>
  <c r="EX65" i="28"/>
  <c r="EO75" i="28"/>
  <c r="CY81" i="28"/>
  <c r="CZ81" i="28"/>
  <c r="ER81" i="28"/>
  <c r="CW81" i="28"/>
  <c r="EH81" i="28"/>
  <c r="EK81" i="28" s="1"/>
  <c r="EM81" i="28" s="1"/>
  <c r="DA81" i="28"/>
  <c r="AP81" i="28"/>
  <c r="EJ97" i="28"/>
  <c r="EP97" i="28" s="1"/>
  <c r="EQ97" i="28" s="1"/>
  <c r="DK97" i="28"/>
  <c r="CZ5" i="28"/>
  <c r="DE5" i="28"/>
  <c r="DE107" i="28" s="1"/>
  <c r="CY8" i="28"/>
  <c r="EX9" i="28"/>
  <c r="CY10" i="28"/>
  <c r="CY12" i="28"/>
  <c r="CW16" i="28"/>
  <c r="ER19" i="28"/>
  <c r="CX19" i="28"/>
  <c r="AP19" i="28"/>
  <c r="EH19" i="28"/>
  <c r="DA19" i="28"/>
  <c r="CW19" i="28"/>
  <c r="CZ25" i="28"/>
  <c r="CY27" i="28"/>
  <c r="DK29" i="28"/>
  <c r="EO29" i="28"/>
  <c r="CZ33" i="28"/>
  <c r="ER35" i="28"/>
  <c r="CX35" i="28"/>
  <c r="AP35" i="28"/>
  <c r="EH35" i="28"/>
  <c r="EK35" i="28" s="1"/>
  <c r="EM35" i="28" s="1"/>
  <c r="DA35" i="28"/>
  <c r="CW35" i="28"/>
  <c r="CZ48" i="28"/>
  <c r="EX57" i="28"/>
  <c r="ER63" i="28"/>
  <c r="CX63" i="28"/>
  <c r="AP63" i="28"/>
  <c r="DA63" i="28"/>
  <c r="EH63" i="28"/>
  <c r="EK63" i="28" s="1"/>
  <c r="EM63" i="28" s="1"/>
  <c r="CZ63" i="28"/>
  <c r="CY63" i="28"/>
  <c r="CW5" i="28"/>
  <c r="DA5" i="28"/>
  <c r="DK5" i="28"/>
  <c r="EH5" i="28"/>
  <c r="CY6" i="28"/>
  <c r="CW7" i="28"/>
  <c r="DA7" i="28"/>
  <c r="DK7" i="28"/>
  <c r="EH7" i="28"/>
  <c r="ER7" i="28"/>
  <c r="CZ8" i="28"/>
  <c r="EH8" i="28"/>
  <c r="CZ10" i="28"/>
  <c r="EU10" i="28"/>
  <c r="CZ12" i="28"/>
  <c r="EH12" i="28"/>
  <c r="EK12" i="28" s="1"/>
  <c r="EM12" i="28" s="1"/>
  <c r="CZ14" i="28"/>
  <c r="AP16" i="28"/>
  <c r="CX16" i="28"/>
  <c r="EH16" i="28"/>
  <c r="EK16" i="28" s="1"/>
  <c r="EM16" i="28" s="1"/>
  <c r="DK17" i="28"/>
  <c r="CZ19" i="28"/>
  <c r="EJ19" i="28"/>
  <c r="EP19" i="28" s="1"/>
  <c r="ER21" i="28"/>
  <c r="CX21" i="28"/>
  <c r="AP21" i="28"/>
  <c r="EH21" i="28"/>
  <c r="DA21" i="28"/>
  <c r="CW21" i="28"/>
  <c r="CY21" i="28"/>
  <c r="DK23" i="28"/>
  <c r="EO23" i="28"/>
  <c r="EQ23" i="28" s="1"/>
  <c r="EX24" i="28"/>
  <c r="EJ27" i="28"/>
  <c r="EP27" i="28" s="1"/>
  <c r="ER29" i="28"/>
  <c r="CX29" i="28"/>
  <c r="AP29" i="28"/>
  <c r="EH29" i="28"/>
  <c r="DA29" i="28"/>
  <c r="CW29" i="28"/>
  <c r="CY29" i="28"/>
  <c r="DK31" i="28"/>
  <c r="EO31" i="28"/>
  <c r="EQ31" i="28" s="1"/>
  <c r="EU32" i="28"/>
  <c r="DZ32" i="28"/>
  <c r="EX32" i="28"/>
  <c r="CZ35" i="28"/>
  <c r="CX40" i="28"/>
  <c r="AP40" i="28"/>
  <c r="CZ40" i="28"/>
  <c r="EH40" i="28"/>
  <c r="EK40" i="28" s="1"/>
  <c r="EM40" i="28" s="1"/>
  <c r="CY40" i="28"/>
  <c r="CW40" i="28"/>
  <c r="EH41" i="28"/>
  <c r="EK41" i="28" s="1"/>
  <c r="EM41" i="28" s="1"/>
  <c r="DA41" i="28"/>
  <c r="CW41" i="28"/>
  <c r="CZ41" i="28"/>
  <c r="CY41" i="28"/>
  <c r="AP41" i="28"/>
  <c r="CX41" i="28"/>
  <c r="EO55" i="28"/>
  <c r="DZ58" i="28"/>
  <c r="DK70" i="28"/>
  <c r="EJ70" i="28"/>
  <c r="EP70" i="28" s="1"/>
  <c r="EQ70" i="28" s="1"/>
  <c r="EX79" i="28"/>
  <c r="EJ7" i="28"/>
  <c r="EP7" i="28" s="1"/>
  <c r="EQ7" i="28" s="1"/>
  <c r="CW8" i="28"/>
  <c r="EX8" i="28"/>
  <c r="ER10" i="28"/>
  <c r="CX10" i="28"/>
  <c r="AP10" i="28"/>
  <c r="EX12" i="28"/>
  <c r="ER14" i="28"/>
  <c r="CX14" i="28"/>
  <c r="AP14" i="28"/>
  <c r="EX14" i="28"/>
  <c r="DA16" i="28"/>
  <c r="CU24" i="28"/>
  <c r="DH24" i="28"/>
  <c r="CY25" i="28"/>
  <c r="CY33" i="28"/>
  <c r="DK35" i="28"/>
  <c r="DK38" i="28"/>
  <c r="EJ38" i="28"/>
  <c r="EP38" i="28" s="1"/>
  <c r="EQ38" i="28" s="1"/>
  <c r="DK45" i="28"/>
  <c r="EJ45" i="28"/>
  <c r="EP45" i="28" s="1"/>
  <c r="EQ45" i="28" s="1"/>
  <c r="CZ47" i="28"/>
  <c r="ER49" i="28"/>
  <c r="EH49" i="28"/>
  <c r="DA49" i="28"/>
  <c r="CW49" i="28"/>
  <c r="CZ49" i="28"/>
  <c r="CY49" i="28"/>
  <c r="AP49" i="28"/>
  <c r="ER53" i="28"/>
  <c r="CX53" i="28"/>
  <c r="AP53" i="28"/>
  <c r="EH53" i="28"/>
  <c r="EK53" i="28" s="1"/>
  <c r="EM53" i="28" s="1"/>
  <c r="DA53" i="28"/>
  <c r="CW53" i="28"/>
  <c r="EU56" i="28"/>
  <c r="DZ56" i="28"/>
  <c r="EX61" i="28"/>
  <c r="EJ101" i="28"/>
  <c r="EP101" i="28" s="1"/>
  <c r="EQ101" i="28" s="1"/>
  <c r="DK101" i="28"/>
  <c r="CZ7" i="28"/>
  <c r="EX11" i="28"/>
  <c r="EX13" i="28"/>
  <c r="CY14" i="28"/>
  <c r="ER16" i="28"/>
  <c r="CY19" i="28"/>
  <c r="DK21" i="28"/>
  <c r="EU22" i="28"/>
  <c r="ER27" i="28"/>
  <c r="CX27" i="28"/>
  <c r="AP27" i="28"/>
  <c r="EH27" i="28"/>
  <c r="DA27" i="28"/>
  <c r="CW27" i="28"/>
  <c r="CY35" i="28"/>
  <c r="CY48" i="28"/>
  <c r="EH48" i="28"/>
  <c r="CX48" i="28"/>
  <c r="AP48" i="28"/>
  <c r="ER48" i="28"/>
  <c r="CW48" i="28"/>
  <c r="EO57" i="28"/>
  <c r="ER59" i="28"/>
  <c r="CX59" i="28"/>
  <c r="AP59" i="28"/>
  <c r="DA59" i="28"/>
  <c r="EH59" i="28"/>
  <c r="EK59" i="28" s="1"/>
  <c r="EM59" i="28" s="1"/>
  <c r="CZ59" i="28"/>
  <c r="CY59" i="28"/>
  <c r="EH66" i="28"/>
  <c r="DA66" i="28"/>
  <c r="CW66" i="28"/>
  <c r="CZ66" i="28"/>
  <c r="AP66" i="28"/>
  <c r="CY66" i="28"/>
  <c r="CX66" i="28"/>
  <c r="ER66" i="28"/>
  <c r="DK78" i="28"/>
  <c r="EJ78" i="28"/>
  <c r="EP78" i="28" s="1"/>
  <c r="EQ78" i="28" s="1"/>
  <c r="EU96" i="28"/>
  <c r="DZ96" i="28"/>
  <c r="AP5" i="28"/>
  <c r="CX5" i="28"/>
  <c r="ER5" i="28"/>
  <c r="AP7" i="28"/>
  <c r="DA8" i="28"/>
  <c r="DA10" i="28"/>
  <c r="DA12" i="28"/>
  <c r="DA14" i="28"/>
  <c r="EQ15" i="28"/>
  <c r="CZ16" i="28"/>
  <c r="ER17" i="28"/>
  <c r="CX17" i="28"/>
  <c r="EH17" i="28"/>
  <c r="EK17" i="28" s="1"/>
  <c r="EM17" i="28" s="1"/>
  <c r="DA17" i="28"/>
  <c r="CW17" i="28"/>
  <c r="EO17" i="28"/>
  <c r="EQ17" i="28" s="1"/>
  <c r="EJ21" i="28"/>
  <c r="EP21" i="28" s="1"/>
  <c r="EQ21" i="28" s="1"/>
  <c r="ER23" i="28"/>
  <c r="CX23" i="28"/>
  <c r="AP23" i="28"/>
  <c r="EH23" i="28"/>
  <c r="EK23" i="28" s="1"/>
  <c r="EM23" i="28" s="1"/>
  <c r="DA23" i="28"/>
  <c r="CW23" i="28"/>
  <c r="CY23" i="28"/>
  <c r="DK25" i="28"/>
  <c r="EO25" i="28"/>
  <c r="EQ25" i="28" s="1"/>
  <c r="EJ29" i="28"/>
  <c r="EP29" i="28" s="1"/>
  <c r="ER31" i="28"/>
  <c r="CX31" i="28"/>
  <c r="AP31" i="28"/>
  <c r="EH31" i="28"/>
  <c r="EK31" i="28" s="1"/>
  <c r="EM31" i="28" s="1"/>
  <c r="DA31" i="28"/>
  <c r="CW31" i="28"/>
  <c r="CY31" i="28"/>
  <c r="DK33" i="28"/>
  <c r="EO33" i="28"/>
  <c r="EQ33" i="28" s="1"/>
  <c r="CY42" i="28"/>
  <c r="CZ42" i="28"/>
  <c r="EH42" i="28"/>
  <c r="CX42" i="28"/>
  <c r="AP42" i="28"/>
  <c r="CW42" i="28"/>
  <c r="EO43" i="28"/>
  <c r="EQ43" i="28" s="1"/>
  <c r="DZ44" i="28"/>
  <c r="DK47" i="28"/>
  <c r="EJ47" i="28"/>
  <c r="EP47" i="28" s="1"/>
  <c r="CY53" i="28"/>
  <c r="DK55" i="28"/>
  <c r="EJ55" i="28"/>
  <c r="EP55" i="28" s="1"/>
  <c r="EX60" i="28"/>
  <c r="EX64" i="28"/>
  <c r="EE67" i="28"/>
  <c r="CX81" i="28"/>
  <c r="CZ15" i="28"/>
  <c r="CY18" i="28"/>
  <c r="CY20" i="28"/>
  <c r="CY22" i="28"/>
  <c r="CY24" i="28"/>
  <c r="CY26" i="28"/>
  <c r="CY28" i="28"/>
  <c r="CY30" i="28"/>
  <c r="CY32" i="28"/>
  <c r="CY34" i="28"/>
  <c r="CY36" i="28"/>
  <c r="EH36" i="28"/>
  <c r="EK36" i="28" s="1"/>
  <c r="EH38" i="28"/>
  <c r="DA38" i="28"/>
  <c r="CW38" i="28"/>
  <c r="DA39" i="28"/>
  <c r="DK43" i="28"/>
  <c r="CZ44" i="28"/>
  <c r="EH45" i="28"/>
  <c r="DA45" i="28"/>
  <c r="CW45" i="28"/>
  <c r="DA46" i="28"/>
  <c r="DK51" i="28"/>
  <c r="EO51" i="28"/>
  <c r="EQ51" i="28" s="1"/>
  <c r="ER57" i="28"/>
  <c r="CX57" i="28"/>
  <c r="AP57" i="28"/>
  <c r="EH57" i="28"/>
  <c r="DA57" i="28"/>
  <c r="CW57" i="28"/>
  <c r="CY57" i="28"/>
  <c r="EX59" i="28"/>
  <c r="EX63" i="28"/>
  <c r="EQ65" i="28"/>
  <c r="EH68" i="28"/>
  <c r="EK68" i="28" s="1"/>
  <c r="EM68" i="28" s="1"/>
  <c r="DA68" i="28"/>
  <c r="CW68" i="28"/>
  <c r="ER68" i="28"/>
  <c r="CX68" i="28"/>
  <c r="CZ68" i="28"/>
  <c r="AP68" i="28"/>
  <c r="DH69" i="28"/>
  <c r="EO71" i="28"/>
  <c r="EQ71" i="28" s="1"/>
  <c r="EX83" i="28"/>
  <c r="CX37" i="28"/>
  <c r="AP37" i="28"/>
  <c r="CW37" i="28"/>
  <c r="ER37" i="28"/>
  <c r="DK41" i="28"/>
  <c r="EQ41" i="28"/>
  <c r="EH43" i="28"/>
  <c r="EK43" i="28" s="1"/>
  <c r="EM43" i="28" s="1"/>
  <c r="DA43" i="28"/>
  <c r="CW43" i="28"/>
  <c r="DA44" i="28"/>
  <c r="DK49" i="28"/>
  <c r="EJ49" i="28"/>
  <c r="EP49" i="28" s="1"/>
  <c r="EQ49" i="28" s="1"/>
  <c r="ER51" i="28"/>
  <c r="CX51" i="28"/>
  <c r="AP51" i="28"/>
  <c r="EH51" i="28"/>
  <c r="EK51" i="28" s="1"/>
  <c r="EM51" i="28" s="1"/>
  <c r="DA51" i="28"/>
  <c r="CW51" i="28"/>
  <c r="CY51" i="28"/>
  <c r="DK53" i="28"/>
  <c r="EO53" i="28"/>
  <c r="EQ53" i="28" s="1"/>
  <c r="EU54" i="28"/>
  <c r="DZ54" i="28"/>
  <c r="EO59" i="28"/>
  <c r="EQ59" i="28" s="1"/>
  <c r="EU60" i="28"/>
  <c r="DZ60" i="28"/>
  <c r="ER61" i="28"/>
  <c r="CX61" i="28"/>
  <c r="AP61" i="28"/>
  <c r="DA61" i="28"/>
  <c r="EH61" i="28"/>
  <c r="CZ61" i="28"/>
  <c r="CY61" i="28"/>
  <c r="DZ61" i="28"/>
  <c r="EO63" i="28"/>
  <c r="EQ63" i="28" s="1"/>
  <c r="EU64" i="28"/>
  <c r="DZ64" i="28"/>
  <c r="EH65" i="28"/>
  <c r="EK65" i="28" s="1"/>
  <c r="CX65" i="28"/>
  <c r="AP65" i="28"/>
  <c r="DA65" i="28"/>
  <c r="CZ65" i="28"/>
  <c r="CY65" i="28"/>
  <c r="EX71" i="28"/>
  <c r="CY73" i="28"/>
  <c r="CZ73" i="28"/>
  <c r="ER73" i="28"/>
  <c r="CW73" i="28"/>
  <c r="EH73" i="28"/>
  <c r="EK73" i="28" s="1"/>
  <c r="EM73" i="28" s="1"/>
  <c r="DA73" i="28"/>
  <c r="AP73" i="28"/>
  <c r="CX73" i="28"/>
  <c r="EH76" i="28"/>
  <c r="EK76" i="28" s="1"/>
  <c r="EM76" i="28" s="1"/>
  <c r="DA76" i="28"/>
  <c r="CW76" i="28"/>
  <c r="ER76" i="28"/>
  <c r="CX76" i="28"/>
  <c r="CZ76" i="28"/>
  <c r="AP76" i="28"/>
  <c r="EO79" i="28"/>
  <c r="EQ79" i="28" s="1"/>
  <c r="EU83" i="28"/>
  <c r="DZ83" i="28"/>
  <c r="CY50" i="28"/>
  <c r="CY52" i="28"/>
  <c r="CY54" i="28"/>
  <c r="CY56" i="28"/>
  <c r="CY69" i="28"/>
  <c r="ER69" i="28"/>
  <c r="CW69" i="28"/>
  <c r="CZ69" i="28"/>
  <c r="EH69" i="28"/>
  <c r="EK69" i="28" s="1"/>
  <c r="EM69" i="28" s="1"/>
  <c r="EH72" i="28"/>
  <c r="EK72" i="28" s="1"/>
  <c r="EM72" i="28" s="1"/>
  <c r="DA72" i="28"/>
  <c r="CW72" i="28"/>
  <c r="CZ72" i="28"/>
  <c r="ER72" i="28"/>
  <c r="CX72" i="28"/>
  <c r="AP72" i="28"/>
  <c r="CY72" i="28"/>
  <c r="EX75" i="28"/>
  <c r="CY77" i="28"/>
  <c r="ER77" i="28"/>
  <c r="CW77" i="28"/>
  <c r="CZ77" i="28"/>
  <c r="EH77" i="28"/>
  <c r="EK77" i="28" s="1"/>
  <c r="EM77" i="28" s="1"/>
  <c r="EH80" i="28"/>
  <c r="EK80" i="28" s="1"/>
  <c r="EM80" i="28" s="1"/>
  <c r="DA80" i="28"/>
  <c r="CW80" i="28"/>
  <c r="CZ80" i="28"/>
  <c r="ER80" i="28"/>
  <c r="CX80" i="28"/>
  <c r="AP80" i="28"/>
  <c r="CY80" i="28"/>
  <c r="EU81" i="28"/>
  <c r="CU83" i="28"/>
  <c r="DH83" i="28"/>
  <c r="EX85" i="28"/>
  <c r="EO103" i="28"/>
  <c r="EQ103" i="28" s="1"/>
  <c r="EQ73" i="28"/>
  <c r="DK74" i="28"/>
  <c r="EJ74" i="28"/>
  <c r="EP74" i="28" s="1"/>
  <c r="EQ74" i="28" s="1"/>
  <c r="EQ81" i="28"/>
  <c r="DK82" i="28"/>
  <c r="EJ82" i="28"/>
  <c r="EP82" i="28" s="1"/>
  <c r="DK66" i="28"/>
  <c r="EJ66" i="28"/>
  <c r="EP66" i="28" s="1"/>
  <c r="EQ66" i="28" s="1"/>
  <c r="EQ67" i="28"/>
  <c r="EO68" i="28"/>
  <c r="EQ68" i="28" s="1"/>
  <c r="EO72" i="28"/>
  <c r="EQ72" i="28" s="1"/>
  <c r="EO76" i="28"/>
  <c r="EQ76" i="28" s="1"/>
  <c r="EO80" i="28"/>
  <c r="EQ80" i="28" s="1"/>
  <c r="EX84" i="28"/>
  <c r="EO105" i="28"/>
  <c r="EQ105" i="28" s="1"/>
  <c r="EU100" i="28"/>
  <c r="DZ100" i="28"/>
  <c r="DK68" i="28"/>
  <c r="EH70" i="28"/>
  <c r="DA70" i="28"/>
  <c r="CW70" i="28"/>
  <c r="DA71" i="28"/>
  <c r="DK76" i="28"/>
  <c r="EH78" i="28"/>
  <c r="DA78" i="28"/>
  <c r="CW78" i="28"/>
  <c r="DA79" i="28"/>
  <c r="EL81" i="28"/>
  <c r="EO82" i="28"/>
  <c r="ER84" i="28"/>
  <c r="CX84" i="28"/>
  <c r="AP84" i="28"/>
  <c r="DA84" i="28"/>
  <c r="EH84" i="28"/>
  <c r="CZ84" i="28"/>
  <c r="CY84" i="28"/>
  <c r="DZ84" i="28"/>
  <c r="CU85" i="28"/>
  <c r="EW85" i="28" s="1"/>
  <c r="EJ95" i="28"/>
  <c r="EP95" i="28" s="1"/>
  <c r="EQ95" i="28" s="1"/>
  <c r="DZ99" i="28"/>
  <c r="DA67" i="28"/>
  <c r="AP70" i="28"/>
  <c r="CY70" i="28"/>
  <c r="AP71" i="28"/>
  <c r="CX71" i="28"/>
  <c r="EH71" i="28"/>
  <c r="EK71" i="28" s="1"/>
  <c r="EM71" i="28" s="1"/>
  <c r="DK72" i="28"/>
  <c r="EH74" i="28"/>
  <c r="DA74" i="28"/>
  <c r="CW74" i="28"/>
  <c r="DA75" i="28"/>
  <c r="AP78" i="28"/>
  <c r="CY78" i="28"/>
  <c r="AP79" i="28"/>
  <c r="CX79" i="28"/>
  <c r="EU79" i="28"/>
  <c r="DZ79" i="28"/>
  <c r="EH79" i="28"/>
  <c r="EK79" i="28" s="1"/>
  <c r="EM79" i="28" s="1"/>
  <c r="DK80" i="28"/>
  <c r="ER82" i="28"/>
  <c r="EH82" i="28"/>
  <c r="DA82" i="28"/>
  <c r="CW82" i="28"/>
  <c r="EO84" i="28"/>
  <c r="EU85" i="28"/>
  <c r="DZ85" i="28"/>
  <c r="DK95" i="28"/>
  <c r="EJ99" i="28"/>
  <c r="EP99" i="28" s="1"/>
  <c r="EQ99" i="28" s="1"/>
  <c r="EA100" i="28"/>
  <c r="DK103" i="28"/>
  <c r="CY83" i="28"/>
  <c r="ER83" i="28"/>
  <c r="DA83" i="28"/>
  <c r="EH83" i="28"/>
  <c r="ER95" i="28"/>
  <c r="CX95" i="28"/>
  <c r="AP95" i="28"/>
  <c r="CW95" i="28"/>
  <c r="EX95" i="28"/>
  <c r="ER97" i="28"/>
  <c r="CX97" i="28"/>
  <c r="AP97" i="28"/>
  <c r="CW97" i="28"/>
  <c r="EX97" i="28"/>
  <c r="ER99" i="28"/>
  <c r="CX99" i="28"/>
  <c r="AP99" i="28"/>
  <c r="CW99" i="28"/>
  <c r="EX99" i="28"/>
  <c r="ER101" i="28"/>
  <c r="CX101" i="28"/>
  <c r="AP101" i="28"/>
  <c r="CW101" i="28"/>
  <c r="EX101" i="28"/>
  <c r="ER103" i="28"/>
  <c r="CX103" i="28"/>
  <c r="AP103" i="28"/>
  <c r="CW103" i="28"/>
  <c r="EX103" i="28"/>
  <c r="DK104" i="28"/>
  <c r="EQ104" i="28"/>
  <c r="DW106" i="28"/>
  <c r="EA106" i="28"/>
  <c r="CY105" i="28"/>
  <c r="ER105" i="28"/>
  <c r="CX105" i="28"/>
  <c r="AP105" i="28"/>
  <c r="CW105" i="28"/>
  <c r="EX105" i="28"/>
  <c r="DK106" i="28"/>
  <c r="CZ106" i="28"/>
  <c r="EE85" i="28" l="1"/>
  <c r="CU75" i="28"/>
  <c r="DW9" i="28"/>
  <c r="EK96" i="28"/>
  <c r="EE75" i="28"/>
  <c r="DZ59" i="28"/>
  <c r="EU24" i="28"/>
  <c r="DD17" i="28"/>
  <c r="DF17" i="28" s="1"/>
  <c r="DG17" i="28" s="1"/>
  <c r="DD60" i="28"/>
  <c r="DF60" i="28" s="1"/>
  <c r="DG60" i="28" s="1"/>
  <c r="DH82" i="28"/>
  <c r="EL40" i="28"/>
  <c r="CU96" i="28"/>
  <c r="EW96" i="28" s="1"/>
  <c r="EZ96" i="28" s="1"/>
  <c r="FA96" i="28" s="1"/>
  <c r="DZ50" i="28"/>
  <c r="DW39" i="28"/>
  <c r="DD26" i="28"/>
  <c r="DF26" i="28" s="1"/>
  <c r="DH39" i="28"/>
  <c r="EA26" i="28"/>
  <c r="EA82" i="28"/>
  <c r="EA28" i="28"/>
  <c r="CU34" i="28"/>
  <c r="EE50" i="28"/>
  <c r="EK24" i="28"/>
  <c r="EL24" i="28" s="1"/>
  <c r="EK64" i="28"/>
  <c r="DZ30" i="28"/>
  <c r="DZ28" i="28"/>
  <c r="EB28" i="28" s="1"/>
  <c r="ED28" i="28" s="1"/>
  <c r="EU9" i="28"/>
  <c r="EK83" i="28"/>
  <c r="DZ69" i="28"/>
  <c r="EK42" i="28"/>
  <c r="EM42" i="28" s="1"/>
  <c r="DW34" i="28"/>
  <c r="DW75" i="28"/>
  <c r="EA39" i="28"/>
  <c r="EB39" i="28" s="1"/>
  <c r="ED39" i="28" s="1"/>
  <c r="CU100" i="28"/>
  <c r="EW100" i="28" s="1"/>
  <c r="EZ100" i="28" s="1"/>
  <c r="FA100" i="28" s="1"/>
  <c r="DD96" i="28"/>
  <c r="DF96" i="28" s="1"/>
  <c r="DW96" i="28"/>
  <c r="DW85" i="28"/>
  <c r="EK62" i="28"/>
  <c r="EM62" i="28" s="1"/>
  <c r="EE83" i="28"/>
  <c r="EA75" i="28"/>
  <c r="DH75" i="28"/>
  <c r="DH67" i="28"/>
  <c r="CU60" i="28"/>
  <c r="EV60" i="28" s="1"/>
  <c r="DD39" i="28"/>
  <c r="DF39" i="28" s="1"/>
  <c r="DL39" i="28" s="1"/>
  <c r="EM67" i="28"/>
  <c r="EK28" i="28"/>
  <c r="EM28" i="28" s="1"/>
  <c r="DH100" i="28"/>
  <c r="EA96" i="28"/>
  <c r="EE102" i="28"/>
  <c r="EA104" i="28"/>
  <c r="CU39" i="28"/>
  <c r="DZ16" i="28"/>
  <c r="DW100" i="28"/>
  <c r="EE96" i="28"/>
  <c r="DZ34" i="28"/>
  <c r="EE22" i="28"/>
  <c r="DZ105" i="28"/>
  <c r="DH13" i="28"/>
  <c r="CU82" i="28"/>
  <c r="DB82" i="28" s="1"/>
  <c r="DH85" i="28"/>
  <c r="DW83" i="28"/>
  <c r="EA62" i="28"/>
  <c r="DW58" i="28"/>
  <c r="EB69" i="28"/>
  <c r="ED69" i="28" s="1"/>
  <c r="EA60" i="28"/>
  <c r="DH38" i="28"/>
  <c r="CU17" i="28"/>
  <c r="EW17" i="28" s="1"/>
  <c r="EZ17" i="28" s="1"/>
  <c r="FA17" i="28" s="1"/>
  <c r="DD44" i="28"/>
  <c r="DF44" i="28" s="1"/>
  <c r="DG44" i="28" s="1"/>
  <c r="EE24" i="28"/>
  <c r="EE17" i="28"/>
  <c r="EK14" i="28"/>
  <c r="EM14" i="28" s="1"/>
  <c r="DW60" i="28"/>
  <c r="EK10" i="28"/>
  <c r="EM10" i="28" s="1"/>
  <c r="EK85" i="28"/>
  <c r="EM85" i="28" s="1"/>
  <c r="DD82" i="28"/>
  <c r="DF82" i="28" s="1"/>
  <c r="DH60" i="28"/>
  <c r="CU74" i="28"/>
  <c r="EW74" i="28" s="1"/>
  <c r="EZ74" i="28" s="1"/>
  <c r="FA74" i="28" s="1"/>
  <c r="EA85" i="28"/>
  <c r="EB85" i="28" s="1"/>
  <c r="ED85" i="28" s="1"/>
  <c r="DD83" i="28"/>
  <c r="DF83" i="28" s="1"/>
  <c r="DG83" i="28" s="1"/>
  <c r="EU73" i="28"/>
  <c r="DD69" i="28"/>
  <c r="DF69" i="28" s="1"/>
  <c r="DL69" i="28" s="1"/>
  <c r="DD58" i="28"/>
  <c r="DF58" i="28" s="1"/>
  <c r="DG58" i="28" s="1"/>
  <c r="DZ42" i="28"/>
  <c r="EK38" i="28"/>
  <c r="EM38" i="28" s="1"/>
  <c r="DD24" i="28"/>
  <c r="DF24" i="28" s="1"/>
  <c r="DG24" i="28" s="1"/>
  <c r="EA24" i="28"/>
  <c r="EB24" i="28" s="1"/>
  <c r="ED24" i="28" s="1"/>
  <c r="DH26" i="28"/>
  <c r="EA20" i="28"/>
  <c r="EB20" i="28" s="1"/>
  <c r="ED20" i="28" s="1"/>
  <c r="EK58" i="28"/>
  <c r="EL58" i="28" s="1"/>
  <c r="DD46" i="28"/>
  <c r="DF46" i="28" s="1"/>
  <c r="DG46" i="28" s="1"/>
  <c r="CU56" i="28"/>
  <c r="DB56" i="28" s="1"/>
  <c r="DD18" i="28"/>
  <c r="DF18" i="28" s="1"/>
  <c r="DL18" i="28" s="1"/>
  <c r="EL69" i="28"/>
  <c r="EL72" i="28"/>
  <c r="EA102" i="28"/>
  <c r="DZ48" i="28"/>
  <c r="CU104" i="28"/>
  <c r="EW104" i="28" s="1"/>
  <c r="EZ104" i="28" s="1"/>
  <c r="FA104" i="28" s="1"/>
  <c r="DW69" i="28"/>
  <c r="CU67" i="28"/>
  <c r="EW67" i="28" s="1"/>
  <c r="EZ67" i="28" s="1"/>
  <c r="FA67" i="28" s="1"/>
  <c r="DZ63" i="28"/>
  <c r="EE45" i="28"/>
  <c r="EK27" i="28"/>
  <c r="EM27" i="28" s="1"/>
  <c r="DW26" i="28"/>
  <c r="CU26" i="28"/>
  <c r="EW26" i="28" s="1"/>
  <c r="EZ26" i="28" s="1"/>
  <c r="FA26" i="28" s="1"/>
  <c r="DZ13" i="28"/>
  <c r="EB13" i="28" s="1"/>
  <c r="ED13" i="28" s="1"/>
  <c r="EL28" i="28"/>
  <c r="DD77" i="28"/>
  <c r="DF77" i="28" s="1"/>
  <c r="DG77" i="28" s="1"/>
  <c r="DH98" i="28"/>
  <c r="EU20" i="28"/>
  <c r="EK97" i="28"/>
  <c r="EM97" i="28" s="1"/>
  <c r="EL77" i="28"/>
  <c r="EU71" i="28"/>
  <c r="EK84" i="28"/>
  <c r="EM84" i="28" s="1"/>
  <c r="DZ75" i="28"/>
  <c r="EB75" i="28" s="1"/>
  <c r="ED75" i="28" s="1"/>
  <c r="EK70" i="28"/>
  <c r="EM70" i="28" s="1"/>
  <c r="DH102" i="28"/>
  <c r="EU65" i="28"/>
  <c r="DD104" i="28"/>
  <c r="DF104" i="28" s="1"/>
  <c r="DG104" i="28" s="1"/>
  <c r="CU69" i="28"/>
  <c r="EV69" i="28" s="1"/>
  <c r="EE69" i="28"/>
  <c r="EL41" i="28"/>
  <c r="EA67" i="28"/>
  <c r="EB67" i="28" s="1"/>
  <c r="ED67" i="28" s="1"/>
  <c r="DD45" i="28"/>
  <c r="DF45" i="28" s="1"/>
  <c r="DL45" i="28" s="1"/>
  <c r="DD30" i="28"/>
  <c r="DF30" i="28" s="1"/>
  <c r="DG30" i="28" s="1"/>
  <c r="EA22" i="28"/>
  <c r="EA52" i="28"/>
  <c r="EL26" i="28"/>
  <c r="EK98" i="28"/>
  <c r="EL98" i="28" s="1"/>
  <c r="EL105" i="28"/>
  <c r="DL100" i="28"/>
  <c r="DM100" i="28" s="1"/>
  <c r="DN100" i="28" s="1"/>
  <c r="DG100" i="28"/>
  <c r="DZ102" i="28"/>
  <c r="EB102" i="28" s="1"/>
  <c r="ED102" i="28" s="1"/>
  <c r="EE38" i="28"/>
  <c r="EL17" i="28"/>
  <c r="DD54" i="28"/>
  <c r="DF54" i="28" s="1"/>
  <c r="DG54" i="28" s="1"/>
  <c r="DD43" i="28"/>
  <c r="DF43" i="28" s="1"/>
  <c r="DL43" i="28" s="1"/>
  <c r="EE13" i="28"/>
  <c r="DZ98" i="28"/>
  <c r="EB98" i="28" s="1"/>
  <c r="ED98" i="28" s="1"/>
  <c r="DH74" i="28"/>
  <c r="EK74" i="28"/>
  <c r="EM74" i="28" s="1"/>
  <c r="EU67" i="28"/>
  <c r="CU102" i="28"/>
  <c r="EW102" i="28" s="1"/>
  <c r="EZ102" i="28" s="1"/>
  <c r="FA102" i="28" s="1"/>
  <c r="DW77" i="28"/>
  <c r="DH50" i="28"/>
  <c r="DH104" i="28"/>
  <c r="DD98" i="28"/>
  <c r="DF98" i="28" s="1"/>
  <c r="DL98" i="28" s="1"/>
  <c r="DD67" i="28"/>
  <c r="DF67" i="28" s="1"/>
  <c r="DG67" i="28" s="1"/>
  <c r="CU46" i="28"/>
  <c r="DB46" i="28" s="1"/>
  <c r="DH45" i="28"/>
  <c r="EL44" i="28"/>
  <c r="EA30" i="28"/>
  <c r="DD22" i="28"/>
  <c r="DF22" i="28" s="1"/>
  <c r="DG22" i="28" s="1"/>
  <c r="EU18" i="28"/>
  <c r="EK13" i="28"/>
  <c r="EM13" i="28" s="1"/>
  <c r="EA54" i="28"/>
  <c r="EB54" i="28" s="1"/>
  <c r="ED54" i="28" s="1"/>
  <c r="DZ62" i="28"/>
  <c r="EE52" i="28"/>
  <c r="DW43" i="28"/>
  <c r="EK8" i="28"/>
  <c r="EM8" i="28" s="1"/>
  <c r="EQ75" i="28"/>
  <c r="DD32" i="28"/>
  <c r="DF32" i="28" s="1"/>
  <c r="DG32" i="28" s="1"/>
  <c r="EE28" i="28"/>
  <c r="DH20" i="28"/>
  <c r="EK18" i="28"/>
  <c r="EM18" i="28" s="1"/>
  <c r="DH77" i="28"/>
  <c r="CU50" i="28"/>
  <c r="DB50" i="28" s="1"/>
  <c r="CU98" i="28"/>
  <c r="DB98" i="28" s="1"/>
  <c r="EE46" i="28"/>
  <c r="W109" i="28"/>
  <c r="EQ61" i="28"/>
  <c r="DH6" i="28"/>
  <c r="EQ84" i="28"/>
  <c r="DW102" i="28"/>
  <c r="CU77" i="28"/>
  <c r="EV77" i="28" s="1"/>
  <c r="EE77" i="28"/>
  <c r="EK61" i="28"/>
  <c r="EM61" i="28" s="1"/>
  <c r="DD50" i="28"/>
  <c r="DF50" i="28" s="1"/>
  <c r="DG50" i="28" s="1"/>
  <c r="EA50" i="28"/>
  <c r="EB50" i="28" s="1"/>
  <c r="ED50" i="28" s="1"/>
  <c r="EE104" i="28"/>
  <c r="DZ52" i="28"/>
  <c r="DZ46" i="28"/>
  <c r="EB46" i="28" s="1"/>
  <c r="ED46" i="28" s="1"/>
  <c r="CU45" i="28"/>
  <c r="EW45" i="28" s="1"/>
  <c r="EZ45" i="28" s="1"/>
  <c r="FA45" i="28" s="1"/>
  <c r="DW45" i="28"/>
  <c r="EE30" i="28"/>
  <c r="EE54" i="28"/>
  <c r="DZ77" i="28"/>
  <c r="EB77" i="28" s="1"/>
  <c r="ED77" i="28" s="1"/>
  <c r="DD52" i="28"/>
  <c r="DF52" i="28" s="1"/>
  <c r="DG52" i="28" s="1"/>
  <c r="CU43" i="28"/>
  <c r="EW43" i="28" s="1"/>
  <c r="EZ43" i="28" s="1"/>
  <c r="FA43" i="28" s="1"/>
  <c r="EU12" i="28"/>
  <c r="DD28" i="28"/>
  <c r="DF28" i="28" s="1"/>
  <c r="DL28" i="28" s="1"/>
  <c r="DD20" i="28"/>
  <c r="DF20" i="28" s="1"/>
  <c r="DG20" i="28" s="1"/>
  <c r="EE6" i="28"/>
  <c r="CU13" i="28"/>
  <c r="EW13" i="28" s="1"/>
  <c r="EZ13" i="28" s="1"/>
  <c r="FA13" i="28" s="1"/>
  <c r="EK46" i="28"/>
  <c r="EM46" i="28" s="1"/>
  <c r="EK100" i="28"/>
  <c r="EL100" i="28" s="1"/>
  <c r="EE44" i="28"/>
  <c r="DH106" i="28"/>
  <c r="CU58" i="28"/>
  <c r="EW58" i="28" s="1"/>
  <c r="EZ58" i="28" s="1"/>
  <c r="FA58" i="28" s="1"/>
  <c r="DD62" i="28"/>
  <c r="DF62" i="28" s="1"/>
  <c r="DG62" i="28" s="1"/>
  <c r="EA44" i="28"/>
  <c r="EB44" i="28" s="1"/>
  <c r="ED44" i="28" s="1"/>
  <c r="EE32" i="28"/>
  <c r="EA11" i="28"/>
  <c r="EB11" i="28" s="1"/>
  <c r="ED11" i="28" s="1"/>
  <c r="DD34" i="28"/>
  <c r="DF34" i="28" s="1"/>
  <c r="DL34" i="28" s="1"/>
  <c r="EA34" i="28"/>
  <c r="EE20" i="28"/>
  <c r="EE18" i="28"/>
  <c r="CU15" i="28"/>
  <c r="DB15" i="28" s="1"/>
  <c r="DW6" i="28"/>
  <c r="CU6" i="28"/>
  <c r="EV6" i="28" s="1"/>
  <c r="DW74" i="28"/>
  <c r="DH58" i="28"/>
  <c r="EA9" i="28"/>
  <c r="EB9" i="28" s="1"/>
  <c r="ED9" i="28" s="1"/>
  <c r="DH62" i="28"/>
  <c r="EA58" i="28"/>
  <c r="EB58" i="28" s="1"/>
  <c r="ED58" i="28" s="1"/>
  <c r="CU44" i="28"/>
  <c r="EW44" i="28" s="1"/>
  <c r="EZ44" i="28" s="1"/>
  <c r="FA44" i="28" s="1"/>
  <c r="EA32" i="28"/>
  <c r="EB32" i="28" s="1"/>
  <c r="ED32" i="28" s="1"/>
  <c r="CU36" i="28"/>
  <c r="EW36" i="28" s="1"/>
  <c r="EZ36" i="28" s="1"/>
  <c r="FA36" i="28" s="1"/>
  <c r="DW20" i="28"/>
  <c r="EA18" i="28"/>
  <c r="EB18" i="28" s="1"/>
  <c r="ED18" i="28" s="1"/>
  <c r="DD9" i="28"/>
  <c r="DF9" i="28" s="1"/>
  <c r="DG9" i="28" s="1"/>
  <c r="DD6" i="28"/>
  <c r="DF6" i="28" s="1"/>
  <c r="DG6" i="28" s="1"/>
  <c r="DL102" i="28"/>
  <c r="DS102" i="28" s="1"/>
  <c r="DT102" i="28" s="1"/>
  <c r="BN108" i="28"/>
  <c r="EK75" i="28"/>
  <c r="EM75" i="28" s="1"/>
  <c r="EE74" i="28"/>
  <c r="DD74" i="28"/>
  <c r="DF74" i="28" s="1"/>
  <c r="DG74" i="28" s="1"/>
  <c r="EM103" i="28"/>
  <c r="EL103" i="28"/>
  <c r="EL73" i="28"/>
  <c r="EL76" i="28"/>
  <c r="EB83" i="28"/>
  <c r="ED83" i="28" s="1"/>
  <c r="DL52" i="28"/>
  <c r="DM52" i="28" s="1"/>
  <c r="DN52" i="28" s="1"/>
  <c r="DH64" i="28"/>
  <c r="DD64" i="28"/>
  <c r="DF64" i="28" s="1"/>
  <c r="EZ85" i="28"/>
  <c r="FA85" i="28" s="1"/>
  <c r="EK99" i="28"/>
  <c r="EM99" i="28" s="1"/>
  <c r="EK95" i="28"/>
  <c r="DL85" i="28"/>
  <c r="DM85" i="28" s="1"/>
  <c r="DL75" i="28"/>
  <c r="DS75" i="28" s="1"/>
  <c r="DT75" i="28" s="1"/>
  <c r="CU62" i="28"/>
  <c r="EV62" i="28" s="1"/>
  <c r="DW98" i="28"/>
  <c r="EK50" i="28"/>
  <c r="EM50" i="28" s="1"/>
  <c r="EK45" i="28"/>
  <c r="EE64" i="28"/>
  <c r="DW46" i="28"/>
  <c r="CU38" i="28"/>
  <c r="EW38" i="28" s="1"/>
  <c r="EZ38" i="28" s="1"/>
  <c r="FA38" i="28" s="1"/>
  <c r="DW38" i="28"/>
  <c r="DZ26" i="28"/>
  <c r="DH54" i="28"/>
  <c r="DH44" i="28"/>
  <c r="DH52" i="28"/>
  <c r="EE43" i="28"/>
  <c r="DH43" i="28"/>
  <c r="EK22" i="28"/>
  <c r="EM22" i="28" s="1"/>
  <c r="DZ14" i="28"/>
  <c r="DZ8" i="28"/>
  <c r="DD15" i="28"/>
  <c r="DF15" i="28" s="1"/>
  <c r="DG15" i="28" s="1"/>
  <c r="DW15" i="28"/>
  <c r="EK34" i="28"/>
  <c r="EK52" i="28"/>
  <c r="EL52" i="28" s="1"/>
  <c r="EK9" i="28"/>
  <c r="EK30" i="28"/>
  <c r="EL30" i="28" s="1"/>
  <c r="EK11" i="28"/>
  <c r="EL11" i="28" s="1"/>
  <c r="EQ82" i="28"/>
  <c r="EK101" i="28"/>
  <c r="DW62" i="28"/>
  <c r="EB60" i="28"/>
  <c r="ED60" i="28" s="1"/>
  <c r="EE98" i="28"/>
  <c r="EA64" i="28"/>
  <c r="EB64" i="28" s="1"/>
  <c r="ED64" i="28" s="1"/>
  <c r="DH46" i="28"/>
  <c r="DD38" i="28"/>
  <c r="DF38" i="28" s="1"/>
  <c r="DL38" i="28" s="1"/>
  <c r="EL25" i="28"/>
  <c r="EK48" i="28"/>
  <c r="EM48" i="28" s="1"/>
  <c r="DW54" i="28"/>
  <c r="DW52" i="28"/>
  <c r="EL12" i="28"/>
  <c r="DW11" i="28"/>
  <c r="DD36" i="28"/>
  <c r="DF36" i="28" s="1"/>
  <c r="DG36" i="28" s="1"/>
  <c r="DW64" i="28"/>
  <c r="EE106" i="28"/>
  <c r="DD106" i="28"/>
  <c r="DF106" i="28" s="1"/>
  <c r="EL106" i="28"/>
  <c r="EM106" i="28"/>
  <c r="S108" i="28"/>
  <c r="EK60" i="28"/>
  <c r="EM60" i="28" s="1"/>
  <c r="EL37" i="28"/>
  <c r="EL43" i="28"/>
  <c r="DH30" i="28"/>
  <c r="CU22" i="28"/>
  <c r="EW22" i="28" s="1"/>
  <c r="EZ22" i="28" s="1"/>
  <c r="FA22" i="28" s="1"/>
  <c r="EA56" i="28"/>
  <c r="EB56" i="28" s="1"/>
  <c r="ED56" i="28" s="1"/>
  <c r="DW32" i="28"/>
  <c r="EL31" i="28"/>
  <c r="EL15" i="28"/>
  <c r="BZ108" i="28"/>
  <c r="EX107" i="28"/>
  <c r="EL16" i="28"/>
  <c r="CU32" i="28"/>
  <c r="EV32" i="28" s="1"/>
  <c r="DH28" i="28"/>
  <c r="DW36" i="28"/>
  <c r="DW18" i="28"/>
  <c r="CU18" i="28"/>
  <c r="EV18" i="28" s="1"/>
  <c r="DH9" i="28"/>
  <c r="CU9" i="28"/>
  <c r="EV9" i="28" s="1"/>
  <c r="DW13" i="28"/>
  <c r="EK6" i="28"/>
  <c r="EK66" i="28"/>
  <c r="DL58" i="28"/>
  <c r="DS58" i="28" s="1"/>
  <c r="DT58" i="28" s="1"/>
  <c r="EL51" i="28"/>
  <c r="CU30" i="28"/>
  <c r="EV30" i="28" s="1"/>
  <c r="DH22" i="28"/>
  <c r="EQ57" i="28"/>
  <c r="EK49" i="28"/>
  <c r="EM49" i="28" s="1"/>
  <c r="DZ6" i="28"/>
  <c r="EB6" i="28" s="1"/>
  <c r="ED6" i="28" s="1"/>
  <c r="EQ19" i="28"/>
  <c r="DW28" i="28"/>
  <c r="EE36" i="28"/>
  <c r="DD13" i="28"/>
  <c r="DF13" i="28" s="1"/>
  <c r="EL39" i="28"/>
  <c r="EM39" i="28"/>
  <c r="DD56" i="28"/>
  <c r="DF56" i="28" s="1"/>
  <c r="DL56" i="28" s="1"/>
  <c r="DW56" i="28"/>
  <c r="DH56" i="28"/>
  <c r="EL56" i="28"/>
  <c r="EM56" i="28"/>
  <c r="EO107" i="28"/>
  <c r="ER107" i="28"/>
  <c r="DK107" i="28"/>
  <c r="EL53" i="28"/>
  <c r="EQ47" i="28"/>
  <c r="EP107" i="28"/>
  <c r="EK47" i="28"/>
  <c r="EH107" i="28"/>
  <c r="AI108" i="28"/>
  <c r="V108" i="28"/>
  <c r="X108" i="28"/>
  <c r="BB108" i="28"/>
  <c r="AA108" i="28"/>
  <c r="EL33" i="28"/>
  <c r="BI109" i="28"/>
  <c r="S109" i="28"/>
  <c r="EL20" i="28"/>
  <c r="EM20" i="28"/>
  <c r="DW17" i="28"/>
  <c r="DH17" i="28"/>
  <c r="R109" i="28"/>
  <c r="BV109" i="28"/>
  <c r="DH11" i="28"/>
  <c r="CU11" i="28"/>
  <c r="EW11" i="28" s="1"/>
  <c r="EZ11" i="28" s="1"/>
  <c r="FA11" i="28" s="1"/>
  <c r="DD11" i="28"/>
  <c r="DF11" i="28" s="1"/>
  <c r="DG11" i="28" s="1"/>
  <c r="BS109" i="28"/>
  <c r="CL109" i="28"/>
  <c r="O109" i="28"/>
  <c r="AU109" i="28"/>
  <c r="CH109" i="28"/>
  <c r="CO109" i="28"/>
  <c r="AD109" i="28"/>
  <c r="BB109" i="28"/>
  <c r="BU109" i="28"/>
  <c r="AH109" i="28"/>
  <c r="CA109" i="28"/>
  <c r="BZ109" i="28"/>
  <c r="BJ109" i="28"/>
  <c r="BY109" i="28"/>
  <c r="AM109" i="28"/>
  <c r="N109" i="28"/>
  <c r="BN109" i="28"/>
  <c r="AX109" i="28"/>
  <c r="CK109" i="28"/>
  <c r="BE109" i="28"/>
  <c r="AA109" i="28"/>
  <c r="AL109" i="28"/>
  <c r="V109" i="28"/>
  <c r="CI109" i="28"/>
  <c r="BC109" i="28"/>
  <c r="CP109" i="28"/>
  <c r="CC109" i="28"/>
  <c r="BM109" i="28"/>
  <c r="AW109" i="28"/>
  <c r="AE109" i="28"/>
  <c r="Z109" i="28"/>
  <c r="CQ109" i="28"/>
  <c r="BK109" i="28"/>
  <c r="CD109" i="28"/>
  <c r="BR109" i="28"/>
  <c r="BF109" i="28"/>
  <c r="CG109" i="28"/>
  <c r="BQ109" i="28"/>
  <c r="BA109" i="28"/>
  <c r="AI109" i="28"/>
  <c r="DW53" i="28"/>
  <c r="CU53" i="28"/>
  <c r="EE53" i="28"/>
  <c r="DD53" i="28"/>
  <c r="DF53" i="28" s="1"/>
  <c r="EA53" i="28"/>
  <c r="DH53" i="28"/>
  <c r="EU106" i="28"/>
  <c r="DZ106" i="28"/>
  <c r="EB106" i="28" s="1"/>
  <c r="ED106" i="28" s="1"/>
  <c r="EE103" i="28"/>
  <c r="EA103" i="28"/>
  <c r="DD103" i="28"/>
  <c r="DF103" i="28" s="1"/>
  <c r="DH103" i="28"/>
  <c r="DW103" i="28"/>
  <c r="CU103" i="28"/>
  <c r="EU103" i="28"/>
  <c r="DZ103" i="28"/>
  <c r="DG96" i="28"/>
  <c r="DL96" i="28"/>
  <c r="EV82" i="28"/>
  <c r="EE71" i="28"/>
  <c r="DH71" i="28"/>
  <c r="DD71" i="28"/>
  <c r="DF71" i="28" s="1"/>
  <c r="EA71" i="28"/>
  <c r="EB71" i="28" s="1"/>
  <c r="ED71" i="28" s="1"/>
  <c r="DW71" i="28"/>
  <c r="CU71" i="28"/>
  <c r="EU74" i="28"/>
  <c r="DZ74" i="28"/>
  <c r="EB74" i="28" s="1"/>
  <c r="ED74" i="28" s="1"/>
  <c r="EM64" i="28"/>
  <c r="EL64" i="28"/>
  <c r="DS85" i="28"/>
  <c r="DT85" i="28" s="1"/>
  <c r="DW51" i="28"/>
  <c r="DH51" i="28"/>
  <c r="CU51" i="28"/>
  <c r="EE51" i="28"/>
  <c r="DD51" i="28"/>
  <c r="DF51" i="28" s="1"/>
  <c r="EA51" i="28"/>
  <c r="EU41" i="28"/>
  <c r="DZ41" i="28"/>
  <c r="DB69" i="28"/>
  <c r="EU43" i="28"/>
  <c r="DZ43" i="28"/>
  <c r="EB43" i="28" s="1"/>
  <c r="ED43" i="28" s="1"/>
  <c r="EU55" i="28"/>
  <c r="DZ55" i="28"/>
  <c r="EV39" i="28"/>
  <c r="DB39" i="28"/>
  <c r="EW39" i="28"/>
  <c r="EZ39" i="28" s="1"/>
  <c r="FA39" i="28" s="1"/>
  <c r="DW31" i="28"/>
  <c r="DH31" i="28"/>
  <c r="EE31" i="28"/>
  <c r="EA31" i="28"/>
  <c r="CU31" i="28"/>
  <c r="DD31" i="28"/>
  <c r="DF31" i="28" s="1"/>
  <c r="DW5" i="28"/>
  <c r="EA5" i="28"/>
  <c r="CU5" i="28"/>
  <c r="EE5" i="28"/>
  <c r="DH5" i="28"/>
  <c r="DD5" i="28"/>
  <c r="EB22" i="28"/>
  <c r="ED22" i="28" s="1"/>
  <c r="DZ38" i="28"/>
  <c r="EB38" i="28" s="1"/>
  <c r="ED38" i="28" s="1"/>
  <c r="EU38" i="28"/>
  <c r="DW10" i="28"/>
  <c r="DH10" i="28"/>
  <c r="CU10" i="28"/>
  <c r="DD10" i="28"/>
  <c r="DF10" i="28" s="1"/>
  <c r="EA10" i="28"/>
  <c r="EB10" i="28" s="1"/>
  <c r="ED10" i="28" s="1"/>
  <c r="EE10" i="28"/>
  <c r="EU70" i="28"/>
  <c r="DZ70" i="28"/>
  <c r="DW21" i="28"/>
  <c r="EA21" i="28"/>
  <c r="EE21" i="28"/>
  <c r="DH21" i="28"/>
  <c r="CU21" i="28"/>
  <c r="DD21" i="28"/>
  <c r="DF21" i="28" s="1"/>
  <c r="CO108" i="28"/>
  <c r="CG108" i="28"/>
  <c r="BY108" i="28"/>
  <c r="BQ108" i="28"/>
  <c r="BI108" i="28"/>
  <c r="BA108" i="28"/>
  <c r="CN108" i="28"/>
  <c r="CF108" i="28"/>
  <c r="BX108" i="28"/>
  <c r="BP108" i="28"/>
  <c r="BH108" i="28"/>
  <c r="AZ108" i="28"/>
  <c r="AK108" i="28"/>
  <c r="AC108" i="28"/>
  <c r="U108" i="28"/>
  <c r="M108" i="28"/>
  <c r="CC108" i="28"/>
  <c r="BM108" i="28"/>
  <c r="AW108" i="28"/>
  <c r="Z108" i="28"/>
  <c r="CK108" i="28"/>
  <c r="BT108" i="28"/>
  <c r="AV108" i="28"/>
  <c r="R108" i="28"/>
  <c r="CJ108" i="28"/>
  <c r="BL108" i="28"/>
  <c r="AH108" i="28"/>
  <c r="Q108" i="28"/>
  <c r="CB108" i="28"/>
  <c r="AG108" i="28"/>
  <c r="BE108" i="28"/>
  <c r="Y108" i="28"/>
  <c r="BU108" i="28"/>
  <c r="CR108" i="28"/>
  <c r="BD108" i="28"/>
  <c r="EE81" i="28"/>
  <c r="DH81" i="28"/>
  <c r="DD81" i="28"/>
  <c r="DF81" i="28" s="1"/>
  <c r="EA81" i="28"/>
  <c r="EB81" i="28" s="1"/>
  <c r="ED81" i="28" s="1"/>
  <c r="DW81" i="28"/>
  <c r="CU81" i="28"/>
  <c r="DW25" i="28"/>
  <c r="CU25" i="28"/>
  <c r="EE25" i="28"/>
  <c r="DD25" i="28"/>
  <c r="DF25" i="28" s="1"/>
  <c r="EA25" i="28"/>
  <c r="DH25" i="28"/>
  <c r="EV34" i="28"/>
  <c r="EW34" i="28"/>
  <c r="EZ34" i="28" s="1"/>
  <c r="FA34" i="28" s="1"/>
  <c r="DB34" i="28"/>
  <c r="EV20" i="28"/>
  <c r="EW20" i="28"/>
  <c r="EZ20" i="28" s="1"/>
  <c r="FA20" i="28" s="1"/>
  <c r="DB20" i="28"/>
  <c r="N108" i="28"/>
  <c r="EE97" i="28"/>
  <c r="DD97" i="28"/>
  <c r="DF97" i="28" s="1"/>
  <c r="DW97" i="28"/>
  <c r="DH97" i="28"/>
  <c r="EA97" i="28"/>
  <c r="CU97" i="28"/>
  <c r="CD108" i="28"/>
  <c r="BR108" i="28"/>
  <c r="BF108" i="28"/>
  <c r="AJ108" i="28"/>
  <c r="EU95" i="28"/>
  <c r="DZ95" i="28"/>
  <c r="DZ80" i="28"/>
  <c r="EU80" i="28"/>
  <c r="EU68" i="28"/>
  <c r="DZ68" i="28"/>
  <c r="EL62" i="28"/>
  <c r="DW76" i="28"/>
  <c r="EE76" i="28"/>
  <c r="DD76" i="28"/>
  <c r="DF76" i="28" s="1"/>
  <c r="EA76" i="28"/>
  <c r="CU76" i="28"/>
  <c r="DH76" i="28"/>
  <c r="EE73" i="28"/>
  <c r="DH73" i="28"/>
  <c r="DD73" i="28"/>
  <c r="DF73" i="28" s="1"/>
  <c r="EA73" i="28"/>
  <c r="EB73" i="28" s="1"/>
  <c r="ED73" i="28" s="1"/>
  <c r="DW73" i="28"/>
  <c r="CU73" i="28"/>
  <c r="DZ53" i="28"/>
  <c r="EU53" i="28"/>
  <c r="EU49" i="28"/>
  <c r="DZ49" i="28"/>
  <c r="EE37" i="28"/>
  <c r="DD37" i="28"/>
  <c r="DF37" i="28" s="1"/>
  <c r="DH37" i="28"/>
  <c r="CU37" i="28"/>
  <c r="EA37" i="28"/>
  <c r="EB37" i="28" s="1"/>
  <c r="ED37" i="28" s="1"/>
  <c r="DW37" i="28"/>
  <c r="EV75" i="28"/>
  <c r="EW75" i="28"/>
  <c r="EZ75" i="28" s="1"/>
  <c r="FA75" i="28" s="1"/>
  <c r="DB75" i="28"/>
  <c r="DW68" i="28"/>
  <c r="EE68" i="28"/>
  <c r="DD68" i="28"/>
  <c r="DF68" i="28" s="1"/>
  <c r="EA68" i="28"/>
  <c r="CU68" i="28"/>
  <c r="DH68" i="28"/>
  <c r="EU33" i="28"/>
  <c r="DZ33" i="28"/>
  <c r="DW23" i="28"/>
  <c r="DH23" i="28"/>
  <c r="EE23" i="28"/>
  <c r="CU23" i="28"/>
  <c r="DD23" i="28"/>
  <c r="DF23" i="28" s="1"/>
  <c r="EA23" i="28"/>
  <c r="EM9" i="28"/>
  <c r="EL9" i="28"/>
  <c r="EB96" i="28"/>
  <c r="ED96" i="28" s="1"/>
  <c r="EU78" i="28"/>
  <c r="DZ78" i="28"/>
  <c r="DW59" i="28"/>
  <c r="DH59" i="28"/>
  <c r="CU59" i="28"/>
  <c r="EA59" i="28"/>
  <c r="EB59" i="28" s="1"/>
  <c r="ED59" i="28" s="1"/>
  <c r="EE59" i="28"/>
  <c r="DD59" i="28"/>
  <c r="DF59" i="28" s="1"/>
  <c r="DW27" i="28"/>
  <c r="EE27" i="28"/>
  <c r="DD27" i="28"/>
  <c r="DF27" i="28" s="1"/>
  <c r="DH27" i="28"/>
  <c r="CU27" i="28"/>
  <c r="EA27" i="28"/>
  <c r="DW41" i="28"/>
  <c r="EA41" i="28"/>
  <c r="CU41" i="28"/>
  <c r="EE41" i="28"/>
  <c r="DH41" i="28"/>
  <c r="DD41" i="28"/>
  <c r="DF41" i="28" s="1"/>
  <c r="EK29" i="28"/>
  <c r="EU5" i="28"/>
  <c r="DZ5" i="28"/>
  <c r="EU97" i="28"/>
  <c r="DZ97" i="28"/>
  <c r="EQ27" i="28"/>
  <c r="EQ5" i="28"/>
  <c r="AL108" i="28"/>
  <c r="EV106" i="28"/>
  <c r="DB106" i="28"/>
  <c r="EL104" i="28"/>
  <c r="EM104" i="28"/>
  <c r="EE99" i="28"/>
  <c r="DD99" i="28"/>
  <c r="DF99" i="28" s="1"/>
  <c r="DW99" i="28"/>
  <c r="DH99" i="28"/>
  <c r="EA99" i="28"/>
  <c r="EB99" i="28" s="1"/>
  <c r="ED99" i="28" s="1"/>
  <c r="CU99" i="28"/>
  <c r="EM83" i="28"/>
  <c r="EL83" i="28"/>
  <c r="CH108" i="28"/>
  <c r="BV108" i="28"/>
  <c r="AF108" i="28"/>
  <c r="P108" i="28"/>
  <c r="EM96" i="28"/>
  <c r="EL96" i="28"/>
  <c r="DW78" i="28"/>
  <c r="DH78" i="28"/>
  <c r="CU78" i="28"/>
  <c r="EA78" i="28"/>
  <c r="DD78" i="28"/>
  <c r="DF78" i="28" s="1"/>
  <c r="EE78" i="28"/>
  <c r="DZ72" i="28"/>
  <c r="EU72" i="28"/>
  <c r="AM108" i="28"/>
  <c r="AE108" i="28"/>
  <c r="W108" i="28"/>
  <c r="O108" i="28"/>
  <c r="EV85" i="28"/>
  <c r="DB85" i="28"/>
  <c r="EK78" i="28"/>
  <c r="DS100" i="28"/>
  <c r="DT100" i="28" s="1"/>
  <c r="EL80" i="28"/>
  <c r="EL68" i="28"/>
  <c r="EW82" i="28"/>
  <c r="EZ82" i="28" s="1"/>
  <c r="FA82" i="28" s="1"/>
  <c r="EV83" i="28"/>
  <c r="DB83" i="28"/>
  <c r="EW83" i="28"/>
  <c r="EZ83" i="28" s="1"/>
  <c r="FA83" i="28" s="1"/>
  <c r="EL79" i="28"/>
  <c r="DL77" i="28"/>
  <c r="EL63" i="28"/>
  <c r="EL59" i="28"/>
  <c r="EL71" i="28"/>
  <c r="EK57" i="28"/>
  <c r="EL48" i="28"/>
  <c r="EM36" i="28"/>
  <c r="EL36" i="28"/>
  <c r="EV64" i="28"/>
  <c r="DB64" i="28"/>
  <c r="EW64" i="28"/>
  <c r="EZ64" i="28" s="1"/>
  <c r="FA64" i="28" s="1"/>
  <c r="EM54" i="28"/>
  <c r="EL54" i="28"/>
  <c r="DZ25" i="28"/>
  <c r="EU25" i="28"/>
  <c r="EE48" i="28"/>
  <c r="DH48" i="28"/>
  <c r="DD48" i="28"/>
  <c r="DF48" i="28" s="1"/>
  <c r="EA48" i="28"/>
  <c r="DW48" i="28"/>
  <c r="CU48" i="28"/>
  <c r="EU101" i="28"/>
  <c r="DZ101" i="28"/>
  <c r="EL35" i="28"/>
  <c r="DW14" i="28"/>
  <c r="DH14" i="28"/>
  <c r="CU14" i="28"/>
  <c r="DD14" i="28"/>
  <c r="DF14" i="28" s="1"/>
  <c r="EA14" i="28"/>
  <c r="EE14" i="28"/>
  <c r="EQ55" i="28"/>
  <c r="DW29" i="28"/>
  <c r="EA29" i="28"/>
  <c r="CU29" i="28"/>
  <c r="EE29" i="28"/>
  <c r="DH29" i="28"/>
  <c r="DD29" i="28"/>
  <c r="DF29" i="28" s="1"/>
  <c r="EE16" i="28"/>
  <c r="DH16" i="28"/>
  <c r="DD16" i="28"/>
  <c r="DF16" i="28" s="1"/>
  <c r="DW16" i="28"/>
  <c r="EA16" i="28"/>
  <c r="CU16" i="28"/>
  <c r="EK7" i="28"/>
  <c r="DW35" i="28"/>
  <c r="EE35" i="28"/>
  <c r="DD35" i="28"/>
  <c r="DF35" i="28" s="1"/>
  <c r="EA35" i="28"/>
  <c r="DH35" i="28"/>
  <c r="CU35" i="28"/>
  <c r="EQ29" i="28"/>
  <c r="EU57" i="28"/>
  <c r="DZ57" i="28"/>
  <c r="DW8" i="28"/>
  <c r="DH8" i="28"/>
  <c r="CU8" i="28"/>
  <c r="EE8" i="28"/>
  <c r="DD8" i="28"/>
  <c r="DF8" i="28" s="1"/>
  <c r="EA8" i="28"/>
  <c r="DG26" i="28"/>
  <c r="DL26" i="28"/>
  <c r="EW18" i="28"/>
  <c r="EZ18" i="28" s="1"/>
  <c r="FA18" i="28" s="1"/>
  <c r="DB18" i="28"/>
  <c r="DB13" i="28"/>
  <c r="DZ104" i="28"/>
  <c r="EU104" i="28"/>
  <c r="EE95" i="28"/>
  <c r="DD95" i="28"/>
  <c r="DF95" i="28" s="1"/>
  <c r="DW95" i="28"/>
  <c r="DH95" i="28"/>
  <c r="EA95" i="28"/>
  <c r="CU95" i="28"/>
  <c r="EU17" i="28"/>
  <c r="DZ17" i="28"/>
  <c r="EB17" i="28" s="1"/>
  <c r="ED17" i="28" s="1"/>
  <c r="EK5" i="28"/>
  <c r="EU29" i="28"/>
  <c r="DZ29" i="28"/>
  <c r="DW19" i="28"/>
  <c r="EE19" i="28"/>
  <c r="DD19" i="28"/>
  <c r="DF19" i="28" s="1"/>
  <c r="CU19" i="28"/>
  <c r="EA19" i="28"/>
  <c r="DH19" i="28"/>
  <c r="DW55" i="28"/>
  <c r="EE55" i="28"/>
  <c r="DD55" i="28"/>
  <c r="DF55" i="28" s="1"/>
  <c r="EA55" i="28"/>
  <c r="CU55" i="28"/>
  <c r="DH55" i="28"/>
  <c r="CM108" i="28"/>
  <c r="CE108" i="28"/>
  <c r="BW108" i="28"/>
  <c r="BO108" i="28"/>
  <c r="BG108" i="28"/>
  <c r="AY108" i="28"/>
  <c r="EE105" i="28"/>
  <c r="DH105" i="28"/>
  <c r="DD105" i="28"/>
  <c r="DF105" i="28" s="1"/>
  <c r="EA105" i="28"/>
  <c r="DW105" i="28"/>
  <c r="CU105" i="28"/>
  <c r="CP108" i="28"/>
  <c r="T108" i="28"/>
  <c r="DW84" i="28"/>
  <c r="DH84" i="28"/>
  <c r="CU84" i="28"/>
  <c r="EA84" i="28"/>
  <c r="EB84" i="28" s="1"/>
  <c r="ED84" i="28" s="1"/>
  <c r="DD84" i="28"/>
  <c r="DF84" i="28" s="1"/>
  <c r="EE84" i="28"/>
  <c r="EU82" i="28"/>
  <c r="DZ82" i="28"/>
  <c r="EB82" i="28" s="1"/>
  <c r="ED82" i="28" s="1"/>
  <c r="DW72" i="28"/>
  <c r="EA72" i="28"/>
  <c r="EE72" i="28"/>
  <c r="DD72" i="28"/>
  <c r="DF72" i="28" s="1"/>
  <c r="CU72" i="28"/>
  <c r="DH72" i="28"/>
  <c r="EE65" i="28"/>
  <c r="EA65" i="28"/>
  <c r="EB65" i="28" s="1"/>
  <c r="ED65" i="28" s="1"/>
  <c r="DH65" i="28"/>
  <c r="CU65" i="28"/>
  <c r="DW65" i="28"/>
  <c r="DD65" i="28"/>
  <c r="DF65" i="28" s="1"/>
  <c r="DW61" i="28"/>
  <c r="DH61" i="28"/>
  <c r="CU61" i="28"/>
  <c r="EA61" i="28"/>
  <c r="EB61" i="28" s="1"/>
  <c r="ED61" i="28" s="1"/>
  <c r="EE61" i="28"/>
  <c r="DD61" i="28"/>
  <c r="DF61" i="28" s="1"/>
  <c r="EV52" i="28"/>
  <c r="DB52" i="28"/>
  <c r="EW52" i="28"/>
  <c r="EZ52" i="28" s="1"/>
  <c r="FA52" i="28" s="1"/>
  <c r="EM30" i="28"/>
  <c r="DZ23" i="28"/>
  <c r="EU23" i="28"/>
  <c r="DW47" i="28"/>
  <c r="EE47" i="28"/>
  <c r="DD47" i="28"/>
  <c r="EA47" i="28"/>
  <c r="DH47" i="28"/>
  <c r="CU47" i="28"/>
  <c r="AD108" i="28"/>
  <c r="CQ108" i="28"/>
  <c r="CI108" i="28"/>
  <c r="CA108" i="28"/>
  <c r="BS108" i="28"/>
  <c r="BK108" i="28"/>
  <c r="BC108" i="28"/>
  <c r="AU108" i="28"/>
  <c r="EE101" i="28"/>
  <c r="DD101" i="28"/>
  <c r="DF101" i="28" s="1"/>
  <c r="DW101" i="28"/>
  <c r="DH101" i="28"/>
  <c r="EA101" i="28"/>
  <c r="CU101" i="28"/>
  <c r="CL108" i="28"/>
  <c r="BJ108" i="28"/>
  <c r="AX108" i="28"/>
  <c r="AB108" i="28"/>
  <c r="EM102" i="28"/>
  <c r="EL102" i="28"/>
  <c r="EL85" i="28"/>
  <c r="EK82" i="28"/>
  <c r="EE79" i="28"/>
  <c r="DH79" i="28"/>
  <c r="DD79" i="28"/>
  <c r="DF79" i="28" s="1"/>
  <c r="EA79" i="28"/>
  <c r="EB79" i="28" s="1"/>
  <c r="ED79" i="28" s="1"/>
  <c r="DW79" i="28"/>
  <c r="CU79" i="28"/>
  <c r="DW70" i="28"/>
  <c r="DH70" i="28"/>
  <c r="CU70" i="28"/>
  <c r="EA70" i="28"/>
  <c r="DD70" i="28"/>
  <c r="DF70" i="28" s="1"/>
  <c r="EE70" i="28"/>
  <c r="EU76" i="28"/>
  <c r="DZ76" i="28"/>
  <c r="EB100" i="28"/>
  <c r="ED100" i="28" s="1"/>
  <c r="DZ66" i="28"/>
  <c r="EU66" i="28"/>
  <c r="DL82" i="28"/>
  <c r="DG82" i="28"/>
  <c r="DW80" i="28"/>
  <c r="EA80" i="28"/>
  <c r="EE80" i="28"/>
  <c r="DD80" i="28"/>
  <c r="DF80" i="28" s="1"/>
  <c r="CU80" i="28"/>
  <c r="DH80" i="28"/>
  <c r="EM101" i="28"/>
  <c r="EL101" i="28"/>
  <c r="EM65" i="28"/>
  <c r="EL65" i="28"/>
  <c r="EL97" i="28"/>
  <c r="DW57" i="28"/>
  <c r="DH57" i="28"/>
  <c r="EA57" i="28"/>
  <c r="CU57" i="28"/>
  <c r="DD57" i="28"/>
  <c r="DF57" i="28" s="1"/>
  <c r="EE57" i="28"/>
  <c r="DZ51" i="28"/>
  <c r="EU51" i="28"/>
  <c r="EV67" i="28"/>
  <c r="DB67" i="28"/>
  <c r="EU47" i="28"/>
  <c r="DZ47" i="28"/>
  <c r="EE42" i="28"/>
  <c r="DH42" i="28"/>
  <c r="DD42" i="28"/>
  <c r="DF42" i="28" s="1"/>
  <c r="EA42" i="28"/>
  <c r="DW42" i="28"/>
  <c r="CU42" i="28"/>
  <c r="EM32" i="28"/>
  <c r="EL32" i="28"/>
  <c r="EA7" i="28"/>
  <c r="DH7" i="28"/>
  <c r="DW7" i="28"/>
  <c r="CU7" i="28"/>
  <c r="EE7" i="28"/>
  <c r="DD7" i="28"/>
  <c r="DF7" i="28" s="1"/>
  <c r="DW66" i="28"/>
  <c r="DH66" i="28"/>
  <c r="CU66" i="28"/>
  <c r="EE66" i="28"/>
  <c r="DD66" i="28"/>
  <c r="DF66" i="28" s="1"/>
  <c r="EA66" i="28"/>
  <c r="EU21" i="28"/>
  <c r="DZ21" i="28"/>
  <c r="EV54" i="28"/>
  <c r="EW54" i="28"/>
  <c r="EZ54" i="28" s="1"/>
  <c r="FA54" i="28" s="1"/>
  <c r="DB54" i="28"/>
  <c r="DW49" i="28"/>
  <c r="EA49" i="28"/>
  <c r="DH49" i="28"/>
  <c r="CU49" i="28"/>
  <c r="DD49" i="28"/>
  <c r="DF49" i="28" s="1"/>
  <c r="EE49" i="28"/>
  <c r="DZ45" i="28"/>
  <c r="EB45" i="28" s="1"/>
  <c r="ED45" i="28" s="1"/>
  <c r="EU45" i="28"/>
  <c r="EU35" i="28"/>
  <c r="DZ35" i="28"/>
  <c r="EV24" i="28"/>
  <c r="EW24" i="28"/>
  <c r="EZ24" i="28" s="1"/>
  <c r="FA24" i="28" s="1"/>
  <c r="DB24" i="28"/>
  <c r="EL42" i="28"/>
  <c r="EE40" i="28"/>
  <c r="DW40" i="28"/>
  <c r="EA40" i="28"/>
  <c r="EB40" i="28" s="1"/>
  <c r="ED40" i="28" s="1"/>
  <c r="DH40" i="28"/>
  <c r="CU40" i="28"/>
  <c r="DD40" i="28"/>
  <c r="DF40" i="28" s="1"/>
  <c r="DZ31" i="28"/>
  <c r="EU31" i="28"/>
  <c r="EL23" i="28"/>
  <c r="EK21" i="28"/>
  <c r="DL17" i="28"/>
  <c r="EU7" i="28"/>
  <c r="DZ7" i="28"/>
  <c r="DW63" i="28"/>
  <c r="DH63" i="28"/>
  <c r="CU63" i="28"/>
  <c r="EA63" i="28"/>
  <c r="EE63" i="28"/>
  <c r="DD63" i="28"/>
  <c r="DF63" i="28" s="1"/>
  <c r="EK19" i="28"/>
  <c r="CY107" i="28"/>
  <c r="CX107" i="28"/>
  <c r="CR109" i="28"/>
  <c r="CJ109" i="28"/>
  <c r="CB109" i="28"/>
  <c r="BT109" i="28"/>
  <c r="BL109" i="28"/>
  <c r="BD109" i="28"/>
  <c r="AV109" i="28"/>
  <c r="AG109" i="28"/>
  <c r="Y109" i="28"/>
  <c r="Q109" i="28"/>
  <c r="DA107" i="28"/>
  <c r="AF109" i="28"/>
  <c r="X109" i="28"/>
  <c r="P109" i="28"/>
  <c r="CZ107" i="28"/>
  <c r="CF109" i="28"/>
  <c r="BP109" i="28"/>
  <c r="AZ109" i="28"/>
  <c r="AC109" i="28"/>
  <c r="M109" i="28"/>
  <c r="BX109" i="28"/>
  <c r="BG109" i="28"/>
  <c r="AB109" i="28"/>
  <c r="CN109" i="28"/>
  <c r="BW109" i="28"/>
  <c r="AY109" i="28"/>
  <c r="U109" i="28"/>
  <c r="CW107" i="28"/>
  <c r="CM109" i="28"/>
  <c r="AK109" i="28"/>
  <c r="BO109" i="28"/>
  <c r="T109" i="28"/>
  <c r="AJ109" i="28"/>
  <c r="CE109" i="28"/>
  <c r="BH109" i="28"/>
  <c r="EK55" i="28"/>
  <c r="DW33" i="28"/>
  <c r="CU33" i="28"/>
  <c r="EE33" i="28"/>
  <c r="DD33" i="28"/>
  <c r="DF33" i="28" s="1"/>
  <c r="EA33" i="28"/>
  <c r="DH33" i="28"/>
  <c r="DZ27" i="28"/>
  <c r="EU27" i="28"/>
  <c r="EU19" i="28"/>
  <c r="DZ19" i="28"/>
  <c r="DW12" i="28"/>
  <c r="DH12" i="28"/>
  <c r="CU12" i="28"/>
  <c r="EE12" i="28"/>
  <c r="EA12" i="28"/>
  <c r="EB12" i="28" s="1"/>
  <c r="ED12" i="28" s="1"/>
  <c r="DD12" i="28"/>
  <c r="DF12" i="28" s="1"/>
  <c r="EV28" i="28"/>
  <c r="EW28" i="28"/>
  <c r="EZ28" i="28" s="1"/>
  <c r="FA28" i="28" s="1"/>
  <c r="DB28" i="28"/>
  <c r="DL6" i="28" l="1"/>
  <c r="DM6" i="28" s="1"/>
  <c r="EB30" i="28"/>
  <c r="ED30" i="28" s="1"/>
  <c r="EL22" i="28"/>
  <c r="EV96" i="28"/>
  <c r="DL60" i="28"/>
  <c r="DS60" i="28" s="1"/>
  <c r="DT60" i="28" s="1"/>
  <c r="DG39" i="28"/>
  <c r="EL18" i="28"/>
  <c r="EL13" i="28"/>
  <c r="DG34" i="28"/>
  <c r="EV38" i="28"/>
  <c r="DL83" i="28"/>
  <c r="DS83" i="28" s="1"/>
  <c r="DT83" i="28" s="1"/>
  <c r="DB96" i="28"/>
  <c r="DB44" i="28"/>
  <c r="EL70" i="28"/>
  <c r="EL84" i="28"/>
  <c r="EW60" i="28"/>
  <c r="EZ60" i="28" s="1"/>
  <c r="FA60" i="28" s="1"/>
  <c r="EB16" i="28"/>
  <c r="ED16" i="28" s="1"/>
  <c r="EV17" i="28"/>
  <c r="DB60" i="28"/>
  <c r="EM24" i="28"/>
  <c r="EB26" i="28"/>
  <c r="ED26" i="28" s="1"/>
  <c r="EB34" i="28"/>
  <c r="ED34" i="28" s="1"/>
  <c r="DB32" i="28"/>
  <c r="EW32" i="28"/>
  <c r="EZ32" i="28" s="1"/>
  <c r="FA32" i="28" s="1"/>
  <c r="DG69" i="28"/>
  <c r="DB77" i="28"/>
  <c r="EL49" i="28"/>
  <c r="EV104" i="28"/>
  <c r="EV58" i="28"/>
  <c r="EV44" i="28"/>
  <c r="DL46" i="28"/>
  <c r="DS46" i="28" s="1"/>
  <c r="DT46" i="28" s="1"/>
  <c r="DL50" i="28"/>
  <c r="DS50" i="28" s="1"/>
  <c r="DT50" i="28" s="1"/>
  <c r="DL62" i="28"/>
  <c r="DM62" i="28" s="1"/>
  <c r="DL104" i="28"/>
  <c r="EM58" i="28"/>
  <c r="EV100" i="28"/>
  <c r="EB105" i="28"/>
  <c r="ED105" i="28" s="1"/>
  <c r="DB43" i="28"/>
  <c r="EB104" i="28"/>
  <c r="ED104" i="28" s="1"/>
  <c r="EL27" i="28"/>
  <c r="DG43" i="28"/>
  <c r="DB104" i="28"/>
  <c r="DB74" i="28"/>
  <c r="EV15" i="28"/>
  <c r="DL32" i="28"/>
  <c r="DS32" i="28" s="1"/>
  <c r="DT32" i="28" s="1"/>
  <c r="EB52" i="28"/>
  <c r="ED52" i="28" s="1"/>
  <c r="EB62" i="28"/>
  <c r="ED62" i="28" s="1"/>
  <c r="EW15" i="28"/>
  <c r="EZ15" i="28" s="1"/>
  <c r="FA15" i="28" s="1"/>
  <c r="DB100" i="28"/>
  <c r="EV43" i="28"/>
  <c r="EV74" i="28"/>
  <c r="DL24" i="28"/>
  <c r="DS24" i="28" s="1"/>
  <c r="DT24" i="28" s="1"/>
  <c r="EL10" i="28"/>
  <c r="EB63" i="28"/>
  <c r="ED63" i="28" s="1"/>
  <c r="DL67" i="28"/>
  <c r="DM67" i="28" s="1"/>
  <c r="DN67" i="28" s="1"/>
  <c r="DL44" i="28"/>
  <c r="DS44" i="28" s="1"/>
  <c r="DT44" i="28" s="1"/>
  <c r="EB42" i="28"/>
  <c r="ED42" i="28" s="1"/>
  <c r="EM52" i="28"/>
  <c r="EL38" i="28"/>
  <c r="EV11" i="28"/>
  <c r="EV50" i="28"/>
  <c r="DL54" i="28"/>
  <c r="DM54" i="28" s="1"/>
  <c r="EV56" i="28"/>
  <c r="EW69" i="28"/>
  <c r="EZ69" i="28" s="1"/>
  <c r="FA69" i="28" s="1"/>
  <c r="EM100" i="28"/>
  <c r="EV36" i="28"/>
  <c r="EB103" i="28"/>
  <c r="ED103" i="28" s="1"/>
  <c r="EB21" i="28"/>
  <c r="ED21" i="28" s="1"/>
  <c r="DB17" i="28"/>
  <c r="DG56" i="28"/>
  <c r="DB11" i="28"/>
  <c r="EB8" i="28"/>
  <c r="ED8" i="28" s="1"/>
  <c r="EV45" i="28"/>
  <c r="EW56" i="28"/>
  <c r="EZ56" i="28" s="1"/>
  <c r="FA56" i="28" s="1"/>
  <c r="DG45" i="28"/>
  <c r="EL14" i="28"/>
  <c r="DG18" i="28"/>
  <c r="EM98" i="28"/>
  <c r="EV13" i="28"/>
  <c r="EW50" i="28"/>
  <c r="EZ50" i="28" s="1"/>
  <c r="FA50" i="28" s="1"/>
  <c r="EV26" i="28"/>
  <c r="DG98" i="28"/>
  <c r="EV102" i="28"/>
  <c r="EW77" i="28"/>
  <c r="EZ77" i="28" s="1"/>
  <c r="FA77" i="28" s="1"/>
  <c r="DB45" i="28"/>
  <c r="DB26" i="28"/>
  <c r="EV98" i="28"/>
  <c r="DG28" i="28"/>
  <c r="DL30" i="28"/>
  <c r="DS30" i="28" s="1"/>
  <c r="DT30" i="28" s="1"/>
  <c r="EB48" i="28"/>
  <c r="ED48" i="28" s="1"/>
  <c r="DB102" i="28"/>
  <c r="DM102" i="28"/>
  <c r="DN102" i="28" s="1"/>
  <c r="EL61" i="28"/>
  <c r="EL99" i="28"/>
  <c r="EV46" i="28"/>
  <c r="DB36" i="28"/>
  <c r="EL74" i="28"/>
  <c r="EW98" i="28"/>
  <c r="EZ98" i="28" s="1"/>
  <c r="FA98" i="28" s="1"/>
  <c r="EB101" i="28"/>
  <c r="ED101" i="28" s="1"/>
  <c r="EL46" i="28"/>
  <c r="DB58" i="28"/>
  <c r="DB62" i="28"/>
  <c r="DL20" i="28"/>
  <c r="DM20" i="28" s="1"/>
  <c r="DN20" i="28" s="1"/>
  <c r="EW46" i="28"/>
  <c r="EZ46" i="28" s="1"/>
  <c r="FA46" i="28" s="1"/>
  <c r="DL22" i="28"/>
  <c r="DM22" i="28" s="1"/>
  <c r="DL9" i="28"/>
  <c r="DM9" i="28" s="1"/>
  <c r="EL8" i="28"/>
  <c r="DG38" i="28"/>
  <c r="EB76" i="28"/>
  <c r="ED76" i="28" s="1"/>
  <c r="DB6" i="28"/>
  <c r="EB29" i="28"/>
  <c r="ED29" i="28" s="1"/>
  <c r="EW9" i="28"/>
  <c r="EZ9" i="28" s="1"/>
  <c r="FA9" i="28" s="1"/>
  <c r="DM60" i="28"/>
  <c r="EW6" i="28"/>
  <c r="EZ6" i="28" s="1"/>
  <c r="FA6" i="28" s="1"/>
  <c r="EW30" i="28"/>
  <c r="EZ30" i="28" s="1"/>
  <c r="FA30" i="28" s="1"/>
  <c r="DL15" i="28"/>
  <c r="DM15" i="28" s="1"/>
  <c r="DN15" i="28" s="1"/>
  <c r="EW62" i="28"/>
  <c r="EZ62" i="28" s="1"/>
  <c r="FA62" i="28" s="1"/>
  <c r="DB9" i="28"/>
  <c r="DL74" i="28"/>
  <c r="DM74" i="28" s="1"/>
  <c r="DN74" i="28" s="1"/>
  <c r="DL36" i="28"/>
  <c r="DM58" i="28"/>
  <c r="DN58" i="28" s="1"/>
  <c r="DS52" i="28"/>
  <c r="DT52" i="28" s="1"/>
  <c r="DS6" i="28"/>
  <c r="DT6" i="28" s="1"/>
  <c r="EL75" i="28"/>
  <c r="DL106" i="28"/>
  <c r="DG106" i="28"/>
  <c r="EM34" i="28"/>
  <c r="EL34" i="28"/>
  <c r="EM45" i="28"/>
  <c r="EL45" i="28"/>
  <c r="EB51" i="28"/>
  <c r="ED51" i="28" s="1"/>
  <c r="DG64" i="28"/>
  <c r="DL64" i="28"/>
  <c r="EM11" i="28"/>
  <c r="DB22" i="28"/>
  <c r="DB38" i="28"/>
  <c r="EL60" i="28"/>
  <c r="EB72" i="28"/>
  <c r="ED72" i="28" s="1"/>
  <c r="DM50" i="28"/>
  <c r="DN50" i="28" s="1"/>
  <c r="EB78" i="28"/>
  <c r="ED78" i="28" s="1"/>
  <c r="EL50" i="28"/>
  <c r="DM75" i="28"/>
  <c r="EM95" i="28"/>
  <c r="EL95" i="28"/>
  <c r="EV22" i="28"/>
  <c r="EB14" i="28"/>
  <c r="ED14" i="28" s="1"/>
  <c r="DN6" i="28"/>
  <c r="EB7" i="28"/>
  <c r="ED7" i="28" s="1"/>
  <c r="EB19" i="28"/>
  <c r="ED19" i="28" s="1"/>
  <c r="EB27" i="28"/>
  <c r="ED27" i="28" s="1"/>
  <c r="DB30" i="28"/>
  <c r="DG13" i="28"/>
  <c r="DL13" i="28"/>
  <c r="EM66" i="28"/>
  <c r="EL66" i="28"/>
  <c r="EB66" i="28"/>
  <c r="ED66" i="28" s="1"/>
  <c r="EB5" i="28"/>
  <c r="ED5" i="28" s="1"/>
  <c r="EM6" i="28"/>
  <c r="EL6" i="28"/>
  <c r="EE107" i="28"/>
  <c r="EB57" i="28"/>
  <c r="ED57" i="28" s="1"/>
  <c r="DW107" i="28"/>
  <c r="EB53" i="28"/>
  <c r="ED53" i="28" s="1"/>
  <c r="DH107" i="28"/>
  <c r="DF47" i="28"/>
  <c r="DL47" i="28" s="1"/>
  <c r="DD107" i="28"/>
  <c r="EM47" i="28"/>
  <c r="EK107" i="28"/>
  <c r="EL47" i="28"/>
  <c r="EB33" i="28"/>
  <c r="ED33" i="28" s="1"/>
  <c r="EB23" i="28"/>
  <c r="ED23" i="28" s="1"/>
  <c r="DL11" i="28"/>
  <c r="DM11" i="28" s="1"/>
  <c r="DM32" i="28"/>
  <c r="DN32" i="28" s="1"/>
  <c r="EM82" i="28"/>
  <c r="EL82" i="28"/>
  <c r="DB101" i="28"/>
  <c r="EV101" i="28"/>
  <c r="EW101" i="28"/>
  <c r="EZ101" i="28" s="1"/>
  <c r="FA101" i="28" s="1"/>
  <c r="DM56" i="28"/>
  <c r="DN56" i="28" s="1"/>
  <c r="DS56" i="28"/>
  <c r="DT56" i="28" s="1"/>
  <c r="DG61" i="28"/>
  <c r="DL61" i="28"/>
  <c r="EV65" i="28"/>
  <c r="DB65" i="28"/>
  <c r="EW65" i="28"/>
  <c r="EZ65" i="28" s="1"/>
  <c r="FA65" i="28" s="1"/>
  <c r="DG84" i="28"/>
  <c r="DL84" i="28"/>
  <c r="DL55" i="28"/>
  <c r="DG55" i="28"/>
  <c r="DB8" i="28"/>
  <c r="EV8" i="28"/>
  <c r="EW8" i="28"/>
  <c r="EZ8" i="28" s="1"/>
  <c r="FA8" i="28" s="1"/>
  <c r="DG16" i="28"/>
  <c r="DL16" i="28"/>
  <c r="DB14" i="28"/>
  <c r="EV14" i="28"/>
  <c r="EW14" i="28"/>
  <c r="EZ14" i="28" s="1"/>
  <c r="FA14" i="28" s="1"/>
  <c r="DS39" i="28"/>
  <c r="DT39" i="28" s="1"/>
  <c r="DM39" i="28"/>
  <c r="DN39" i="28" s="1"/>
  <c r="DM46" i="28"/>
  <c r="DN46" i="28" s="1"/>
  <c r="DB27" i="28"/>
  <c r="EV27" i="28"/>
  <c r="EW27" i="28"/>
  <c r="EZ27" i="28" s="1"/>
  <c r="FA27" i="28" s="1"/>
  <c r="DB59" i="28"/>
  <c r="EV59" i="28"/>
  <c r="EW59" i="28"/>
  <c r="EZ59" i="28" s="1"/>
  <c r="FA59" i="28" s="1"/>
  <c r="DG73" i="28"/>
  <c r="DL73" i="28"/>
  <c r="EV76" i="28"/>
  <c r="DB76" i="28"/>
  <c r="EW76" i="28"/>
  <c r="EZ76" i="28" s="1"/>
  <c r="FA76" i="28" s="1"/>
  <c r="DB97" i="28"/>
  <c r="EV97" i="28"/>
  <c r="EW97" i="28"/>
  <c r="EZ97" i="28" s="1"/>
  <c r="FA97" i="28" s="1"/>
  <c r="EW81" i="28"/>
  <c r="EZ81" i="28" s="1"/>
  <c r="FA81" i="28" s="1"/>
  <c r="DB81" i="28"/>
  <c r="EV81" i="28"/>
  <c r="DB21" i="28"/>
  <c r="EV21" i="28"/>
  <c r="EW21" i="28"/>
  <c r="EZ21" i="28" s="1"/>
  <c r="FA21" i="28" s="1"/>
  <c r="CU107" i="28"/>
  <c r="DB107" i="28" s="1"/>
  <c r="DB5" i="28"/>
  <c r="EV5" i="28"/>
  <c r="EW5" i="28"/>
  <c r="DM18" i="28"/>
  <c r="DN18" i="28" s="1"/>
  <c r="DS18" i="28"/>
  <c r="DT18" i="28" s="1"/>
  <c r="EM21" i="28"/>
  <c r="EL21" i="28"/>
  <c r="DG49" i="28"/>
  <c r="DL49" i="28"/>
  <c r="DG57" i="28"/>
  <c r="DL57" i="28"/>
  <c r="EV80" i="28"/>
  <c r="DB80" i="28"/>
  <c r="EW80" i="28"/>
  <c r="EZ80" i="28" s="1"/>
  <c r="FA80" i="28" s="1"/>
  <c r="DV100" i="28"/>
  <c r="DL70" i="28"/>
  <c r="DG70" i="28"/>
  <c r="DB19" i="28"/>
  <c r="EV19" i="28"/>
  <c r="EW19" i="28"/>
  <c r="EZ19" i="28" s="1"/>
  <c r="FA19" i="28" s="1"/>
  <c r="DM43" i="28"/>
  <c r="DN43" i="28" s="1"/>
  <c r="DS43" i="28"/>
  <c r="DT43" i="28" s="1"/>
  <c r="DG48" i="28"/>
  <c r="DL48" i="28"/>
  <c r="EM78" i="28"/>
  <c r="EL78" i="28"/>
  <c r="DL78" i="28"/>
  <c r="DG78" i="28"/>
  <c r="DG59" i="28"/>
  <c r="DL59" i="28"/>
  <c r="DG68" i="28"/>
  <c r="DL68" i="28"/>
  <c r="DM98" i="28"/>
  <c r="DN98" i="28" s="1"/>
  <c r="DS98" i="28"/>
  <c r="DT98" i="28" s="1"/>
  <c r="EB49" i="28"/>
  <c r="ED49" i="28" s="1"/>
  <c r="EB80" i="28"/>
  <c r="ED80" i="28" s="1"/>
  <c r="DB10" i="28"/>
  <c r="EV10" i="28"/>
  <c r="EW10" i="28"/>
  <c r="EZ10" i="28" s="1"/>
  <c r="FA10" i="28" s="1"/>
  <c r="DF5" i="28"/>
  <c r="DS38" i="28"/>
  <c r="DT38" i="28" s="1"/>
  <c r="DM38" i="28"/>
  <c r="DN38" i="28" s="1"/>
  <c r="DN85" i="28"/>
  <c r="DV85" i="28"/>
  <c r="DG71" i="28"/>
  <c r="DL71" i="28"/>
  <c r="DB103" i="28"/>
  <c r="EV103" i="28"/>
  <c r="EW103" i="28"/>
  <c r="EZ103" i="28" s="1"/>
  <c r="FA103" i="28" s="1"/>
  <c r="DB53" i="28"/>
  <c r="EV53" i="28"/>
  <c r="EW53" i="28"/>
  <c r="EZ53" i="28" s="1"/>
  <c r="FA53" i="28" s="1"/>
  <c r="DG12" i="28"/>
  <c r="DL12" i="28"/>
  <c r="DB33" i="28"/>
  <c r="EV33" i="28"/>
  <c r="EW33" i="28"/>
  <c r="EZ33" i="28" s="1"/>
  <c r="FA33" i="28" s="1"/>
  <c r="DG63" i="28"/>
  <c r="DL63" i="28"/>
  <c r="EB31" i="28"/>
  <c r="ED31" i="28" s="1"/>
  <c r="EV49" i="28"/>
  <c r="DB49" i="28"/>
  <c r="EW49" i="28"/>
  <c r="EZ49" i="28" s="1"/>
  <c r="FA49" i="28" s="1"/>
  <c r="DL66" i="28"/>
  <c r="DG66" i="28"/>
  <c r="EB47" i="28"/>
  <c r="EV57" i="28"/>
  <c r="DB57" i="28"/>
  <c r="EW57" i="28"/>
  <c r="EZ57" i="28" s="1"/>
  <c r="FA57" i="28" s="1"/>
  <c r="DS62" i="28"/>
  <c r="DT62" i="28" s="1"/>
  <c r="DG80" i="28"/>
  <c r="DL80" i="28"/>
  <c r="DS82" i="28"/>
  <c r="DT82" i="28" s="1"/>
  <c r="DM82" i="28"/>
  <c r="DN82" i="28" s="1"/>
  <c r="EV79" i="28"/>
  <c r="DB79" i="28"/>
  <c r="EW79" i="28"/>
  <c r="EZ79" i="28" s="1"/>
  <c r="FA79" i="28" s="1"/>
  <c r="DG65" i="28"/>
  <c r="DL65" i="28"/>
  <c r="DB84" i="28"/>
  <c r="EV84" i="28"/>
  <c r="EW84" i="28"/>
  <c r="EZ84" i="28" s="1"/>
  <c r="FA84" i="28" s="1"/>
  <c r="DG105" i="28"/>
  <c r="DL105" i="28"/>
  <c r="DB55" i="28"/>
  <c r="EV55" i="28"/>
  <c r="EW55" i="28"/>
  <c r="EZ55" i="28" s="1"/>
  <c r="FA55" i="28" s="1"/>
  <c r="DL19" i="28"/>
  <c r="DG19" i="28"/>
  <c r="DB95" i="28"/>
  <c r="EV95" i="28"/>
  <c r="EW95" i="28"/>
  <c r="EZ95" i="28" s="1"/>
  <c r="FA95" i="28" s="1"/>
  <c r="DG95" i="28"/>
  <c r="DL95" i="28"/>
  <c r="DM30" i="28"/>
  <c r="DG8" i="28"/>
  <c r="DL8" i="28"/>
  <c r="DL35" i="28"/>
  <c r="DG35" i="28"/>
  <c r="DB29" i="28"/>
  <c r="EV29" i="28"/>
  <c r="EW29" i="28"/>
  <c r="EZ29" i="28" s="1"/>
  <c r="FA29" i="28" s="1"/>
  <c r="EV48" i="28"/>
  <c r="DB48" i="28"/>
  <c r="EW48" i="28"/>
  <c r="EZ48" i="28" s="1"/>
  <c r="FA48" i="28" s="1"/>
  <c r="EB25" i="28"/>
  <c r="ED25" i="28" s="1"/>
  <c r="DM77" i="28"/>
  <c r="DN77" i="28" s="1"/>
  <c r="DS77" i="28"/>
  <c r="DT77" i="28" s="1"/>
  <c r="DB99" i="28"/>
  <c r="EV99" i="28"/>
  <c r="EW99" i="28"/>
  <c r="EZ99" i="28" s="1"/>
  <c r="FA99" i="28" s="1"/>
  <c r="DG99" i="28"/>
  <c r="DL99" i="28"/>
  <c r="EB97" i="28"/>
  <c r="ED97" i="28" s="1"/>
  <c r="DL27" i="28"/>
  <c r="DG27" i="28"/>
  <c r="DG76" i="28"/>
  <c r="DL76" i="28"/>
  <c r="EB68" i="28"/>
  <c r="ED68" i="28" s="1"/>
  <c r="EB95" i="28"/>
  <c r="ED95" i="28" s="1"/>
  <c r="DL25" i="28"/>
  <c r="DG25" i="28"/>
  <c r="DS54" i="28"/>
  <c r="DT54" i="28" s="1"/>
  <c r="DL31" i="28"/>
  <c r="DG31" i="28"/>
  <c r="DS45" i="28"/>
  <c r="DT45" i="28" s="1"/>
  <c r="DM45" i="28"/>
  <c r="DN45" i="28" s="1"/>
  <c r="EB55" i="28"/>
  <c r="ED55" i="28" s="1"/>
  <c r="DB51" i="28"/>
  <c r="EV51" i="28"/>
  <c r="EW51" i="28"/>
  <c r="EZ51" i="28" s="1"/>
  <c r="FA51" i="28" s="1"/>
  <c r="EV71" i="28"/>
  <c r="DB71" i="28"/>
  <c r="EW71" i="28"/>
  <c r="EZ71" i="28" s="1"/>
  <c r="FA71" i="28" s="1"/>
  <c r="DL33" i="28"/>
  <c r="DG33" i="28"/>
  <c r="DS17" i="28"/>
  <c r="DT17" i="28" s="1"/>
  <c r="DM17" i="28"/>
  <c r="DN17" i="28" s="1"/>
  <c r="DB40" i="28"/>
  <c r="EV40" i="28"/>
  <c r="EW40" i="28"/>
  <c r="EZ40" i="28" s="1"/>
  <c r="FA40" i="28" s="1"/>
  <c r="DB66" i="28"/>
  <c r="EV66" i="28"/>
  <c r="EW66" i="28"/>
  <c r="EZ66" i="28" s="1"/>
  <c r="FA66" i="28" s="1"/>
  <c r="EW42" i="28"/>
  <c r="EZ42" i="28" s="1"/>
  <c r="FA42" i="28" s="1"/>
  <c r="EV42" i="28"/>
  <c r="DB42" i="28"/>
  <c r="DG101" i="28"/>
  <c r="DL101" i="28"/>
  <c r="DG72" i="28"/>
  <c r="DL72" i="28"/>
  <c r="DM34" i="28"/>
  <c r="DN34" i="28" s="1"/>
  <c r="DS34" i="28"/>
  <c r="DT34" i="28" s="1"/>
  <c r="DG41" i="28"/>
  <c r="DL41" i="28"/>
  <c r="DB23" i="28"/>
  <c r="EV23" i="28"/>
  <c r="EW23" i="28"/>
  <c r="EZ23" i="28" s="1"/>
  <c r="FA23" i="28" s="1"/>
  <c r="DG97" i="28"/>
  <c r="DL97" i="28"/>
  <c r="DB25" i="28"/>
  <c r="EV25" i="28"/>
  <c r="EW25" i="28"/>
  <c r="EZ25" i="28" s="1"/>
  <c r="FA25" i="28" s="1"/>
  <c r="DG10" i="28"/>
  <c r="DL10" i="28"/>
  <c r="DL51" i="28"/>
  <c r="DG51" i="28"/>
  <c r="DG103" i="28"/>
  <c r="DL103" i="28"/>
  <c r="DB12" i="28"/>
  <c r="EV12" i="28"/>
  <c r="EW12" i="28"/>
  <c r="EZ12" i="28" s="1"/>
  <c r="FA12" i="28" s="1"/>
  <c r="EM55" i="28"/>
  <c r="EL55" i="28"/>
  <c r="EM19" i="28"/>
  <c r="EL19" i="28"/>
  <c r="DB63" i="28"/>
  <c r="EV63" i="28"/>
  <c r="EW63" i="28"/>
  <c r="EZ63" i="28" s="1"/>
  <c r="FA63" i="28" s="1"/>
  <c r="EV7" i="28"/>
  <c r="DB7" i="28"/>
  <c r="EW7" i="28"/>
  <c r="EZ7" i="28" s="1"/>
  <c r="FA7" i="28" s="1"/>
  <c r="DG79" i="28"/>
  <c r="DL79" i="28"/>
  <c r="EV47" i="28"/>
  <c r="DB47" i="28"/>
  <c r="EW47" i="28"/>
  <c r="EW16" i="28"/>
  <c r="EZ16" i="28" s="1"/>
  <c r="FA16" i="28" s="1"/>
  <c r="DB16" i="28"/>
  <c r="EV16" i="28"/>
  <c r="DM69" i="28"/>
  <c r="DN69" i="28" s="1"/>
  <c r="DS69" i="28"/>
  <c r="DT69" i="28" s="1"/>
  <c r="DB37" i="28"/>
  <c r="EV37" i="28"/>
  <c r="EW37" i="28"/>
  <c r="EZ37" i="28" s="1"/>
  <c r="FA37" i="28" s="1"/>
  <c r="EW73" i="28"/>
  <c r="EZ73" i="28" s="1"/>
  <c r="FA73" i="28" s="1"/>
  <c r="DB73" i="28"/>
  <c r="EV73" i="28"/>
  <c r="EA107" i="28"/>
  <c r="EB41" i="28"/>
  <c r="ED41" i="28" s="1"/>
  <c r="CR110" i="28"/>
  <c r="CN110" i="28"/>
  <c r="CJ110" i="28"/>
  <c r="CO110" i="28"/>
  <c r="CG110" i="28"/>
  <c r="BY110" i="28"/>
  <c r="BQ110" i="28"/>
  <c r="BI110" i="28"/>
  <c r="BA110" i="28"/>
  <c r="CL110" i="28"/>
  <c r="BU110" i="28"/>
  <c r="AW110" i="28"/>
  <c r="CK110" i="28"/>
  <c r="BM110" i="28"/>
  <c r="CC110" i="28"/>
  <c r="BF110" i="28"/>
  <c r="BV110" i="28"/>
  <c r="BE110" i="28"/>
  <c r="BB110" i="28"/>
  <c r="BN110" i="28"/>
  <c r="BZ110" i="28"/>
  <c r="AV110" i="28"/>
  <c r="BL110" i="28"/>
  <c r="CB110" i="28"/>
  <c r="BD110" i="28"/>
  <c r="BT110" i="28"/>
  <c r="BR110" i="28"/>
  <c r="AY110" i="28"/>
  <c r="BW110" i="28"/>
  <c r="CM110" i="28"/>
  <c r="BH110" i="28"/>
  <c r="AX110" i="28"/>
  <c r="BJ110" i="28"/>
  <c r="AU110" i="28"/>
  <c r="BC110" i="28"/>
  <c r="BK110" i="28"/>
  <c r="BS110" i="28"/>
  <c r="CA110" i="28"/>
  <c r="CI110" i="28"/>
  <c r="CQ110" i="28"/>
  <c r="AZ110" i="28"/>
  <c r="BP110" i="28"/>
  <c r="CF110" i="28"/>
  <c r="CH110" i="28"/>
  <c r="CD110" i="28"/>
  <c r="CP110" i="28"/>
  <c r="BG110" i="28"/>
  <c r="BO110" i="28"/>
  <c r="CE110" i="28"/>
  <c r="BX110" i="28"/>
  <c r="DG40" i="28"/>
  <c r="DL40" i="28"/>
  <c r="EB35" i="28"/>
  <c r="ED35" i="28" s="1"/>
  <c r="DL7" i="28"/>
  <c r="DG7" i="28"/>
  <c r="DG42" i="28"/>
  <c r="DL42" i="28"/>
  <c r="DS104" i="28"/>
  <c r="DT104" i="28" s="1"/>
  <c r="DM104" i="28"/>
  <c r="DN104" i="28" s="1"/>
  <c r="DB70" i="28"/>
  <c r="EV70" i="28"/>
  <c r="EW70" i="28"/>
  <c r="EZ70" i="28" s="1"/>
  <c r="FA70" i="28" s="1"/>
  <c r="DB61" i="28"/>
  <c r="EV61" i="28"/>
  <c r="EW61" i="28"/>
  <c r="EZ61" i="28" s="1"/>
  <c r="FA61" i="28" s="1"/>
  <c r="EV72" i="28"/>
  <c r="DB72" i="28"/>
  <c r="EW72" i="28"/>
  <c r="EZ72" i="28" s="1"/>
  <c r="FA72" i="28" s="1"/>
  <c r="DB105" i="28"/>
  <c r="EV105" i="28"/>
  <c r="EW105" i="28"/>
  <c r="EZ105" i="28" s="1"/>
  <c r="FA105" i="28" s="1"/>
  <c r="EM5" i="28"/>
  <c r="EL5" i="28"/>
  <c r="DM26" i="28"/>
  <c r="DN26" i="28" s="1"/>
  <c r="DS26" i="28"/>
  <c r="DT26" i="28" s="1"/>
  <c r="DB35" i="28"/>
  <c r="EV35" i="28"/>
  <c r="EW35" i="28"/>
  <c r="EZ35" i="28" s="1"/>
  <c r="FA35" i="28" s="1"/>
  <c r="EM7" i="28"/>
  <c r="EL7" i="28"/>
  <c r="DL29" i="28"/>
  <c r="DG29" i="28"/>
  <c r="DG14" i="28"/>
  <c r="DL14" i="28"/>
  <c r="EM57" i="28"/>
  <c r="EL57" i="28"/>
  <c r="DB78" i="28"/>
  <c r="EV78" i="28"/>
  <c r="EW78" i="28"/>
  <c r="EZ78" i="28" s="1"/>
  <c r="FA78" i="28" s="1"/>
  <c r="EM29" i="28"/>
  <c r="EL29" i="28"/>
  <c r="EV41" i="28"/>
  <c r="DB41" i="28"/>
  <c r="EW41" i="28"/>
  <c r="EZ41" i="28" s="1"/>
  <c r="FA41" i="28" s="1"/>
  <c r="DL23" i="28"/>
  <c r="DG23" i="28"/>
  <c r="EV68" i="28"/>
  <c r="DB68" i="28"/>
  <c r="EW68" i="28"/>
  <c r="EZ68" i="28" s="1"/>
  <c r="FA68" i="28" s="1"/>
  <c r="DG37" i="28"/>
  <c r="DL37" i="28"/>
  <c r="DM28" i="28"/>
  <c r="DN28" i="28" s="1"/>
  <c r="DS28" i="28"/>
  <c r="DT28" i="28" s="1"/>
  <c r="DG81" i="28"/>
  <c r="DL81" i="28"/>
  <c r="DL21" i="28"/>
  <c r="DG21" i="28"/>
  <c r="EB70" i="28"/>
  <c r="ED70" i="28" s="1"/>
  <c r="DB31" i="28"/>
  <c r="EV31" i="28"/>
  <c r="EW31" i="28"/>
  <c r="EZ31" i="28" s="1"/>
  <c r="FA31" i="28" s="1"/>
  <c r="DM96" i="28"/>
  <c r="DN96" i="28" s="1"/>
  <c r="DS96" i="28"/>
  <c r="DT96" i="28" s="1"/>
  <c r="DL53" i="28"/>
  <c r="DG53" i="28"/>
  <c r="DM44" i="28" l="1"/>
  <c r="DM83" i="28"/>
  <c r="DN83" i="28" s="1"/>
  <c r="DV6" i="28"/>
  <c r="DS22" i="28"/>
  <c r="DT22" i="28" s="1"/>
  <c r="DM24" i="28"/>
  <c r="DN24" i="28" s="1"/>
  <c r="DS67" i="28"/>
  <c r="DT67" i="28" s="1"/>
  <c r="DS9" i="28"/>
  <c r="DT9" i="28" s="1"/>
  <c r="DS74" i="28"/>
  <c r="DT74" i="28" s="1"/>
  <c r="DS15" i="28"/>
  <c r="DT15" i="28" s="1"/>
  <c r="DV67" i="28"/>
  <c r="DV102" i="28"/>
  <c r="DS20" i="28"/>
  <c r="DT20" i="28" s="1"/>
  <c r="DV58" i="28"/>
  <c r="DV52" i="28"/>
  <c r="DN60" i="28"/>
  <c r="DV60" i="28"/>
  <c r="DM36" i="28"/>
  <c r="DS36" i="28"/>
  <c r="DT36" i="28" s="1"/>
  <c r="DG47" i="28"/>
  <c r="DV50" i="28"/>
  <c r="DS11" i="28"/>
  <c r="DT11" i="28" s="1"/>
  <c r="DV82" i="28"/>
  <c r="DV32" i="28"/>
  <c r="DV18" i="28"/>
  <c r="DV34" i="28"/>
  <c r="DN75" i="28"/>
  <c r="DV75" i="28"/>
  <c r="DV98" i="28"/>
  <c r="DS64" i="28"/>
  <c r="DT64" i="28" s="1"/>
  <c r="DM64" i="28"/>
  <c r="DN64" i="28" s="1"/>
  <c r="DS106" i="28"/>
  <c r="DT106" i="28" s="1"/>
  <c r="DM106" i="28"/>
  <c r="DN106" i="28" s="1"/>
  <c r="DV46" i="28"/>
  <c r="EV107" i="28"/>
  <c r="DM13" i="28"/>
  <c r="DN13" i="28" s="1"/>
  <c r="DS13" i="28"/>
  <c r="DT13" i="28" s="1"/>
  <c r="EM107" i="28"/>
  <c r="ED47" i="28"/>
  <c r="EB107" i="28"/>
  <c r="EZ47" i="28"/>
  <c r="EW107" i="28"/>
  <c r="DS14" i="28"/>
  <c r="DT14" i="28" s="1"/>
  <c r="DM14" i="28"/>
  <c r="DN14" i="28" s="1"/>
  <c r="DS10" i="28"/>
  <c r="DT10" i="28" s="1"/>
  <c r="DM10" i="28"/>
  <c r="DN10" i="28" s="1"/>
  <c r="DM72" i="28"/>
  <c r="DN72" i="28" s="1"/>
  <c r="DS72" i="28"/>
  <c r="DT72" i="28" s="1"/>
  <c r="DS33" i="28"/>
  <c r="DT33" i="28" s="1"/>
  <c r="DM33" i="28"/>
  <c r="DN33" i="28" s="1"/>
  <c r="DS35" i="28"/>
  <c r="DT35" i="28" s="1"/>
  <c r="DM35" i="28"/>
  <c r="DN35" i="28" s="1"/>
  <c r="DN30" i="28"/>
  <c r="DV30" i="28"/>
  <c r="DS19" i="28"/>
  <c r="DT19" i="28" s="1"/>
  <c r="DM19" i="28"/>
  <c r="DN19" i="28" s="1"/>
  <c r="DM105" i="28"/>
  <c r="DN105" i="28" s="1"/>
  <c r="DS105" i="28"/>
  <c r="DT105" i="28" s="1"/>
  <c r="DN62" i="28"/>
  <c r="DV62" i="28"/>
  <c r="DS63" i="28"/>
  <c r="DT63" i="28" s="1"/>
  <c r="DM63" i="28"/>
  <c r="DN63" i="28" s="1"/>
  <c r="DN22" i="28"/>
  <c r="DV22" i="28"/>
  <c r="DM68" i="28"/>
  <c r="DN68" i="28" s="1"/>
  <c r="DS68" i="28"/>
  <c r="DT68" i="28" s="1"/>
  <c r="DS84" i="28"/>
  <c r="DT84" i="28" s="1"/>
  <c r="DM84" i="28"/>
  <c r="DN84" i="28" s="1"/>
  <c r="DM40" i="28"/>
  <c r="DN40" i="28" s="1"/>
  <c r="DS40" i="28"/>
  <c r="DT40" i="28" s="1"/>
  <c r="DV96" i="28"/>
  <c r="DS27" i="28"/>
  <c r="DT27" i="28" s="1"/>
  <c r="DM27" i="28"/>
  <c r="DN27" i="28" s="1"/>
  <c r="DV24" i="28"/>
  <c r="DM80" i="28"/>
  <c r="DN80" i="28" s="1"/>
  <c r="DS80" i="28"/>
  <c r="DT80" i="28" s="1"/>
  <c r="DM71" i="28"/>
  <c r="DN71" i="28" s="1"/>
  <c r="DS71" i="28"/>
  <c r="DT71" i="28" s="1"/>
  <c r="DM48" i="28"/>
  <c r="DN48" i="28" s="1"/>
  <c r="DS48" i="28"/>
  <c r="DT48" i="28" s="1"/>
  <c r="DN9" i="28"/>
  <c r="DV69" i="28"/>
  <c r="DM16" i="28"/>
  <c r="DN16" i="28" s="1"/>
  <c r="DS16" i="28"/>
  <c r="DT16" i="28" s="1"/>
  <c r="DS61" i="28"/>
  <c r="DT61" i="28" s="1"/>
  <c r="DM61" i="28"/>
  <c r="DN61" i="28" s="1"/>
  <c r="DN44" i="28"/>
  <c r="DV44" i="28"/>
  <c r="DS21" i="28"/>
  <c r="DT21" i="28" s="1"/>
  <c r="DM21" i="28"/>
  <c r="DN21" i="28" s="1"/>
  <c r="DS23" i="28"/>
  <c r="DT23" i="28" s="1"/>
  <c r="DM23" i="28"/>
  <c r="DN23" i="28" s="1"/>
  <c r="DM41" i="28"/>
  <c r="DN41" i="28" s="1"/>
  <c r="DS41" i="28"/>
  <c r="DT41" i="28" s="1"/>
  <c r="DS101" i="28"/>
  <c r="DT101" i="28" s="1"/>
  <c r="DM101" i="28"/>
  <c r="DN101" i="28" s="1"/>
  <c r="DV28" i="28"/>
  <c r="DS95" i="28"/>
  <c r="DT95" i="28" s="1"/>
  <c r="DM95" i="28"/>
  <c r="DN95" i="28" s="1"/>
  <c r="DS59" i="28"/>
  <c r="DT59" i="28" s="1"/>
  <c r="DM59" i="28"/>
  <c r="DN59" i="28" s="1"/>
  <c r="DS70" i="28"/>
  <c r="DT70" i="28" s="1"/>
  <c r="DM70" i="28"/>
  <c r="DN70" i="28" s="1"/>
  <c r="DM49" i="28"/>
  <c r="DN49" i="28" s="1"/>
  <c r="DS49" i="28"/>
  <c r="DT49" i="28" s="1"/>
  <c r="DV38" i="28"/>
  <c r="DS47" i="28"/>
  <c r="DT47" i="28" s="1"/>
  <c r="DM47" i="28"/>
  <c r="DN47" i="28" s="1"/>
  <c r="DM42" i="28"/>
  <c r="DN42" i="28" s="1"/>
  <c r="DS42" i="28"/>
  <c r="DT42" i="28" s="1"/>
  <c r="DS78" i="28"/>
  <c r="DT78" i="28" s="1"/>
  <c r="DM78" i="28"/>
  <c r="DN78" i="28" s="1"/>
  <c r="DS57" i="28"/>
  <c r="DT57" i="28" s="1"/>
  <c r="DM57" i="28"/>
  <c r="DN57" i="28" s="1"/>
  <c r="DV39" i="28"/>
  <c r="DS97" i="28"/>
  <c r="DT97" i="28" s="1"/>
  <c r="DM97" i="28"/>
  <c r="DN97" i="28" s="1"/>
  <c r="DS25" i="28"/>
  <c r="DT25" i="28" s="1"/>
  <c r="DM25" i="28"/>
  <c r="DN25" i="28" s="1"/>
  <c r="DM76" i="28"/>
  <c r="DN76" i="28" s="1"/>
  <c r="DS76" i="28"/>
  <c r="DT76" i="28" s="1"/>
  <c r="DS8" i="28"/>
  <c r="DT8" i="28" s="1"/>
  <c r="DM8" i="28"/>
  <c r="DN8" i="28" s="1"/>
  <c r="DS65" i="28"/>
  <c r="DT65" i="28" s="1"/>
  <c r="DM65" i="28"/>
  <c r="DN65" i="28" s="1"/>
  <c r="DS12" i="28"/>
  <c r="DT12" i="28" s="1"/>
  <c r="DM12" i="28"/>
  <c r="DN12" i="28" s="1"/>
  <c r="DS53" i="28"/>
  <c r="DT53" i="28" s="1"/>
  <c r="DM53" i="28"/>
  <c r="DN53" i="28" s="1"/>
  <c r="DM81" i="28"/>
  <c r="DN81" i="28" s="1"/>
  <c r="DS81" i="28"/>
  <c r="DT81" i="28" s="1"/>
  <c r="DM37" i="28"/>
  <c r="DN37" i="28" s="1"/>
  <c r="DS37" i="28"/>
  <c r="DT37" i="28" s="1"/>
  <c r="DS29" i="28"/>
  <c r="DT29" i="28" s="1"/>
  <c r="DM29" i="28"/>
  <c r="DN29" i="28" s="1"/>
  <c r="DS7" i="28"/>
  <c r="DT7" i="28" s="1"/>
  <c r="DM7" i="28"/>
  <c r="DN7" i="28" s="1"/>
  <c r="DV17" i="28"/>
  <c r="DV45" i="28"/>
  <c r="DV56" i="28"/>
  <c r="DM79" i="28"/>
  <c r="DN79" i="28" s="1"/>
  <c r="DS79" i="28"/>
  <c r="DT79" i="28" s="1"/>
  <c r="DS103" i="28"/>
  <c r="DT103" i="28" s="1"/>
  <c r="DM103" i="28"/>
  <c r="DN103" i="28" s="1"/>
  <c r="DS51" i="28"/>
  <c r="DT51" i="28" s="1"/>
  <c r="DM51" i="28"/>
  <c r="DN51" i="28" s="1"/>
  <c r="DV26" i="28"/>
  <c r="DS31" i="28"/>
  <c r="DT31" i="28" s="1"/>
  <c r="DM31" i="28"/>
  <c r="DN31" i="28" s="1"/>
  <c r="DN54" i="28"/>
  <c r="DV54" i="28"/>
  <c r="DS99" i="28"/>
  <c r="DT99" i="28" s="1"/>
  <c r="DM99" i="28"/>
  <c r="DN99" i="28" s="1"/>
  <c r="DV43" i="28"/>
  <c r="DV104" i="28"/>
  <c r="DM66" i="28"/>
  <c r="DN66" i="28" s="1"/>
  <c r="DS66" i="28"/>
  <c r="DT66" i="28" s="1"/>
  <c r="DL5" i="28"/>
  <c r="DL107" i="28" s="1"/>
  <c r="DG5" i="28"/>
  <c r="DV77" i="28"/>
  <c r="EZ5" i="28"/>
  <c r="DM73" i="28"/>
  <c r="DN73" i="28" s="1"/>
  <c r="DS73" i="28"/>
  <c r="DT73" i="28" s="1"/>
  <c r="DS55" i="28"/>
  <c r="DT55" i="28" s="1"/>
  <c r="DM55" i="28"/>
  <c r="DN55" i="28" s="1"/>
  <c r="DN11" i="28"/>
  <c r="DV9" i="28" l="1"/>
  <c r="DV83" i="28"/>
  <c r="DV74" i="28"/>
  <c r="DV15" i="28"/>
  <c r="DV20" i="28"/>
  <c r="DV11" i="28"/>
  <c r="DV105" i="28"/>
  <c r="DV14" i="28"/>
  <c r="DN36" i="28"/>
  <c r="DV36" i="28"/>
  <c r="DV78" i="28"/>
  <c r="DV42" i="28"/>
  <c r="DV68" i="28"/>
  <c r="DV84" i="28"/>
  <c r="DV95" i="28"/>
  <c r="DV33" i="28"/>
  <c r="DV64" i="28"/>
  <c r="DV70" i="28"/>
  <c r="DV106" i="28"/>
  <c r="DV7" i="28"/>
  <c r="DV41" i="28"/>
  <c r="DV10" i="28"/>
  <c r="DV27" i="28"/>
  <c r="DV16" i="28"/>
  <c r="DV40" i="28"/>
  <c r="DV13" i="28"/>
  <c r="FA47" i="28"/>
  <c r="EZ107" i="28"/>
  <c r="FA5" i="28"/>
  <c r="DV55" i="28"/>
  <c r="DV66" i="28"/>
  <c r="DV25" i="28"/>
  <c r="DV59" i="28"/>
  <c r="DV35" i="28"/>
  <c r="DV23" i="28"/>
  <c r="DV103" i="28"/>
  <c r="DV80" i="28"/>
  <c r="DV8" i="28"/>
  <c r="DV31" i="28"/>
  <c r="DV49" i="28"/>
  <c r="DV101" i="28"/>
  <c r="DV72" i="28"/>
  <c r="DV21" i="28"/>
  <c r="DV71" i="28"/>
  <c r="DV65" i="28"/>
  <c r="DV97" i="28"/>
  <c r="DV29" i="28"/>
  <c r="DV47" i="28"/>
  <c r="DV63" i="28"/>
  <c r="DV37" i="28"/>
  <c r="DS5" i="28"/>
  <c r="DT5" i="28" s="1"/>
  <c r="DT107" i="28" s="1"/>
  <c r="DM5" i="28"/>
  <c r="DN5" i="28" s="1"/>
  <c r="DV19" i="28"/>
  <c r="DV73" i="28"/>
  <c r="DV61" i="28"/>
  <c r="DV48" i="28"/>
  <c r="DV12" i="28"/>
  <c r="DV76" i="28"/>
  <c r="DV51" i="28"/>
  <c r="DV53" i="28"/>
  <c r="DV57" i="28"/>
  <c r="DV99" i="28"/>
  <c r="DV79" i="28"/>
  <c r="DV81" i="28"/>
  <c r="DN107" i="28" l="1"/>
  <c r="FA107" i="28"/>
  <c r="DV5" i="28"/>
  <c r="DF107" i="28" l="1"/>
  <c r="DG107" i="28"/>
  <c r="EU107" i="28"/>
  <c r="DM107" i="28"/>
  <c r="DY107" i="28"/>
  <c r="DR107" i="28"/>
  <c r="DS107" i="28"/>
  <c r="DV107" i="28"/>
  <c r="ED107" i="28"/>
  <c r="EL107" i="28"/>
  <c r="EQ107" i="28"/>
</calcChain>
</file>

<file path=xl/sharedStrings.xml><?xml version="1.0" encoding="utf-8"?>
<sst xmlns="http://schemas.openxmlformats.org/spreadsheetml/2006/main" count="561" uniqueCount="140">
  <si>
    <t>AVAILABLE TIME      -      PLANNED DOWNTIME (UNCONTROLLABLE)   =        LOADING TIME</t>
  </si>
  <si>
    <t>SAP NOTIFICATION</t>
  </si>
  <si>
    <t>LOADING TIME   -    UNPLANNED DOWNTIME / CONTROLLABLE   =     OPERATING TIME (Uptime)</t>
  </si>
  <si>
    <t>AVAILABLE TIME DISTRIBUTION (%)</t>
  </si>
  <si>
    <t>AVAILABILITY RATE                             X                             PERFORMANCE RATE                           X                       QUALITY RATE                      =                        OEE</t>
  </si>
  <si>
    <t>GOOD OUTPUT÷ AVAILABLE CAPACITY=CHECK OEE</t>
  </si>
  <si>
    <t>GOOD OUTPUT    ÷     PLANNED PRODUCTION UPTIME       =       ELOR</t>
  </si>
  <si>
    <t xml:space="preserve">Good Output ÷ (Ideal Prod Rate x 480)= ELUR </t>
  </si>
  <si>
    <t>Avail. Time (min)</t>
  </si>
  <si>
    <t>PLANNED DOWNTIME</t>
  </si>
  <si>
    <t>UNCONTROLLABLE</t>
  </si>
  <si>
    <t>TOTAL UNCONTROLLABLE</t>
  </si>
  <si>
    <t>LOADING TIME (min)</t>
  </si>
  <si>
    <t>SAP BREAKDOWN NOTIFICATION (min)</t>
  </si>
  <si>
    <t>SAP NOTIFICATION NUMBER</t>
  </si>
  <si>
    <t>BREAKDOWN &amp; FAILURES</t>
  </si>
  <si>
    <t>SET-UP AND ADJUSTMENTS</t>
  </si>
  <si>
    <t>IDLING AND MINOR STOPPAGE</t>
  </si>
  <si>
    <t>TOTAL UNPLANNED DOWNTIME</t>
  </si>
  <si>
    <t>UPTIME /  Operating Time (min)</t>
  </si>
  <si>
    <r>
      <t xml:space="preserve">total uptime / loading time = </t>
    </r>
    <r>
      <rPr>
        <b/>
        <sz val="10"/>
        <color indexed="53"/>
        <rFont val="Arial"/>
        <family val="2"/>
      </rPr>
      <t>AVAILABILITY</t>
    </r>
  </si>
  <si>
    <r>
      <t xml:space="preserve">actual prod rate / ideal prod rate = </t>
    </r>
    <r>
      <rPr>
        <b/>
        <sz val="10"/>
        <color indexed="53"/>
        <rFont val="Arial"/>
        <family val="2"/>
      </rPr>
      <t>PERFORMANCE</t>
    </r>
  </si>
  <si>
    <r>
      <t>Good output / total output =</t>
    </r>
    <r>
      <rPr>
        <b/>
        <sz val="10"/>
        <color indexed="53"/>
        <rFont val="Arial"/>
        <family val="2"/>
      </rPr>
      <t xml:space="preserve"> QUALITY</t>
    </r>
  </si>
  <si>
    <t>OEE</t>
  </si>
  <si>
    <t>Good Output (L)</t>
  </si>
  <si>
    <t>Ideal Prod Rate X Avail Time =  Avail Cap</t>
  </si>
  <si>
    <t>Available Capacity (L)</t>
  </si>
  <si>
    <t>Check OEE</t>
  </si>
  <si>
    <t>(Available time - Planned Downtime) X Ideal Prod Rate = Planned Production Time</t>
  </si>
  <si>
    <t>ELOR</t>
  </si>
  <si>
    <t>Ideal Production Rate (L/Min)</t>
  </si>
  <si>
    <t>ELUR</t>
  </si>
  <si>
    <t>ideal prod rate X uptime</t>
  </si>
  <si>
    <t>Total Expected - Total Output</t>
  </si>
  <si>
    <t>Variance÷Ideal Prod Rate</t>
  </si>
  <si>
    <t>DATE</t>
  </si>
  <si>
    <t>DAY</t>
  </si>
  <si>
    <t>SHIFT</t>
  </si>
  <si>
    <t>No of hours</t>
  </si>
  <si>
    <t>Loading Time</t>
  </si>
  <si>
    <t>PRODUCT TYPE</t>
  </si>
  <si>
    <t>Ideal Prod.Rate (L/min)</t>
  </si>
  <si>
    <t>-</t>
  </si>
  <si>
    <t>EXCESS SET UP</t>
  </si>
  <si>
    <t>EXCESS CHANGE OVER</t>
  </si>
  <si>
    <t xml:space="preserve">% PLANNED </t>
  </si>
  <si>
    <t>% UNCONTROLLABLE</t>
  </si>
  <si>
    <t>% BREAK DOWN AND FAILURE</t>
  </si>
  <si>
    <t>% SET UP AND ADJUSTMENT</t>
  </si>
  <si>
    <t>% IDLING AND MINOR STOP</t>
  </si>
  <si>
    <t>%UPTIME (operating time)</t>
  </si>
  <si>
    <t>Loading Time (min)</t>
  </si>
  <si>
    <t>TOTAL Downtime    (min)</t>
  </si>
  <si>
    <r>
      <t>[AvailTime-ΣDowntime]  = TOTAL Uptime (min</t>
    </r>
    <r>
      <rPr>
        <b/>
        <sz val="10"/>
        <color indexed="8"/>
        <rFont val="Arial"/>
        <family val="2"/>
      </rPr>
      <t xml:space="preserve">) </t>
    </r>
  </si>
  <si>
    <t>%Availability</t>
  </si>
  <si>
    <t>[Total Output÷Uptime] = Actual Prod. Rate (L/min)</t>
  </si>
  <si>
    <t>%Performance</t>
  </si>
  <si>
    <t>Reject (L)</t>
  </si>
  <si>
    <t>Total Output (L)</t>
  </si>
  <si>
    <t>%Quality</t>
  </si>
  <si>
    <t>Ideal Prod.Rate (KG/min)</t>
  </si>
  <si>
    <t>Loading time(min)</t>
  </si>
  <si>
    <t>Available Time</t>
  </si>
  <si>
    <t>Planned Downtime</t>
  </si>
  <si>
    <t>Ideal Prod Rate (L/min)</t>
  </si>
  <si>
    <t>Planned Production Time</t>
  </si>
  <si>
    <t>Ideal Prod. Rate (L/min)</t>
  </si>
  <si>
    <t>UPTIME (min)</t>
  </si>
  <si>
    <t>TOTAL expected output (L)</t>
  </si>
  <si>
    <t>TOTAL output (L)</t>
  </si>
  <si>
    <t>( VARIANCE ) OUTPUT LOSS  (L)</t>
  </si>
  <si>
    <t>PERFORMANCE RATE IN LOSS TIME EQUIVALENT (min)</t>
  </si>
  <si>
    <t>JUSTIFICATION</t>
  </si>
  <si>
    <t>PERCENT OF TOTAL DOWNTIME</t>
  </si>
  <si>
    <t>PERCENT OF TOTAL AVAILABLE TIME</t>
  </si>
  <si>
    <t>PERCENT OF LOADING TIME</t>
  </si>
  <si>
    <t xml:space="preserve"> </t>
  </si>
  <si>
    <t>LINE</t>
  </si>
  <si>
    <t>UTILIZATION</t>
  </si>
  <si>
    <t>RFT</t>
  </si>
  <si>
    <t>AVAIL</t>
  </si>
  <si>
    <t>PER</t>
  </si>
  <si>
    <t>`</t>
  </si>
  <si>
    <t>UDT-Force Majeure</t>
  </si>
  <si>
    <t>A1 - 5S, Sanitation</t>
  </si>
  <si>
    <t>A2 - Breaktime</t>
  </si>
  <si>
    <t>A3 - CLAIR</t>
  </si>
  <si>
    <t>A4 - Changeover , Setup/Startup ,Change Kettle</t>
  </si>
  <si>
    <t>A5 - PM (Preventitve Maintenance)</t>
  </si>
  <si>
    <t>A6-Flag Ceremony</t>
  </si>
  <si>
    <t>A7-General Assembly</t>
  </si>
  <si>
    <t>A8-Performance Dialogue</t>
  </si>
  <si>
    <t>A9-Trial Run</t>
  </si>
  <si>
    <t>A10-Training, Meetings</t>
  </si>
  <si>
    <t>A11-Company Activities</t>
  </si>
  <si>
    <t>A12-Emergency Drills</t>
  </si>
  <si>
    <t>A13-No Production Plan</t>
  </si>
  <si>
    <t>A14-No Head Count Allocation</t>
  </si>
  <si>
    <t>B1- Gear Box Problem</t>
  </si>
  <si>
    <t>B2- Bearing Problem</t>
  </si>
  <si>
    <t>B3- Compress Air Low Pressure</t>
  </si>
  <si>
    <t>B4- Heater Problem</t>
  </si>
  <si>
    <t>B5- Rampost Aluminum Piston Seal Problem</t>
  </si>
  <si>
    <t>B6- Sensor Problem</t>
  </si>
  <si>
    <t>B7- Weight Problem (Leak)</t>
  </si>
  <si>
    <t>B9- Pressure Gauge Problem</t>
  </si>
  <si>
    <t>B10- Deffective - Foot Swith Problem</t>
  </si>
  <si>
    <t>B11- Deffective -Air Motor Problem</t>
  </si>
  <si>
    <t>B12- Deffective -Lower Extrusion Pump Problem</t>
  </si>
  <si>
    <t>B13- Deffective Slot Chain-Conveyor Problem</t>
  </si>
  <si>
    <t>B14- Deffective-Can Closer</t>
  </si>
  <si>
    <t>B15- Crimping Problem</t>
  </si>
  <si>
    <t>B16-Follower Plate Problem (Rampest)</t>
  </si>
  <si>
    <t>B8- Weight Problem (Hoper Pressure)</t>
  </si>
  <si>
    <t>B17- Follower Plate Problem(Deformed)</t>
  </si>
  <si>
    <t>UDT-Grid Power Failure</t>
  </si>
  <si>
    <t>UDT-Supply Chain Discuption</t>
  </si>
  <si>
    <t>UDT-Gov't/Regulatory Issues</t>
  </si>
  <si>
    <t>UDT-External Insfastructure failures</t>
  </si>
  <si>
    <t>UDT-Labor related external issues</t>
  </si>
  <si>
    <t>Sorting/Reworking</t>
  </si>
  <si>
    <t>Quality Problem</t>
  </si>
  <si>
    <t>Unplanned Meeting</t>
  </si>
  <si>
    <t>Absent Manpower</t>
  </si>
  <si>
    <t>Not Rendered Overtime (OT)</t>
  </si>
  <si>
    <t>No available Bulkmix/Kettle</t>
  </si>
  <si>
    <t>Waiting for Bulkmix Approval</t>
  </si>
  <si>
    <t>Over Breaktime</t>
  </si>
  <si>
    <t>Equipment Mishandling</t>
  </si>
  <si>
    <t xml:space="preserve">Waiting for Forklift </t>
  </si>
  <si>
    <t>Out Stocks (RMPM)</t>
  </si>
  <si>
    <t>Delay Issuance Materials Supply (PM)</t>
  </si>
  <si>
    <t>Delay Issuance Materials Supply (RM)</t>
  </si>
  <si>
    <t>Early Quitting</t>
  </si>
  <si>
    <t>UDT-Late Shuttle Service</t>
  </si>
  <si>
    <t>Filling</t>
  </si>
  <si>
    <t>Milling</t>
  </si>
  <si>
    <t>Mixing</t>
  </si>
  <si>
    <t>Tinting/Letdown</t>
  </si>
  <si>
    <t>AVERANGE: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</si>
</sst>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(* #,##0.00000_);_(* \(#,##0.00000\);_(* &quot;-&quot;??_);_(@_)"/>
    <numFmt numFmtId="167" formatCode="0.00_);[Red]\(0.00\)"/>
    <numFmt numFmtId="168" formatCode="_(* #,##0.00000000_);_(* \(#,##0.00000000\);_(* &quot;-&quot;??_);_(@_)"/>
  </numFmts>
  <fonts count="47" x14ac:knownFonts="1">
    <font>
      <sz val="10"/>
      <name val="Arial"/>
    </font>
    <font>
      <sz val="10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b/>
      <i/>
      <sz val="16"/>
      <color indexed="9"/>
      <name val="Arial"/>
      <family val="2"/>
    </font>
    <font>
      <b/>
      <i/>
      <sz val="16"/>
      <color indexed="17"/>
      <name val="Arial"/>
      <family val="2"/>
    </font>
    <font>
      <b/>
      <sz val="14"/>
      <color indexed="10"/>
      <name val="Arial"/>
      <family val="2"/>
    </font>
    <font>
      <b/>
      <sz val="12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18"/>
      <name val="Arial"/>
      <family val="2"/>
    </font>
    <font>
      <b/>
      <sz val="10"/>
      <color indexed="18"/>
      <name val="Arial"/>
      <family val="2"/>
    </font>
    <font>
      <b/>
      <sz val="12"/>
      <color indexed="18"/>
      <name val="Arial"/>
      <family val="2"/>
    </font>
    <font>
      <b/>
      <sz val="10"/>
      <color indexed="53"/>
      <name val="Arial"/>
      <family val="2"/>
    </font>
    <font>
      <b/>
      <sz val="10"/>
      <color indexed="10"/>
      <name val="Arial"/>
      <family val="2"/>
    </font>
    <font>
      <b/>
      <sz val="12"/>
      <color indexed="8"/>
      <name val="Arial"/>
      <family val="2"/>
    </font>
    <font>
      <b/>
      <i/>
      <sz val="14"/>
      <color indexed="9"/>
      <name val="Arial"/>
      <family val="2"/>
    </font>
    <font>
      <b/>
      <sz val="9.5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7"/>
      <name val="Arial"/>
      <family val="2"/>
    </font>
    <font>
      <b/>
      <sz val="9"/>
      <color indexed="8"/>
      <name val="Arial"/>
      <family val="2"/>
    </font>
    <font>
      <b/>
      <sz val="14"/>
      <color indexed="53"/>
      <name val="Arial"/>
      <family val="2"/>
    </font>
    <font>
      <b/>
      <i/>
      <sz val="9"/>
      <color indexed="8"/>
      <name val="Arial"/>
      <family val="2"/>
    </font>
    <font>
      <b/>
      <i/>
      <sz val="12"/>
      <color indexed="8"/>
      <name val="Arial"/>
      <family val="2"/>
    </font>
    <font>
      <b/>
      <i/>
      <sz val="9"/>
      <name val="Arial"/>
      <family val="2"/>
    </font>
    <font>
      <b/>
      <sz val="24"/>
      <color indexed="8"/>
      <name val="Arial"/>
      <family val="2"/>
    </font>
    <font>
      <b/>
      <sz val="8"/>
      <color indexed="8"/>
      <name val="Arial"/>
      <family val="2"/>
    </font>
    <font>
      <b/>
      <sz val="14"/>
      <name val="Arial"/>
      <family val="2"/>
    </font>
    <font>
      <b/>
      <sz val="10"/>
      <color indexed="23"/>
      <name val="Arial"/>
      <family val="2"/>
    </font>
    <font>
      <sz val="10"/>
      <name val="Arial"/>
      <family val="2"/>
    </font>
    <font>
      <sz val="12"/>
      <color indexed="9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b/>
      <sz val="12"/>
      <color indexed="53"/>
      <name val="Arial"/>
      <family val="2"/>
    </font>
    <font>
      <b/>
      <sz val="16"/>
      <color theme="0"/>
      <name val="Arial Black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55"/>
      </left>
      <right/>
      <top style="medium">
        <color indexed="64"/>
      </top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55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64"/>
      </top>
      <bottom style="dotted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dotted">
        <color indexed="55"/>
      </bottom>
      <diagonal/>
    </border>
    <border>
      <left style="thin">
        <color indexed="55"/>
      </left>
      <right/>
      <top style="thin">
        <color indexed="64"/>
      </top>
      <bottom style="dotted">
        <color indexed="55"/>
      </bottom>
      <diagonal/>
    </border>
    <border>
      <left style="thin">
        <color indexed="55"/>
      </left>
      <right style="thin">
        <color indexed="55"/>
      </right>
      <top/>
      <bottom style="dotted">
        <color indexed="55"/>
      </bottom>
      <diagonal/>
    </border>
    <border>
      <left style="thin">
        <color indexed="55"/>
      </left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5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medium">
        <color indexed="64"/>
      </top>
      <bottom style="dotted">
        <color indexed="55"/>
      </bottom>
      <diagonal/>
    </border>
    <border>
      <left/>
      <right style="medium">
        <color indexed="64"/>
      </right>
      <top style="medium">
        <color indexed="64"/>
      </top>
      <bottom style="dotted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55"/>
      </right>
      <top style="dotted">
        <color indexed="55"/>
      </top>
      <bottom style="dotted">
        <color indexed="55"/>
      </bottom>
      <diagonal/>
    </border>
    <border>
      <left style="thin">
        <color indexed="55"/>
      </left>
      <right style="thin">
        <color indexed="55"/>
      </right>
      <top style="dotted">
        <color indexed="55"/>
      </top>
      <bottom style="dotted">
        <color indexed="55"/>
      </bottom>
      <diagonal/>
    </border>
    <border>
      <left style="thin">
        <color indexed="55"/>
      </left>
      <right/>
      <top style="dotted">
        <color indexed="55"/>
      </top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dotted">
        <color indexed="55"/>
      </top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55"/>
      </left>
      <right style="medium">
        <color indexed="64"/>
      </right>
      <top style="dotted">
        <color indexed="55"/>
      </top>
      <bottom style="dotted">
        <color indexed="55"/>
      </bottom>
      <diagonal/>
    </border>
    <border>
      <left style="medium">
        <color indexed="64"/>
      </left>
      <right style="thin">
        <color indexed="55"/>
      </right>
      <top style="dotted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dotted">
        <color indexed="55"/>
      </top>
      <bottom style="thin">
        <color indexed="64"/>
      </bottom>
      <diagonal/>
    </border>
    <border>
      <left style="thin">
        <color indexed="55"/>
      </left>
      <right/>
      <top style="dotted">
        <color indexed="55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55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55"/>
      </left>
      <right style="medium">
        <color indexed="64"/>
      </right>
      <top style="dotted">
        <color indexed="55"/>
      </top>
      <bottom style="thin">
        <color indexed="64"/>
      </bottom>
      <diagonal/>
    </border>
    <border>
      <left style="thin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55"/>
      </right>
      <top style="thin">
        <color indexed="64"/>
      </top>
      <bottom style="dotted">
        <color indexed="55"/>
      </bottom>
      <diagonal/>
    </border>
    <border>
      <left/>
      <right style="thin">
        <color indexed="55"/>
      </right>
      <top style="dotted">
        <color indexed="55"/>
      </top>
      <bottom style="dotted">
        <color indexed="55"/>
      </bottom>
      <diagonal/>
    </border>
    <border>
      <left/>
      <right style="thin">
        <color indexed="55"/>
      </right>
      <top style="dotted">
        <color indexed="55"/>
      </top>
      <bottom style="thin">
        <color indexed="64"/>
      </bottom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3" fillId="0" borderId="0" applyFont="0" applyFill="0" applyBorder="0" applyAlignment="0" applyProtection="0"/>
    <xf numFmtId="9" fontId="43" fillId="0" borderId="0" applyFont="0" applyFill="0" applyBorder="0" applyAlignment="0" applyProtection="0"/>
  </cellStyleXfs>
  <cellXfs count="432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65" fontId="4" fillId="0" borderId="0" xfId="1" applyNumberFormat="1" applyFont="1" applyFill="1" applyAlignment="1">
      <alignment horizontal="center" vertical="center" shrinkToFit="1"/>
    </xf>
    <xf numFmtId="165" fontId="4" fillId="0" borderId="0" xfId="1" applyNumberFormat="1" applyFont="1" applyAlignment="1">
      <alignment horizontal="center" vertical="center" shrinkToFit="1"/>
    </xf>
    <xf numFmtId="166" fontId="4" fillId="0" borderId="0" xfId="1" applyNumberFormat="1" applyFont="1" applyAlignment="1">
      <alignment horizontal="center" vertical="center" shrinkToFit="1"/>
    </xf>
    <xf numFmtId="0" fontId="4" fillId="0" borderId="0" xfId="1" applyNumberFormat="1" applyFont="1" applyAlignment="1">
      <alignment horizontal="center" vertical="center" shrinkToFit="1"/>
    </xf>
    <xf numFmtId="0" fontId="4" fillId="0" borderId="0" xfId="1" applyNumberFormat="1" applyFont="1" applyFill="1" applyBorder="1" applyAlignment="1">
      <alignment horizontal="center" vertical="center" shrinkToFit="1"/>
    </xf>
    <xf numFmtId="165" fontId="4" fillId="0" borderId="0" xfId="1" applyNumberFormat="1" applyFont="1" applyFill="1" applyBorder="1" applyAlignment="1">
      <alignment horizontal="center" vertical="center" shrinkToFit="1"/>
    </xf>
    <xf numFmtId="1" fontId="5" fillId="0" borderId="0" xfId="0" applyNumberFormat="1" applyFont="1" applyAlignment="1">
      <alignment horizontal="center" vertical="center" shrinkToFit="1"/>
    </xf>
    <xf numFmtId="10" fontId="8" fillId="0" borderId="0" xfId="2" applyNumberFormat="1" applyFont="1" applyFill="1" applyBorder="1" applyAlignment="1">
      <alignment vertical="center" shrinkToFit="1"/>
    </xf>
    <xf numFmtId="2" fontId="9" fillId="4" borderId="0" xfId="1" applyNumberFormat="1" applyFont="1" applyFill="1" applyBorder="1" applyAlignment="1">
      <alignment horizontal="center" vertical="center" shrinkToFit="1"/>
    </xf>
    <xf numFmtId="2" fontId="5" fillId="0" borderId="0" xfId="1" applyNumberFormat="1" applyFont="1" applyFill="1" applyBorder="1" applyAlignment="1">
      <alignment horizontal="center" vertical="center" shrinkToFit="1"/>
    </xf>
    <xf numFmtId="10" fontId="5" fillId="0" borderId="0" xfId="2" applyNumberFormat="1" applyFont="1" applyFill="1" applyBorder="1" applyAlignment="1">
      <alignment horizontal="center" vertical="center" shrinkToFit="1"/>
    </xf>
    <xf numFmtId="167" fontId="9" fillId="0" borderId="0" xfId="0" applyNumberFormat="1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168" fontId="11" fillId="0" borderId="0" xfId="1" applyNumberFormat="1" applyFont="1" applyFill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center" vertical="center"/>
    </xf>
    <xf numFmtId="165" fontId="11" fillId="5" borderId="0" xfId="1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textRotation="90" wrapText="1"/>
    </xf>
    <xf numFmtId="0" fontId="12" fillId="0" borderId="0" xfId="0" applyFont="1" applyAlignment="1">
      <alignment horizontal="center" vertical="center" textRotation="90" wrapText="1"/>
    </xf>
    <xf numFmtId="10" fontId="8" fillId="0" borderId="0" xfId="2" applyNumberFormat="1" applyFont="1" applyFill="1" applyBorder="1" applyAlignment="1">
      <alignment vertical="center"/>
    </xf>
    <xf numFmtId="0" fontId="17" fillId="4" borderId="7" xfId="0" applyFont="1" applyFill="1" applyBorder="1" applyAlignment="1">
      <alignment horizontal="center" vertical="center" textRotation="90" wrapText="1"/>
    </xf>
    <xf numFmtId="165" fontId="3" fillId="0" borderId="0" xfId="1" applyNumberFormat="1" applyFont="1" applyFill="1" applyBorder="1" applyAlignment="1">
      <alignment horizontal="center" vertical="center"/>
    </xf>
    <xf numFmtId="165" fontId="3" fillId="0" borderId="11" xfId="1" applyNumberFormat="1" applyFont="1" applyFill="1" applyBorder="1" applyAlignment="1">
      <alignment horizontal="center" vertical="center"/>
    </xf>
    <xf numFmtId="165" fontId="12" fillId="6" borderId="2" xfId="1" applyNumberFormat="1" applyFont="1" applyFill="1" applyBorder="1" applyAlignment="1">
      <alignment vertical="center" wrapText="1"/>
    </xf>
    <xf numFmtId="165" fontId="12" fillId="6" borderId="4" xfId="1" applyNumberFormat="1" applyFont="1" applyFill="1" applyBorder="1" applyAlignment="1">
      <alignment vertical="center" wrapText="1"/>
    </xf>
    <xf numFmtId="165" fontId="18" fillId="0" borderId="11" xfId="1" applyNumberFormat="1" applyFont="1" applyFill="1" applyBorder="1" applyAlignment="1">
      <alignment horizontal="center" vertical="center"/>
    </xf>
    <xf numFmtId="165" fontId="3" fillId="0" borderId="7" xfId="1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 textRotation="90" wrapText="1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167" fontId="21" fillId="8" borderId="13" xfId="0" applyNumberFormat="1" applyFont="1" applyFill="1" applyBorder="1" applyAlignment="1">
      <alignment horizontal="center" vertical="center" wrapText="1"/>
    </xf>
    <xf numFmtId="0" fontId="21" fillId="8" borderId="13" xfId="0" applyFont="1" applyFill="1" applyBorder="1" applyAlignment="1">
      <alignment horizontal="center" vertical="center" wrapText="1" shrinkToFit="1"/>
    </xf>
    <xf numFmtId="0" fontId="22" fillId="0" borderId="9" xfId="0" applyFont="1" applyBorder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textRotation="90" wrapText="1"/>
    </xf>
    <xf numFmtId="165" fontId="16" fillId="0" borderId="0" xfId="1" applyNumberFormat="1" applyFont="1" applyFill="1" applyBorder="1" applyAlignment="1">
      <alignment horizontal="center" textRotation="90" wrapText="1"/>
    </xf>
    <xf numFmtId="165" fontId="12" fillId="7" borderId="13" xfId="1" applyNumberFormat="1" applyFont="1" applyFill="1" applyBorder="1" applyAlignment="1">
      <alignment horizontal="center" vertical="center" wrapText="1"/>
    </xf>
    <xf numFmtId="165" fontId="16" fillId="7" borderId="13" xfId="1" applyNumberFormat="1" applyFont="1" applyFill="1" applyBorder="1" applyAlignment="1">
      <alignment horizontal="center" vertical="center" wrapText="1"/>
    </xf>
    <xf numFmtId="0" fontId="12" fillId="7" borderId="13" xfId="1" applyNumberFormat="1" applyFont="1" applyFill="1" applyBorder="1" applyAlignment="1">
      <alignment horizontal="center" vertical="center" wrapText="1"/>
    </xf>
    <xf numFmtId="0" fontId="12" fillId="0" borderId="0" xfId="1" applyNumberFormat="1" applyFont="1" applyFill="1" applyBorder="1" applyAlignment="1">
      <alignment horizontal="center" vertical="center" wrapText="1"/>
    </xf>
    <xf numFmtId="165" fontId="12" fillId="5" borderId="0" xfId="1" applyNumberFormat="1" applyFont="1" applyFill="1" applyBorder="1" applyAlignment="1">
      <alignment horizontal="center" vertical="center" wrapText="1"/>
    </xf>
    <xf numFmtId="0" fontId="24" fillId="5" borderId="15" xfId="0" applyFont="1" applyFill="1" applyBorder="1" applyAlignment="1" applyProtection="1">
      <alignment horizontal="center" vertical="justify" textRotation="90" wrapText="1"/>
      <protection locked="0"/>
    </xf>
    <xf numFmtId="0" fontId="25" fillId="5" borderId="15" xfId="0" applyFont="1" applyFill="1" applyBorder="1" applyAlignment="1" applyProtection="1">
      <alignment horizontal="center" textRotation="90" wrapText="1"/>
      <protection locked="0"/>
    </xf>
    <xf numFmtId="0" fontId="12" fillId="0" borderId="7" xfId="0" applyFont="1" applyBorder="1" applyAlignment="1">
      <alignment horizontal="center" vertical="justify" textRotation="90" wrapText="1"/>
    </xf>
    <xf numFmtId="165" fontId="12" fillId="0" borderId="0" xfId="1" applyNumberFormat="1" applyFont="1" applyFill="1" applyBorder="1" applyAlignment="1">
      <alignment horizontal="center" textRotation="90" wrapText="1"/>
    </xf>
    <xf numFmtId="1" fontId="12" fillId="5" borderId="15" xfId="0" applyNumberFormat="1" applyFont="1" applyFill="1" applyBorder="1" applyAlignment="1" applyProtection="1">
      <alignment horizontal="center" textRotation="90" wrapText="1"/>
      <protection locked="0"/>
    </xf>
    <xf numFmtId="1" fontId="12" fillId="5" borderId="16" xfId="0" applyNumberFormat="1" applyFont="1" applyFill="1" applyBorder="1" applyAlignment="1" applyProtection="1">
      <alignment horizontal="center" textRotation="90" wrapText="1"/>
      <protection locked="0"/>
    </xf>
    <xf numFmtId="1" fontId="12" fillId="5" borderId="18" xfId="0" applyNumberFormat="1" applyFont="1" applyFill="1" applyBorder="1" applyAlignment="1" applyProtection="1">
      <alignment horizontal="center" textRotation="90" wrapText="1"/>
      <protection locked="0"/>
    </xf>
    <xf numFmtId="0" fontId="12" fillId="0" borderId="1" xfId="0" applyFont="1" applyBorder="1" applyAlignment="1">
      <alignment horizontal="center" vertical="justify" textRotation="90" wrapText="1"/>
    </xf>
    <xf numFmtId="10" fontId="12" fillId="8" borderId="13" xfId="2" applyNumberFormat="1" applyFont="1" applyFill="1" applyBorder="1" applyAlignment="1">
      <alignment horizontal="center" vertical="center" wrapText="1"/>
    </xf>
    <xf numFmtId="10" fontId="26" fillId="8" borderId="14" xfId="2" applyNumberFormat="1" applyFont="1" applyFill="1" applyBorder="1" applyAlignment="1">
      <alignment horizontal="center" vertical="center" wrapText="1"/>
    </xf>
    <xf numFmtId="10" fontId="12" fillId="8" borderId="14" xfId="2" applyNumberFormat="1" applyFont="1" applyFill="1" applyBorder="1" applyAlignment="1">
      <alignment horizontal="center" vertical="center" wrapText="1"/>
    </xf>
    <xf numFmtId="10" fontId="12" fillId="8" borderId="4" xfId="2" applyNumberFormat="1" applyFont="1" applyFill="1" applyBorder="1" applyAlignment="1">
      <alignment horizontal="center" vertical="center" wrapText="1"/>
    </xf>
    <xf numFmtId="10" fontId="12" fillId="8" borderId="16" xfId="2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12" fillId="6" borderId="13" xfId="1" applyNumberFormat="1" applyFont="1" applyFill="1" applyBorder="1" applyAlignment="1">
      <alignment horizontal="center" vertical="center" wrapText="1"/>
    </xf>
    <xf numFmtId="165" fontId="12" fillId="6" borderId="2" xfId="1" applyNumberFormat="1" applyFont="1" applyFill="1" applyBorder="1" applyAlignment="1">
      <alignment horizontal="center" vertical="center" wrapText="1"/>
    </xf>
    <xf numFmtId="165" fontId="18" fillId="6" borderId="13" xfId="1" applyNumberFormat="1" applyFont="1" applyFill="1" applyBorder="1" applyAlignment="1">
      <alignment horizontal="center" vertical="center" wrapText="1"/>
    </xf>
    <xf numFmtId="10" fontId="27" fillId="6" borderId="13" xfId="2" applyNumberFormat="1" applyFont="1" applyFill="1" applyBorder="1" applyAlignment="1">
      <alignment horizontal="center" vertical="justify" textRotation="90" wrapText="1"/>
    </xf>
    <xf numFmtId="0" fontId="17" fillId="4" borderId="7" xfId="0" applyFont="1" applyFill="1" applyBorder="1" applyAlignment="1">
      <alignment horizontal="center" vertical="justify" textRotation="90" wrapText="1"/>
    </xf>
    <xf numFmtId="10" fontId="3" fillId="0" borderId="0" xfId="2" applyNumberFormat="1" applyFont="1" applyFill="1" applyBorder="1" applyAlignment="1">
      <alignment horizontal="center" vertical="justify" textRotation="90" wrapText="1"/>
    </xf>
    <xf numFmtId="164" fontId="12" fillId="6" borderId="17" xfId="1" applyFont="1" applyFill="1" applyBorder="1" applyAlignment="1">
      <alignment horizontal="center" vertical="center" wrapText="1"/>
    </xf>
    <xf numFmtId="164" fontId="16" fillId="0" borderId="0" xfId="1" applyFont="1" applyFill="1" applyBorder="1" applyAlignment="1">
      <alignment horizontal="center" vertical="center" wrapText="1"/>
    </xf>
    <xf numFmtId="10" fontId="27" fillId="6" borderId="3" xfId="2" applyNumberFormat="1" applyFont="1" applyFill="1" applyBorder="1" applyAlignment="1">
      <alignment horizontal="center" vertical="justify" textRotation="90" wrapText="1"/>
    </xf>
    <xf numFmtId="10" fontId="27" fillId="0" borderId="0" xfId="2" applyNumberFormat="1" applyFont="1" applyFill="1" applyBorder="1" applyAlignment="1">
      <alignment horizontal="center" vertical="justify" textRotation="90" wrapText="1"/>
    </xf>
    <xf numFmtId="10" fontId="3" fillId="0" borderId="0" xfId="2" applyNumberFormat="1" applyFont="1" applyFill="1" applyBorder="1" applyAlignment="1">
      <alignment horizontal="center" vertical="center" wrapText="1"/>
    </xf>
    <xf numFmtId="165" fontId="28" fillId="6" borderId="3" xfId="1" applyNumberFormat="1" applyFont="1" applyFill="1" applyBorder="1" applyAlignment="1">
      <alignment horizontal="center" vertical="center" wrapText="1"/>
    </xf>
    <xf numFmtId="165" fontId="28" fillId="6" borderId="13" xfId="1" applyNumberFormat="1" applyFont="1" applyFill="1" applyBorder="1" applyAlignment="1">
      <alignment horizontal="center" vertical="center" wrapText="1"/>
    </xf>
    <xf numFmtId="165" fontId="12" fillId="0" borderId="9" xfId="1" applyNumberFormat="1" applyFont="1" applyFill="1" applyBorder="1" applyAlignment="1">
      <alignment horizontal="center" vertical="center" wrapText="1"/>
    </xf>
    <xf numFmtId="10" fontId="29" fillId="0" borderId="7" xfId="2" applyNumberFormat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 wrapText="1"/>
    </xf>
    <xf numFmtId="0" fontId="30" fillId="7" borderId="13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justify" textRotation="90" wrapText="1"/>
    </xf>
    <xf numFmtId="10" fontId="31" fillId="0" borderId="0" xfId="2" applyNumberFormat="1" applyFont="1" applyFill="1" applyBorder="1" applyAlignment="1">
      <alignment horizontal="center" vertical="center" textRotation="90" wrapText="1"/>
    </xf>
    <xf numFmtId="10" fontId="32" fillId="0" borderId="0" xfId="2" applyNumberFormat="1" applyFont="1" applyFill="1" applyBorder="1" applyAlignment="1">
      <alignment horizontal="center" vertical="center" wrapText="1"/>
    </xf>
    <xf numFmtId="0" fontId="23" fillId="8" borderId="13" xfId="0" applyFont="1" applyFill="1" applyBorder="1" applyAlignment="1">
      <alignment horizontal="center" vertical="center" wrapText="1"/>
    </xf>
    <xf numFmtId="167" fontId="9" fillId="8" borderId="13" xfId="0" applyNumberFormat="1" applyFont="1" applyFill="1" applyBorder="1" applyAlignment="1">
      <alignment horizontal="center" vertical="center" wrapText="1"/>
    </xf>
    <xf numFmtId="0" fontId="33" fillId="8" borderId="3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0" fillId="5" borderId="20" xfId="0" applyFill="1" applyBorder="1" applyAlignment="1">
      <alignment horizontal="center"/>
    </xf>
    <xf numFmtId="1" fontId="12" fillId="5" borderId="20" xfId="0" applyNumberFormat="1" applyFont="1" applyFill="1" applyBorder="1" applyAlignment="1">
      <alignment horizontal="center" vertical="center" textRotation="90" wrapText="1"/>
    </xf>
    <xf numFmtId="1" fontId="12" fillId="5" borderId="21" xfId="0" applyNumberFormat="1" applyFont="1" applyFill="1" applyBorder="1" applyAlignment="1">
      <alignment horizontal="center" vertical="center" textRotation="90" wrapText="1"/>
    </xf>
    <xf numFmtId="1" fontId="12" fillId="5" borderId="0" xfId="0" applyNumberFormat="1" applyFont="1" applyFill="1" applyAlignment="1">
      <alignment horizontal="center" vertical="center" textRotation="90" wrapText="1"/>
    </xf>
    <xf numFmtId="1" fontId="12" fillId="5" borderId="7" xfId="0" applyNumberFormat="1" applyFont="1" applyFill="1" applyBorder="1" applyAlignment="1">
      <alignment horizontal="center" vertical="center" textRotation="90" wrapText="1"/>
    </xf>
    <xf numFmtId="1" fontId="12" fillId="7" borderId="7" xfId="0" applyNumberFormat="1" applyFont="1" applyFill="1" applyBorder="1" applyAlignment="1">
      <alignment horizontal="center" vertical="center" textRotation="90" wrapText="1"/>
    </xf>
    <xf numFmtId="1" fontId="12" fillId="7" borderId="0" xfId="0" applyNumberFormat="1" applyFont="1" applyFill="1" applyAlignment="1">
      <alignment horizontal="center" vertical="center" textRotation="90" wrapText="1"/>
    </xf>
    <xf numFmtId="1" fontId="12" fillId="5" borderId="14" xfId="0" applyNumberFormat="1" applyFont="1" applyFill="1" applyBorder="1" applyAlignment="1">
      <alignment horizontal="center" vertical="center" textRotation="90" wrapText="1"/>
    </xf>
    <xf numFmtId="1" fontId="12" fillId="5" borderId="15" xfId="0" applyNumberFormat="1" applyFont="1" applyFill="1" applyBorder="1" applyAlignment="1">
      <alignment horizontal="center" vertical="center" textRotation="90" wrapText="1"/>
    </xf>
    <xf numFmtId="1" fontId="12" fillId="5" borderId="22" xfId="0" applyNumberFormat="1" applyFont="1" applyFill="1" applyBorder="1" applyAlignment="1">
      <alignment horizontal="center" vertical="center" textRotation="90" wrapText="1"/>
    </xf>
    <xf numFmtId="1" fontId="23" fillId="5" borderId="18" xfId="0" applyNumberFormat="1" applyFont="1" applyFill="1" applyBorder="1" applyAlignment="1">
      <alignment horizontal="center" vertical="center" textRotation="90" wrapText="1"/>
    </xf>
    <xf numFmtId="1" fontId="23" fillId="5" borderId="15" xfId="0" applyNumberFormat="1" applyFont="1" applyFill="1" applyBorder="1" applyAlignment="1">
      <alignment horizontal="center" vertical="center" textRotation="90" wrapText="1"/>
    </xf>
    <xf numFmtId="1" fontId="23" fillId="5" borderId="14" xfId="0" applyNumberFormat="1" applyFont="1" applyFill="1" applyBorder="1" applyAlignment="1">
      <alignment horizontal="center" vertical="center" textRotation="90" wrapText="1"/>
    </xf>
    <xf numFmtId="1" fontId="23" fillId="5" borderId="22" xfId="0" applyNumberFormat="1" applyFont="1" applyFill="1" applyBorder="1" applyAlignment="1">
      <alignment horizontal="center" vertical="center" textRotation="90" wrapText="1"/>
    </xf>
    <xf numFmtId="1" fontId="23" fillId="5" borderId="16" xfId="0" applyNumberFormat="1" applyFont="1" applyFill="1" applyBorder="1" applyAlignment="1">
      <alignment horizontal="center" vertical="center" textRotation="90" wrapText="1"/>
    </xf>
    <xf numFmtId="1" fontId="23" fillId="5" borderId="13" xfId="0" applyNumberFormat="1" applyFont="1" applyFill="1" applyBorder="1" applyAlignment="1">
      <alignment horizontal="center" vertical="center" textRotation="90" wrapText="1"/>
    </xf>
    <xf numFmtId="1" fontId="23" fillId="7" borderId="13" xfId="0" applyNumberFormat="1" applyFont="1" applyFill="1" applyBorder="1" applyAlignment="1">
      <alignment horizontal="center" vertical="center" textRotation="90" wrapText="1"/>
    </xf>
    <xf numFmtId="1" fontId="12" fillId="0" borderId="0" xfId="0" applyNumberFormat="1" applyFont="1" applyAlignment="1">
      <alignment horizontal="center" vertical="center" textRotation="90" wrapText="1"/>
    </xf>
    <xf numFmtId="10" fontId="23" fillId="0" borderId="0" xfId="2" applyNumberFormat="1" applyFont="1" applyFill="1" applyAlignment="1">
      <alignment horizontal="center" vertical="center" wrapText="1"/>
    </xf>
    <xf numFmtId="10" fontId="12" fillId="0" borderId="23" xfId="2" applyNumberFormat="1" applyFont="1" applyFill="1" applyBorder="1" applyAlignment="1">
      <alignment horizontal="center" vertical="center" wrapText="1"/>
    </xf>
    <xf numFmtId="10" fontId="12" fillId="0" borderId="0" xfId="2" applyNumberFormat="1" applyFont="1" applyFill="1" applyBorder="1" applyAlignment="1">
      <alignment horizontal="center" vertical="center" wrapText="1"/>
    </xf>
    <xf numFmtId="10" fontId="12" fillId="0" borderId="24" xfId="2" applyNumberFormat="1" applyFont="1" applyFill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10" fontId="16" fillId="0" borderId="7" xfId="2" applyNumberFormat="1" applyFont="1" applyFill="1" applyBorder="1" applyAlignment="1">
      <alignment horizontal="center" vertical="center" wrapText="1"/>
    </xf>
    <xf numFmtId="1" fontId="17" fillId="4" borderId="7" xfId="0" applyNumberFormat="1" applyFont="1" applyFill="1" applyBorder="1" applyAlignment="1">
      <alignment horizontal="center" vertical="center" textRotation="90" wrapText="1"/>
    </xf>
    <xf numFmtId="164" fontId="12" fillId="0" borderId="0" xfId="0" applyNumberFormat="1" applyFont="1" applyAlignment="1">
      <alignment horizontal="center" vertical="center" wrapText="1"/>
    </xf>
    <xf numFmtId="10" fontId="16" fillId="0" borderId="0" xfId="2" applyNumberFormat="1" applyFont="1" applyFill="1" applyBorder="1" applyAlignment="1">
      <alignment horizontal="center" vertical="center" wrapText="1"/>
    </xf>
    <xf numFmtId="10" fontId="12" fillId="0" borderId="26" xfId="2" applyNumberFormat="1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10" fontId="12" fillId="0" borderId="27" xfId="2" applyNumberFormat="1" applyFont="1" applyFill="1" applyBorder="1" applyAlignment="1">
      <alignment horizontal="center" vertical="center" wrapText="1"/>
    </xf>
    <xf numFmtId="10" fontId="29" fillId="0" borderId="0" xfId="2" applyNumberFormat="1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10" fontId="12" fillId="0" borderId="7" xfId="2" applyNumberFormat="1" applyFont="1" applyFill="1" applyBorder="1" applyAlignment="1">
      <alignment horizontal="center" vertical="center" wrapText="1"/>
    </xf>
    <xf numFmtId="1" fontId="17" fillId="4" borderId="0" xfId="0" applyNumberFormat="1" applyFont="1" applyFill="1" applyAlignment="1">
      <alignment horizontal="center" vertical="center" textRotation="90" wrapText="1"/>
    </xf>
    <xf numFmtId="0" fontId="12" fillId="8" borderId="1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67" fontId="17" fillId="0" borderId="1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11" fillId="7" borderId="28" xfId="0" quotePrefix="1" applyNumberFormat="1" applyFont="1" applyFill="1" applyBorder="1" applyAlignment="1">
      <alignment horizontal="center"/>
    </xf>
    <xf numFmtId="0" fontId="11" fillId="0" borderId="29" xfId="0" applyFont="1" applyBorder="1" applyAlignment="1" applyProtection="1">
      <alignment horizontal="center"/>
      <protection locked="0"/>
    </xf>
    <xf numFmtId="165" fontId="11" fillId="0" borderId="0" xfId="1" applyNumberFormat="1" applyFont="1" applyFill="1" applyBorder="1" applyAlignment="1" applyProtection="1">
      <alignment horizontal="center"/>
      <protection locked="0"/>
    </xf>
    <xf numFmtId="165" fontId="11" fillId="7" borderId="5" xfId="1" applyNumberFormat="1" applyFont="1" applyFill="1" applyBorder="1" applyAlignment="1" applyProtection="1">
      <alignment horizontal="center"/>
      <protection locked="0"/>
    </xf>
    <xf numFmtId="165" fontId="11" fillId="0" borderId="30" xfId="1" applyNumberFormat="1" applyFont="1" applyFill="1" applyBorder="1" applyAlignment="1" applyProtection="1">
      <alignment horizontal="center"/>
      <protection locked="0"/>
    </xf>
    <xf numFmtId="2" fontId="35" fillId="7" borderId="31" xfId="0" applyNumberFormat="1" applyFont="1" applyFill="1" applyBorder="1" applyAlignment="1">
      <alignment horizontal="center"/>
    </xf>
    <xf numFmtId="2" fontId="35" fillId="0" borderId="0" xfId="0" applyNumberFormat="1" applyFont="1" applyAlignment="1">
      <alignment horizontal="center"/>
    </xf>
    <xf numFmtId="0" fontId="11" fillId="5" borderId="31" xfId="1" applyNumberFormat="1" applyFont="1" applyFill="1" applyBorder="1" applyAlignment="1">
      <alignment horizontal="center"/>
    </xf>
    <xf numFmtId="165" fontId="11" fillId="5" borderId="0" xfId="1" applyNumberFormat="1" applyFont="1" applyFill="1" applyBorder="1" applyAlignment="1">
      <alignment horizontal="center"/>
    </xf>
    <xf numFmtId="165" fontId="11" fillId="0" borderId="32" xfId="1" applyNumberFormat="1" applyFont="1" applyFill="1" applyBorder="1" applyAlignment="1" applyProtection="1">
      <alignment horizontal="center"/>
      <protection locked="0"/>
    </xf>
    <xf numFmtId="165" fontId="11" fillId="0" borderId="33" xfId="1" applyNumberFormat="1" applyFont="1" applyFill="1" applyBorder="1" applyAlignment="1" applyProtection="1">
      <alignment horizontal="center"/>
      <protection locked="0"/>
    </xf>
    <xf numFmtId="165" fontId="11" fillId="0" borderId="34" xfId="1" applyNumberFormat="1" applyFont="1" applyFill="1" applyBorder="1" applyAlignment="1" applyProtection="1">
      <alignment horizontal="center"/>
      <protection locked="0"/>
    </xf>
    <xf numFmtId="0" fontId="11" fillId="5" borderId="35" xfId="1" applyNumberFormat="1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36" fillId="2" borderId="36" xfId="0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5" fontId="11" fillId="0" borderId="36" xfId="0" applyNumberFormat="1" applyFont="1" applyBorder="1" applyAlignment="1" applyProtection="1">
      <alignment horizontal="center"/>
      <protection locked="0"/>
    </xf>
    <xf numFmtId="0" fontId="11" fillId="0" borderId="37" xfId="0" applyFont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40" xfId="0" applyFont="1" applyBorder="1" applyAlignment="1" applyProtection="1">
      <alignment horizont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5" borderId="41" xfId="0" applyFont="1" applyFill="1" applyBorder="1" applyAlignment="1">
      <alignment horizontal="center"/>
    </xf>
    <xf numFmtId="1" fontId="11" fillId="0" borderId="0" xfId="2" applyNumberFormat="1" applyFont="1" applyFill="1" applyBorder="1" applyAlignment="1">
      <alignment horizontal="center"/>
    </xf>
    <xf numFmtId="10" fontId="11" fillId="8" borderId="42" xfId="2" applyNumberFormat="1" applyFont="1" applyFill="1" applyBorder="1" applyAlignment="1">
      <alignment horizontal="center" vertical="center" wrapText="1"/>
    </xf>
    <xf numFmtId="10" fontId="18" fillId="8" borderId="31" xfId="2" applyNumberFormat="1" applyFont="1" applyFill="1" applyBorder="1" applyAlignment="1">
      <alignment horizontal="center" vertical="center" wrapText="1"/>
    </xf>
    <xf numFmtId="2" fontId="11" fillId="6" borderId="43" xfId="1" applyNumberFormat="1" applyFont="1" applyFill="1" applyBorder="1" applyAlignment="1">
      <alignment horizontal="center"/>
    </xf>
    <xf numFmtId="2" fontId="11" fillId="6" borderId="37" xfId="1" applyNumberFormat="1" applyFont="1" applyFill="1" applyBorder="1" applyAlignment="1">
      <alignment horizontal="center"/>
    </xf>
    <xf numFmtId="2" fontId="11" fillId="6" borderId="38" xfId="1" applyNumberFormat="1" applyFont="1" applyFill="1" applyBorder="1" applyAlignment="1">
      <alignment horizontal="center"/>
    </xf>
    <xf numFmtId="10" fontId="16" fillId="6" borderId="44" xfId="2" applyNumberFormat="1" applyFont="1" applyFill="1" applyBorder="1" applyAlignment="1">
      <alignment horizontal="center"/>
    </xf>
    <xf numFmtId="1" fontId="37" fillId="4" borderId="0" xfId="2" applyNumberFormat="1" applyFont="1" applyFill="1" applyBorder="1" applyAlignment="1">
      <alignment horizontal="center"/>
    </xf>
    <xf numFmtId="10" fontId="11" fillId="0" borderId="0" xfId="2" applyNumberFormat="1" applyFont="1" applyFill="1" applyBorder="1" applyAlignment="1">
      <alignment horizontal="center"/>
    </xf>
    <xf numFmtId="165" fontId="11" fillId="6" borderId="42" xfId="1" applyNumberFormat="1" applyFont="1" applyFill="1" applyBorder="1" applyAlignment="1">
      <alignment horizontal="center"/>
    </xf>
    <xf numFmtId="2" fontId="35" fillId="6" borderId="45" xfId="0" applyNumberFormat="1" applyFont="1" applyFill="1" applyBorder="1" applyAlignment="1">
      <alignment horizontal="center"/>
    </xf>
    <xf numFmtId="2" fontId="11" fillId="6" borderId="46" xfId="1" applyNumberFormat="1" applyFont="1" applyFill="1" applyBorder="1" applyAlignment="1">
      <alignment horizontal="center"/>
    </xf>
    <xf numFmtId="10" fontId="16" fillId="6" borderId="47" xfId="2" applyNumberFormat="1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1" fontId="11" fillId="0" borderId="48" xfId="1" applyNumberFormat="1" applyFont="1" applyFill="1" applyBorder="1" applyAlignment="1" applyProtection="1">
      <alignment horizontal="center"/>
      <protection locked="0"/>
    </xf>
    <xf numFmtId="1" fontId="11" fillId="0" borderId="49" xfId="1" applyNumberFormat="1" applyFont="1" applyFill="1" applyBorder="1" applyAlignment="1" applyProtection="1">
      <alignment horizontal="center"/>
      <protection locked="0"/>
    </xf>
    <xf numFmtId="1" fontId="11" fillId="6" borderId="49" xfId="1" applyNumberFormat="1" applyFont="1" applyFill="1" applyBorder="1" applyAlignment="1">
      <alignment horizontal="center"/>
    </xf>
    <xf numFmtId="10" fontId="16" fillId="6" borderId="50" xfId="2" applyNumberFormat="1" applyFont="1" applyFill="1" applyBorder="1" applyAlignment="1">
      <alignment horizontal="center"/>
    </xf>
    <xf numFmtId="10" fontId="11" fillId="0" borderId="25" xfId="2" applyNumberFormat="1" applyFont="1" applyFill="1" applyBorder="1" applyAlignment="1">
      <alignment horizontal="center"/>
    </xf>
    <xf numFmtId="10" fontId="10" fillId="2" borderId="51" xfId="2" applyNumberFormat="1" applyFont="1" applyFill="1" applyBorder="1" applyAlignment="1">
      <alignment horizontal="center"/>
    </xf>
    <xf numFmtId="1" fontId="11" fillId="6" borderId="51" xfId="1" applyNumberFormat="1" applyFont="1" applyFill="1" applyBorder="1" applyAlignment="1">
      <alignment horizontal="center"/>
    </xf>
    <xf numFmtId="2" fontId="11" fillId="6" borderId="52" xfId="1" applyNumberFormat="1" applyFont="1" applyFill="1" applyBorder="1" applyAlignment="1">
      <alignment horizontal="center"/>
    </xf>
    <xf numFmtId="2" fontId="11" fillId="6" borderId="12" xfId="1" applyNumberFormat="1" applyFont="1" applyFill="1" applyBorder="1" applyAlignment="1">
      <alignment horizontal="center"/>
    </xf>
    <xf numFmtId="1" fontId="11" fillId="6" borderId="53" xfId="1" applyNumberFormat="1" applyFont="1" applyFill="1" applyBorder="1" applyAlignment="1">
      <alignment horizontal="center"/>
    </xf>
    <xf numFmtId="165" fontId="11" fillId="0" borderId="25" xfId="1" applyNumberFormat="1" applyFont="1" applyFill="1" applyBorder="1" applyAlignment="1">
      <alignment horizontal="center"/>
    </xf>
    <xf numFmtId="1" fontId="11" fillId="7" borderId="51" xfId="1" applyNumberFormat="1" applyFont="1" applyFill="1" applyBorder="1" applyAlignment="1">
      <alignment horizontal="center"/>
    </xf>
    <xf numFmtId="2" fontId="11" fillId="7" borderId="5" xfId="1" applyNumberFormat="1" applyFont="1" applyFill="1" applyBorder="1" applyAlignment="1">
      <alignment horizontal="center"/>
    </xf>
    <xf numFmtId="1" fontId="11" fillId="7" borderId="29" xfId="1" applyNumberFormat="1" applyFont="1" applyFill="1" applyBorder="1" applyAlignment="1">
      <alignment horizontal="center"/>
    </xf>
    <xf numFmtId="10" fontId="10" fillId="2" borderId="54" xfId="2" applyNumberFormat="1" applyFont="1" applyFill="1" applyBorder="1" applyAlignment="1">
      <alignment horizontal="center"/>
    </xf>
    <xf numFmtId="1" fontId="37" fillId="4" borderId="0" xfId="2" applyNumberFormat="1" applyFont="1" applyFill="1" applyBorder="1" applyAlignment="1"/>
    <xf numFmtId="1" fontId="11" fillId="8" borderId="20" xfId="0" applyNumberFormat="1" applyFont="1" applyFill="1" applyBorder="1" applyAlignment="1">
      <alignment horizontal="center"/>
    </xf>
    <xf numFmtId="1" fontId="11" fillId="8" borderId="55" xfId="0" applyNumberFormat="1" applyFont="1" applyFill="1" applyBorder="1" applyAlignment="1">
      <alignment horizontal="center" vertical="center"/>
    </xf>
    <xf numFmtId="2" fontId="38" fillId="8" borderId="26" xfId="0" applyNumberFormat="1" applyFont="1" applyFill="1" applyBorder="1" applyAlignment="1">
      <alignment horizontal="center"/>
    </xf>
    <xf numFmtId="2" fontId="11" fillId="0" borderId="56" xfId="0" applyNumberFormat="1" applyFont="1" applyBorder="1" applyAlignment="1" applyProtection="1">
      <alignment horizontal="center"/>
      <protection locked="0"/>
    </xf>
    <xf numFmtId="0" fontId="11" fillId="7" borderId="59" xfId="0" quotePrefix="1" applyFont="1" applyFill="1" applyBorder="1" applyAlignment="1">
      <alignment horizontal="center"/>
    </xf>
    <xf numFmtId="0" fontId="11" fillId="0" borderId="60" xfId="0" applyFont="1" applyBorder="1" applyAlignment="1" applyProtection="1">
      <alignment horizontal="center"/>
      <protection locked="0"/>
    </xf>
    <xf numFmtId="165" fontId="11" fillId="7" borderId="61" xfId="1" applyNumberFormat="1" applyFont="1" applyFill="1" applyBorder="1" applyAlignment="1" applyProtection="1">
      <alignment horizontal="center"/>
      <protection locked="0"/>
    </xf>
    <xf numFmtId="0" fontId="11" fillId="5" borderId="51" xfId="1" applyNumberFormat="1" applyFont="1" applyFill="1" applyBorder="1" applyAlignment="1">
      <alignment horizontal="center"/>
    </xf>
    <xf numFmtId="165" fontId="11" fillId="0" borderId="62" xfId="1" applyNumberFormat="1" applyFont="1" applyFill="1" applyBorder="1" applyAlignment="1" applyProtection="1">
      <alignment horizontal="center"/>
      <protection locked="0"/>
    </xf>
    <xf numFmtId="165" fontId="11" fillId="0" borderId="63" xfId="1" applyNumberFormat="1" applyFont="1" applyFill="1" applyBorder="1" applyAlignment="1" applyProtection="1">
      <alignment horizontal="center"/>
      <protection locked="0"/>
    </xf>
    <xf numFmtId="165" fontId="11" fillId="0" borderId="64" xfId="1" applyNumberFormat="1" applyFont="1" applyFill="1" applyBorder="1" applyAlignment="1" applyProtection="1">
      <alignment horizontal="center"/>
      <protection locked="0"/>
    </xf>
    <xf numFmtId="0" fontId="11" fillId="5" borderId="65" xfId="1" applyNumberFormat="1" applyFont="1" applyFill="1" applyBorder="1" applyAlignment="1">
      <alignment horizontal="center"/>
    </xf>
    <xf numFmtId="165" fontId="11" fillId="0" borderId="66" xfId="0" applyNumberFormat="1" applyFont="1" applyBorder="1" applyAlignment="1" applyProtection="1">
      <alignment horizontal="center"/>
      <protection locked="0"/>
    </xf>
    <xf numFmtId="0" fontId="11" fillId="0" borderId="57" xfId="0" applyFont="1" applyBorder="1" applyAlignment="1" applyProtection="1">
      <alignment horizontal="center"/>
      <protection locked="0"/>
    </xf>
    <xf numFmtId="0" fontId="11" fillId="0" borderId="58" xfId="0" applyFont="1" applyBorder="1" applyAlignment="1" applyProtection="1">
      <alignment horizontal="center"/>
      <protection locked="0"/>
    </xf>
    <xf numFmtId="0" fontId="11" fillId="0" borderId="59" xfId="0" applyFont="1" applyBorder="1" applyAlignment="1" applyProtection="1">
      <alignment horizontal="center"/>
      <protection locked="0"/>
    </xf>
    <xf numFmtId="0" fontId="11" fillId="0" borderId="67" xfId="0" applyFont="1" applyBorder="1" applyAlignment="1" applyProtection="1">
      <alignment horizontal="center"/>
      <protection locked="0"/>
    </xf>
    <xf numFmtId="0" fontId="11" fillId="5" borderId="67" xfId="0" applyFont="1" applyFill="1" applyBorder="1" applyAlignment="1">
      <alignment horizontal="center"/>
    </xf>
    <xf numFmtId="0" fontId="11" fillId="7" borderId="70" xfId="0" quotePrefix="1" applyFont="1" applyFill="1" applyBorder="1" applyAlignment="1">
      <alignment horizontal="center"/>
    </xf>
    <xf numFmtId="0" fontId="11" fillId="0" borderId="71" xfId="0" applyFont="1" applyBorder="1" applyAlignment="1" applyProtection="1">
      <alignment horizontal="center"/>
      <protection locked="0"/>
    </xf>
    <xf numFmtId="165" fontId="11" fillId="7" borderId="72" xfId="1" applyNumberFormat="1" applyFont="1" applyFill="1" applyBorder="1" applyAlignment="1" applyProtection="1">
      <alignment horizontal="center"/>
      <protection locked="0"/>
    </xf>
    <xf numFmtId="165" fontId="11" fillId="0" borderId="73" xfId="1" applyNumberFormat="1" applyFont="1" applyFill="1" applyBorder="1" applyAlignment="1" applyProtection="1">
      <alignment horizontal="center"/>
      <protection locked="0"/>
    </xf>
    <xf numFmtId="0" fontId="11" fillId="5" borderId="72" xfId="1" applyNumberFormat="1" applyFont="1" applyFill="1" applyBorder="1" applyAlignment="1">
      <alignment horizontal="center"/>
    </xf>
    <xf numFmtId="165" fontId="11" fillId="0" borderId="74" xfId="1" applyNumberFormat="1" applyFont="1" applyFill="1" applyBorder="1" applyAlignment="1" applyProtection="1">
      <alignment horizontal="center"/>
      <protection locked="0"/>
    </xf>
    <xf numFmtId="165" fontId="11" fillId="0" borderId="75" xfId="1" applyNumberFormat="1" applyFont="1" applyFill="1" applyBorder="1" applyAlignment="1" applyProtection="1">
      <alignment horizontal="center"/>
      <protection locked="0"/>
    </xf>
    <xf numFmtId="165" fontId="11" fillId="0" borderId="76" xfId="1" applyNumberFormat="1" applyFont="1" applyFill="1" applyBorder="1" applyAlignment="1" applyProtection="1">
      <alignment horizontal="center"/>
      <protection locked="0"/>
    </xf>
    <xf numFmtId="0" fontId="11" fillId="5" borderId="77" xfId="1" applyNumberFormat="1" applyFont="1" applyFill="1" applyBorder="1" applyAlignment="1">
      <alignment horizontal="center"/>
    </xf>
    <xf numFmtId="165" fontId="11" fillId="0" borderId="78" xfId="0" applyNumberFormat="1" applyFont="1" applyBorder="1" applyAlignment="1" applyProtection="1">
      <alignment horizontal="center"/>
      <protection locked="0"/>
    </xf>
    <xf numFmtId="0" fontId="11" fillId="0" borderId="68" xfId="0" applyFont="1" applyBorder="1" applyAlignment="1" applyProtection="1">
      <alignment horizontal="center"/>
      <protection locked="0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79" xfId="0" applyFont="1" applyBorder="1" applyAlignment="1" applyProtection="1">
      <alignment horizontal="center"/>
      <protection locked="0"/>
    </xf>
    <xf numFmtId="0" fontId="11" fillId="5" borderId="79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5" fontId="12" fillId="0" borderId="0" xfId="1" applyNumberFormat="1" applyFont="1" applyFill="1" applyBorder="1" applyAlignment="1">
      <alignment horizontal="center"/>
    </xf>
    <xf numFmtId="165" fontId="12" fillId="0" borderId="0" xfId="1" applyNumberFormat="1" applyFont="1" applyFill="1" applyBorder="1" applyAlignment="1" applyProtection="1">
      <alignment horizontal="center"/>
      <protection locked="0"/>
    </xf>
    <xf numFmtId="0" fontId="12" fillId="0" borderId="37" xfId="0" applyFont="1" applyBorder="1" applyAlignment="1" applyProtection="1">
      <alignment horizontal="center"/>
      <protection locked="0"/>
    </xf>
    <xf numFmtId="0" fontId="12" fillId="0" borderId="38" xfId="0" applyFont="1" applyBorder="1" applyAlignment="1" applyProtection="1">
      <alignment horizontal="center"/>
      <protection locked="0"/>
    </xf>
    <xf numFmtId="0" fontId="12" fillId="0" borderId="39" xfId="0" applyFont="1" applyBorder="1" applyAlignment="1" applyProtection="1">
      <alignment horizontal="center"/>
      <protection locked="0"/>
    </xf>
    <xf numFmtId="0" fontId="12" fillId="0" borderId="41" xfId="0" applyFont="1" applyBorder="1" applyAlignment="1" applyProtection="1">
      <alignment horizontal="center"/>
      <protection locked="0"/>
    </xf>
    <xf numFmtId="0" fontId="12" fillId="5" borderId="41" xfId="0" applyFont="1" applyFill="1" applyBorder="1" applyAlignment="1">
      <alignment horizontal="center"/>
    </xf>
    <xf numFmtId="0" fontId="12" fillId="0" borderId="57" xfId="0" applyFont="1" applyBorder="1" applyAlignment="1" applyProtection="1">
      <alignment horizontal="center"/>
      <protection locked="0"/>
    </xf>
    <xf numFmtId="0" fontId="12" fillId="0" borderId="58" xfId="0" applyFont="1" applyBorder="1" applyAlignment="1" applyProtection="1">
      <alignment horizontal="center"/>
      <protection locked="0"/>
    </xf>
    <xf numFmtId="0" fontId="12" fillId="0" borderId="59" xfId="0" applyFont="1" applyBorder="1" applyAlignment="1" applyProtection="1">
      <alignment horizontal="center"/>
      <protection locked="0"/>
    </xf>
    <xf numFmtId="0" fontId="12" fillId="0" borderId="67" xfId="0" applyFont="1" applyBorder="1" applyAlignment="1" applyProtection="1">
      <alignment horizontal="center"/>
      <protection locked="0"/>
    </xf>
    <xf numFmtId="0" fontId="12" fillId="5" borderId="67" xfId="0" applyFont="1" applyFill="1" applyBorder="1" applyAlignment="1">
      <alignment horizontal="center"/>
    </xf>
    <xf numFmtId="0" fontId="12" fillId="0" borderId="68" xfId="0" applyFont="1" applyBorder="1" applyAlignment="1" applyProtection="1">
      <alignment horizontal="center"/>
      <protection locked="0"/>
    </xf>
    <xf numFmtId="0" fontId="12" fillId="0" borderId="69" xfId="0" applyFont="1" applyBorder="1" applyAlignment="1" applyProtection="1">
      <alignment horizontal="center"/>
      <protection locked="0"/>
    </xf>
    <xf numFmtId="0" fontId="12" fillId="0" borderId="70" xfId="0" applyFont="1" applyBorder="1" applyAlignment="1" applyProtection="1">
      <alignment horizontal="center"/>
      <protection locked="0"/>
    </xf>
    <xf numFmtId="0" fontId="12" fillId="0" borderId="79" xfId="0" applyFont="1" applyBorder="1" applyAlignment="1" applyProtection="1">
      <alignment horizontal="center"/>
      <protection locked="0"/>
    </xf>
    <xf numFmtId="0" fontId="12" fillId="5" borderId="79" xfId="0" applyFont="1" applyFill="1" applyBorder="1" applyAlignment="1">
      <alignment horizontal="center"/>
    </xf>
    <xf numFmtId="0" fontId="11" fillId="7" borderId="80" xfId="0" quotePrefix="1" applyFont="1" applyFill="1" applyBorder="1" applyAlignment="1">
      <alignment horizontal="center"/>
    </xf>
    <xf numFmtId="0" fontId="11" fillId="0" borderId="81" xfId="0" applyFont="1" applyBorder="1" applyAlignment="1" applyProtection="1">
      <alignment horizontal="center"/>
      <protection locked="0"/>
    </xf>
    <xf numFmtId="0" fontId="12" fillId="7" borderId="59" xfId="0" quotePrefix="1" applyFont="1" applyFill="1" applyBorder="1" applyAlignment="1">
      <alignment horizontal="center"/>
    </xf>
    <xf numFmtId="0" fontId="12" fillId="0" borderId="60" xfId="0" applyFont="1" applyBorder="1" applyAlignment="1" applyProtection="1">
      <alignment horizontal="center"/>
      <protection locked="0"/>
    </xf>
    <xf numFmtId="165" fontId="11" fillId="0" borderId="82" xfId="1" applyNumberFormat="1" applyFont="1" applyFill="1" applyBorder="1" applyAlignment="1" applyProtection="1">
      <alignment horizontal="center"/>
      <protection locked="0"/>
    </xf>
    <xf numFmtId="0" fontId="12" fillId="7" borderId="70" xfId="0" quotePrefix="1" applyFont="1" applyFill="1" applyBorder="1" applyAlignment="1">
      <alignment horizontal="center"/>
    </xf>
    <xf numFmtId="0" fontId="12" fillId="0" borderId="71" xfId="0" applyFont="1" applyBorder="1" applyAlignment="1" applyProtection="1">
      <alignment horizontal="center"/>
      <protection locked="0"/>
    </xf>
    <xf numFmtId="165" fontId="11" fillId="0" borderId="83" xfId="1" applyNumberFormat="1" applyFont="1" applyFill="1" applyBorder="1" applyAlignment="1" applyProtection="1">
      <alignment horizontal="center"/>
      <protection locked="0"/>
    </xf>
    <xf numFmtId="0" fontId="12" fillId="7" borderId="72" xfId="0" applyFont="1" applyFill="1" applyBorder="1" applyAlignment="1">
      <alignment horizontal="center"/>
    </xf>
    <xf numFmtId="165" fontId="12" fillId="0" borderId="25" xfId="1" applyNumberFormat="1" applyFont="1" applyFill="1" applyBorder="1" applyAlignment="1">
      <alignment horizontal="center"/>
    </xf>
    <xf numFmtId="165" fontId="12" fillId="7" borderId="72" xfId="1" applyNumberFormat="1" applyFont="1" applyFill="1" applyBorder="1" applyAlignment="1">
      <alignment horizontal="center"/>
    </xf>
    <xf numFmtId="165" fontId="12" fillId="4" borderId="2" xfId="1" applyNumberFormat="1" applyFont="1" applyFill="1" applyBorder="1" applyAlignment="1">
      <alignment horizontal="center"/>
    </xf>
    <xf numFmtId="0" fontId="11" fillId="4" borderId="3" xfId="1" applyNumberFormat="1" applyFont="1" applyFill="1" applyBorder="1" applyAlignment="1">
      <alignment horizontal="center"/>
    </xf>
    <xf numFmtId="0" fontId="11" fillId="0" borderId="0" xfId="1" applyNumberFormat="1" applyFont="1" applyFill="1" applyBorder="1" applyAlignment="1">
      <alignment horizontal="center"/>
    </xf>
    <xf numFmtId="0" fontId="3" fillId="5" borderId="72" xfId="1" applyNumberFormat="1" applyFont="1" applyFill="1" applyBorder="1" applyAlignment="1">
      <alignment horizontal="center" vertical="center"/>
    </xf>
    <xf numFmtId="165" fontId="12" fillId="5" borderId="84" xfId="1" applyNumberFormat="1" applyFont="1" applyFill="1" applyBorder="1" applyAlignment="1">
      <alignment horizontal="center"/>
    </xf>
    <xf numFmtId="165" fontId="12" fillId="5" borderId="72" xfId="1" applyNumberFormat="1" applyFont="1" applyFill="1" applyBorder="1" applyAlignment="1">
      <alignment horizontal="center" textRotation="90"/>
    </xf>
    <xf numFmtId="165" fontId="12" fillId="5" borderId="84" xfId="1" applyNumberFormat="1" applyFont="1" applyFill="1" applyBorder="1" applyAlignment="1">
      <alignment horizontal="center" textRotation="90"/>
    </xf>
    <xf numFmtId="0" fontId="3" fillId="0" borderId="27" xfId="0" applyFont="1" applyBorder="1" applyAlignment="1">
      <alignment horizontal="center" vertical="center" textRotation="90"/>
    </xf>
    <xf numFmtId="0" fontId="12" fillId="0" borderId="0" xfId="0" applyFont="1" applyAlignment="1">
      <alignment horizontal="center" textRotation="90"/>
    </xf>
    <xf numFmtId="165" fontId="18" fillId="3" borderId="2" xfId="0" applyNumberFormat="1" applyFont="1" applyFill="1" applyBorder="1" applyAlignment="1">
      <alignment horizontal="center" vertical="center"/>
    </xf>
    <xf numFmtId="165" fontId="11" fillId="4" borderId="85" xfId="0" applyNumberFormat="1" applyFont="1" applyFill="1" applyBorder="1" applyAlignment="1">
      <alignment horizontal="center"/>
    </xf>
    <xf numFmtId="165" fontId="12" fillId="5" borderId="15" xfId="0" applyNumberFormat="1" applyFont="1" applyFill="1" applyBorder="1" applyAlignment="1">
      <alignment horizontal="center" textRotation="90"/>
    </xf>
    <xf numFmtId="1" fontId="12" fillId="5" borderId="16" xfId="0" applyNumberFormat="1" applyFont="1" applyFill="1" applyBorder="1" applyAlignment="1">
      <alignment horizontal="center" textRotation="90"/>
    </xf>
    <xf numFmtId="165" fontId="18" fillId="0" borderId="13" xfId="0" applyNumberFormat="1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0" fontId="18" fillId="8" borderId="14" xfId="2" applyNumberFormat="1" applyFont="1" applyFill="1" applyBorder="1" applyAlignment="1">
      <alignment horizontal="center" vertical="center" wrapText="1"/>
    </xf>
    <xf numFmtId="10" fontId="18" fillId="8" borderId="13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2" fontId="18" fillId="6" borderId="86" xfId="1" applyNumberFormat="1" applyFont="1" applyFill="1" applyBorder="1" applyAlignment="1">
      <alignment horizontal="center" vertical="center"/>
    </xf>
    <xf numFmtId="2" fontId="18" fillId="6" borderId="87" xfId="1" applyNumberFormat="1" applyFont="1" applyFill="1" applyBorder="1" applyAlignment="1">
      <alignment horizontal="center" vertical="center"/>
    </xf>
    <xf numFmtId="10" fontId="27" fillId="6" borderId="13" xfId="2" applyNumberFormat="1" applyFont="1" applyFill="1" applyBorder="1" applyAlignment="1">
      <alignment horizontal="center" vertical="center"/>
    </xf>
    <xf numFmtId="165" fontId="38" fillId="4" borderId="13" xfId="0" applyNumberFormat="1" applyFont="1" applyFill="1" applyBorder="1" applyAlignment="1">
      <alignment horizontal="center" vertical="center"/>
    </xf>
    <xf numFmtId="10" fontId="18" fillId="0" borderId="0" xfId="2" applyNumberFormat="1" applyFont="1" applyFill="1" applyBorder="1" applyAlignment="1">
      <alignment horizontal="center" vertical="center"/>
    </xf>
    <xf numFmtId="165" fontId="18" fillId="4" borderId="14" xfId="1" applyNumberFormat="1" applyFont="1" applyFill="1" applyBorder="1" applyAlignment="1">
      <alignment horizontal="center" vertical="center"/>
    </xf>
    <xf numFmtId="2" fontId="39" fillId="6" borderId="15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" fontId="18" fillId="6" borderId="86" xfId="1" applyNumberFormat="1" applyFont="1" applyFill="1" applyBorder="1" applyAlignment="1">
      <alignment horizontal="center" vertical="center"/>
    </xf>
    <xf numFmtId="1" fontId="18" fillId="6" borderId="13" xfId="1" applyNumberFormat="1" applyFont="1" applyFill="1" applyBorder="1" applyAlignment="1">
      <alignment horizontal="center" vertical="center"/>
    </xf>
    <xf numFmtId="1" fontId="18" fillId="6" borderId="4" xfId="1" applyNumberFormat="1" applyFont="1" applyFill="1" applyBorder="1" applyAlignment="1">
      <alignment horizontal="center" vertical="center"/>
    </xf>
    <xf numFmtId="10" fontId="18" fillId="0" borderId="4" xfId="2" applyNumberFormat="1" applyFont="1" applyFill="1" applyBorder="1" applyAlignment="1">
      <alignment horizontal="center" vertical="center"/>
    </xf>
    <xf numFmtId="10" fontId="40" fillId="2" borderId="13" xfId="2" applyNumberFormat="1" applyFont="1" applyFill="1" applyBorder="1" applyAlignment="1">
      <alignment horizontal="center" vertical="center"/>
    </xf>
    <xf numFmtId="2" fontId="11" fillId="4" borderId="52" xfId="1" applyNumberFormat="1" applyFont="1" applyFill="1" applyBorder="1" applyAlignment="1">
      <alignment horizontal="center"/>
    </xf>
    <xf numFmtId="2" fontId="18" fillId="6" borderId="2" xfId="1" applyNumberFormat="1" applyFont="1" applyFill="1" applyBorder="1" applyAlignment="1">
      <alignment horizontal="center" vertical="center"/>
    </xf>
    <xf numFmtId="165" fontId="18" fillId="0" borderId="25" xfId="1" applyNumberFormat="1" applyFont="1" applyFill="1" applyBorder="1" applyAlignment="1">
      <alignment horizontal="center" vertical="center"/>
    </xf>
    <xf numFmtId="1" fontId="18" fillId="7" borderId="13" xfId="1" applyNumberFormat="1" applyFont="1" applyFill="1" applyBorder="1" applyAlignment="1">
      <alignment horizontal="center" vertical="center"/>
    </xf>
    <xf numFmtId="2" fontId="18" fillId="4" borderId="13" xfId="1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2" fontId="18" fillId="0" borderId="13" xfId="0" applyNumberFormat="1" applyFont="1" applyBorder="1" applyAlignment="1">
      <alignment horizontal="center" vertical="center"/>
    </xf>
    <xf numFmtId="2" fontId="38" fillId="8" borderId="13" xfId="0" applyNumberFormat="1" applyFont="1" applyFill="1" applyBorder="1" applyAlignment="1">
      <alignment horizontal="center" vertical="center"/>
    </xf>
    <xf numFmtId="10" fontId="39" fillId="0" borderId="0" xfId="2" applyNumberFormat="1" applyFont="1" applyFill="1" applyAlignment="1">
      <alignment horizontal="center" vertical="center"/>
    </xf>
    <xf numFmtId="10" fontId="18" fillId="5" borderId="13" xfId="2" applyNumberFormat="1" applyFont="1" applyFill="1" applyBorder="1" applyAlignment="1">
      <alignment horizontal="center" vertical="center"/>
    </xf>
    <xf numFmtId="10" fontId="18" fillId="0" borderId="42" xfId="2" applyNumberFormat="1" applyFont="1" applyFill="1" applyBorder="1" applyAlignment="1">
      <alignment horizontal="center" vertical="center" textRotation="90"/>
    </xf>
    <xf numFmtId="10" fontId="18" fillId="0" borderId="0" xfId="2" applyNumberFormat="1" applyFont="1" applyFill="1" applyBorder="1" applyAlignment="1">
      <alignment horizontal="center" vertical="center" textRotation="90"/>
    </xf>
    <xf numFmtId="10" fontId="18" fillId="0" borderId="0" xfId="2" applyNumberFormat="1" applyFont="1" applyBorder="1" applyAlignment="1">
      <alignment horizontal="center" vertical="center" textRotation="90"/>
    </xf>
    <xf numFmtId="1" fontId="39" fillId="0" borderId="0" xfId="2" applyNumberFormat="1" applyFont="1" applyFill="1" applyBorder="1" applyAlignment="1">
      <alignment horizontal="center" vertical="center"/>
    </xf>
    <xf numFmtId="10" fontId="39" fillId="0" borderId="0" xfId="2" applyNumberFormat="1" applyFont="1" applyFill="1" applyBorder="1" applyAlignment="1">
      <alignment horizontal="center" vertical="center"/>
    </xf>
    <xf numFmtId="10" fontId="18" fillId="0" borderId="0" xfId="2" applyNumberFormat="1" applyFont="1" applyAlignment="1">
      <alignment horizontal="center" vertical="center" wrapText="1"/>
    </xf>
    <xf numFmtId="10" fontId="41" fillId="0" borderId="0" xfId="2" applyNumberFormat="1" applyFont="1" applyFill="1" applyBorder="1" applyAlignment="1">
      <alignment horizontal="center" vertical="center"/>
    </xf>
    <xf numFmtId="10" fontId="38" fillId="4" borderId="0" xfId="2" applyNumberFormat="1" applyFont="1" applyFill="1" applyBorder="1" applyAlignment="1">
      <alignment horizontal="center" vertical="center" textRotation="90"/>
    </xf>
    <xf numFmtId="10" fontId="38" fillId="0" borderId="0" xfId="2" applyNumberFormat="1" applyFont="1" applyFill="1" applyBorder="1" applyAlignment="1">
      <alignment horizontal="center" vertical="center"/>
    </xf>
    <xf numFmtId="10" fontId="18" fillId="0" borderId="0" xfId="2" applyNumberFormat="1" applyFont="1" applyFill="1" applyBorder="1" applyAlignment="1" applyProtection="1">
      <alignment horizontal="center" vertical="center"/>
      <protection locked="0"/>
    </xf>
    <xf numFmtId="10" fontId="18" fillId="0" borderId="0" xfId="2" applyNumberFormat="1" applyFont="1" applyFill="1" applyAlignment="1">
      <alignment horizontal="center" vertical="center"/>
    </xf>
    <xf numFmtId="10" fontId="39" fillId="0" borderId="0" xfId="2" applyNumberFormat="1" applyFont="1" applyAlignment="1">
      <alignment horizontal="center" vertical="center"/>
    </xf>
    <xf numFmtId="10" fontId="18" fillId="5" borderId="5" xfId="2" applyNumberFormat="1" applyFont="1" applyFill="1" applyBorder="1" applyAlignment="1">
      <alignment horizontal="center" vertical="center"/>
    </xf>
    <xf numFmtId="10" fontId="18" fillId="0" borderId="88" xfId="2" applyNumberFormat="1" applyFont="1" applyFill="1" applyBorder="1" applyAlignment="1">
      <alignment horizontal="center" vertical="center" textRotation="90"/>
    </xf>
    <xf numFmtId="10" fontId="18" fillId="0" borderId="85" xfId="2" applyNumberFormat="1" applyFont="1" applyFill="1" applyBorder="1" applyAlignment="1">
      <alignment horizontal="center" vertical="center" textRotation="90"/>
    </xf>
    <xf numFmtId="0" fontId="39" fillId="0" borderId="85" xfId="2" applyNumberFormat="1" applyFont="1" applyBorder="1" applyAlignment="1">
      <alignment horizontal="center" vertical="center" textRotation="90"/>
    </xf>
    <xf numFmtId="9" fontId="1" fillId="0" borderId="0" xfId="2" applyBorder="1" applyAlignment="1">
      <alignment horizontal="center" vertical="center" textRotation="90"/>
    </xf>
    <xf numFmtId="9" fontId="1" fillId="0" borderId="0" xfId="2" applyAlignment="1">
      <alignment horizontal="center" vertical="center" textRotation="90"/>
    </xf>
    <xf numFmtId="9" fontId="1" fillId="0" borderId="0" xfId="2" applyFill="1" applyAlignment="1">
      <alignment horizontal="center" vertical="center" textRotation="90"/>
    </xf>
    <xf numFmtId="10" fontId="1" fillId="0" borderId="0" xfId="2" applyNumberFormat="1" applyFill="1" applyBorder="1" applyAlignment="1">
      <alignment horizontal="center" vertical="center"/>
    </xf>
    <xf numFmtId="10" fontId="1" fillId="0" borderId="0" xfId="2" applyNumberFormat="1" applyAlignment="1">
      <alignment horizontal="center" vertical="center"/>
    </xf>
    <xf numFmtId="9" fontId="37" fillId="4" borderId="0" xfId="2" applyFont="1" applyFill="1" applyAlignment="1">
      <alignment horizontal="center" vertical="center" textRotation="90"/>
    </xf>
    <xf numFmtId="16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0" fontId="1" fillId="0" borderId="0" xfId="2" applyNumberFormat="1" applyAlignment="1">
      <alignment horizontal="center"/>
    </xf>
    <xf numFmtId="0" fontId="37" fillId="4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33" fillId="7" borderId="15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42" fillId="9" borderId="85" xfId="8" applyFont="1" applyFill="1" applyBorder="1" applyAlignment="1">
      <alignment horizontal="center"/>
    </xf>
    <xf numFmtId="0" fontId="1" fillId="0" borderId="0" xfId="8"/>
    <xf numFmtId="0" fontId="2" fillId="0" borderId="85" xfId="8" applyFont="1" applyBorder="1" applyAlignment="1">
      <alignment horizontal="center"/>
    </xf>
    <xf numFmtId="10" fontId="2" fillId="0" borderId="85" xfId="8" applyNumberFormat="1" applyFont="1" applyBorder="1" applyAlignment="1">
      <alignment horizontal="center"/>
    </xf>
    <xf numFmtId="0" fontId="3" fillId="0" borderId="0" xfId="11" applyFont="1" applyAlignment="1">
      <alignment horizontal="center" vertical="center" shrinkToFit="1"/>
    </xf>
    <xf numFmtId="0" fontId="3" fillId="0" borderId="0" xfId="11" applyFont="1" applyAlignment="1">
      <alignment horizontal="center" vertical="center"/>
    </xf>
    <xf numFmtId="0" fontId="23" fillId="7" borderId="14" xfId="11" applyFont="1" applyFill="1" applyBorder="1" applyAlignment="1">
      <alignment horizontal="center" vertical="center" wrapText="1"/>
    </xf>
    <xf numFmtId="0" fontId="23" fillId="0" borderId="0" xfId="11" applyFont="1" applyAlignment="1">
      <alignment horizontal="center" vertical="center" wrapText="1"/>
    </xf>
    <xf numFmtId="0" fontId="1" fillId="0" borderId="0" xfId="11" applyAlignment="1">
      <alignment horizontal="center"/>
    </xf>
    <xf numFmtId="1" fontId="12" fillId="5" borderId="22" xfId="0" applyNumberFormat="1" applyFont="1" applyFill="1" applyBorder="1" applyAlignment="1" applyProtection="1">
      <alignment horizontal="center" textRotation="90" wrapText="1"/>
      <protection locked="0"/>
    </xf>
    <xf numFmtId="165" fontId="45" fillId="4" borderId="13" xfId="0" applyNumberFormat="1" applyFont="1" applyFill="1" applyBorder="1" applyAlignment="1">
      <alignment horizontal="center" vertical="center"/>
    </xf>
    <xf numFmtId="2" fontId="18" fillId="0" borderId="30" xfId="0" applyNumberFormat="1" applyFont="1" applyBorder="1" applyAlignment="1" applyProtection="1">
      <alignment horizontal="center" vertical="center"/>
      <protection locked="0"/>
    </xf>
    <xf numFmtId="165" fontId="5" fillId="2" borderId="13" xfId="0" applyNumberFormat="1" applyFont="1" applyFill="1" applyBorder="1" applyAlignment="1">
      <alignment horizontal="center" vertical="center"/>
    </xf>
    <xf numFmtId="0" fontId="33" fillId="10" borderId="14" xfId="0" applyFont="1" applyFill="1" applyBorder="1" applyAlignment="1" applyProtection="1">
      <alignment horizontal="center" vertical="justify" textRotation="90" wrapText="1"/>
      <protection locked="0"/>
    </xf>
    <xf numFmtId="0" fontId="33" fillId="10" borderId="15" xfId="0" applyFont="1" applyFill="1" applyBorder="1" applyAlignment="1" applyProtection="1">
      <alignment horizontal="center" vertical="justify" textRotation="90" wrapText="1"/>
      <protection locked="0"/>
    </xf>
    <xf numFmtId="0" fontId="33" fillId="10" borderId="15" xfId="0" applyFont="1" applyFill="1" applyBorder="1" applyAlignment="1" applyProtection="1">
      <alignment horizontal="left" textRotation="90" wrapText="1"/>
      <protection locked="0"/>
    </xf>
    <xf numFmtId="0" fontId="33" fillId="10" borderId="15" xfId="0" applyFont="1" applyFill="1" applyBorder="1" applyAlignment="1" applyProtection="1">
      <alignment horizontal="center" textRotation="90" wrapText="1"/>
      <protection locked="0"/>
    </xf>
    <xf numFmtId="0" fontId="1" fillId="10" borderId="19" xfId="0" applyFont="1" applyFill="1" applyBorder="1" applyAlignment="1">
      <alignment horizontal="center"/>
    </xf>
    <xf numFmtId="0" fontId="1" fillId="10" borderId="20" xfId="0" applyFont="1" applyFill="1" applyBorder="1" applyAlignment="1">
      <alignment horizontal="center"/>
    </xf>
    <xf numFmtId="0" fontId="46" fillId="11" borderId="14" xfId="0" applyFont="1" applyFill="1" applyBorder="1" applyAlignment="1" applyProtection="1">
      <alignment horizontal="center" textRotation="90" wrapText="1"/>
      <protection locked="0"/>
    </xf>
    <xf numFmtId="0" fontId="46" fillId="11" borderId="15" xfId="0" applyFont="1" applyFill="1" applyBorder="1" applyAlignment="1" applyProtection="1">
      <alignment horizontal="center" textRotation="90" wrapText="1"/>
      <protection locked="0"/>
    </xf>
    <xf numFmtId="0" fontId="46" fillId="11" borderId="15" xfId="0" applyFont="1" applyFill="1" applyBorder="1" applyAlignment="1" applyProtection="1">
      <alignment horizontal="center" vertical="justify" textRotation="90" wrapText="1"/>
      <protection locked="0"/>
    </xf>
    <xf numFmtId="0" fontId="46" fillId="11" borderId="18" xfId="0" applyFont="1" applyFill="1" applyBorder="1" applyAlignment="1" applyProtection="1">
      <alignment horizontal="center" textRotation="90" wrapText="1"/>
      <protection locked="0"/>
    </xf>
    <xf numFmtId="0" fontId="33" fillId="10" borderId="22" xfId="0" applyFont="1" applyFill="1" applyBorder="1" applyAlignment="1" applyProtection="1">
      <alignment horizontal="center" textRotation="90" wrapText="1"/>
      <protection locked="0"/>
    </xf>
    <xf numFmtId="0" fontId="24" fillId="5" borderId="15" xfId="0" applyFont="1" applyFill="1" applyBorder="1" applyAlignment="1" applyProtection="1">
      <alignment horizontal="center" textRotation="90" wrapText="1"/>
      <protection locked="0"/>
    </xf>
    <xf numFmtId="0" fontId="11" fillId="0" borderId="89" xfId="0" applyFont="1" applyBorder="1" applyAlignment="1" applyProtection="1">
      <alignment horizontal="center"/>
      <protection locked="0"/>
    </xf>
    <xf numFmtId="0" fontId="11" fillId="0" borderId="90" xfId="0" applyFont="1" applyBorder="1" applyAlignment="1" applyProtection="1">
      <alignment horizontal="center"/>
      <protection locked="0"/>
    </xf>
    <xf numFmtId="0" fontId="11" fillId="0" borderId="91" xfId="0" applyFont="1" applyBorder="1" applyAlignment="1" applyProtection="1">
      <alignment horizontal="center"/>
      <protection locked="0"/>
    </xf>
    <xf numFmtId="0" fontId="12" fillId="0" borderId="89" xfId="0" applyFont="1" applyBorder="1" applyAlignment="1" applyProtection="1">
      <alignment horizontal="center"/>
      <protection locked="0"/>
    </xf>
    <xf numFmtId="0" fontId="12" fillId="0" borderId="90" xfId="0" applyFont="1" applyBorder="1" applyAlignment="1" applyProtection="1">
      <alignment horizontal="center"/>
      <protection locked="0"/>
    </xf>
    <xf numFmtId="0" fontId="12" fillId="0" borderId="91" xfId="0" applyFont="1" applyBorder="1" applyAlignment="1" applyProtection="1">
      <alignment horizontal="center"/>
      <protection locked="0"/>
    </xf>
    <xf numFmtId="1" fontId="24" fillId="5" borderId="18" xfId="0" applyNumberFormat="1" applyFont="1" applyFill="1" applyBorder="1" applyAlignment="1" applyProtection="1">
      <alignment horizontal="center" textRotation="90" wrapText="1"/>
      <protection locked="0"/>
    </xf>
    <xf numFmtId="0" fontId="12" fillId="7" borderId="5" xfId="8" applyFont="1" applyFill="1" applyBorder="1" applyAlignment="1">
      <alignment horizontal="center" vertical="center"/>
    </xf>
    <xf numFmtId="0" fontId="12" fillId="7" borderId="27" xfId="8" applyFont="1" applyFill="1" applyBorder="1" applyAlignment="1">
      <alignment horizontal="center" vertical="center"/>
    </xf>
    <xf numFmtId="0" fontId="12" fillId="7" borderId="17" xfId="8" applyFont="1" applyFill="1" applyBorder="1" applyAlignment="1">
      <alignment horizontal="center" vertical="center"/>
    </xf>
    <xf numFmtId="15" fontId="44" fillId="7" borderId="5" xfId="8" applyNumberFormat="1" applyFont="1" applyFill="1" applyBorder="1" applyAlignment="1">
      <alignment horizontal="center" vertical="center"/>
    </xf>
    <xf numFmtId="15" fontId="44" fillId="7" borderId="27" xfId="8" applyNumberFormat="1" applyFont="1" applyFill="1" applyBorder="1" applyAlignment="1">
      <alignment horizontal="center" vertical="center"/>
    </xf>
    <xf numFmtId="15" fontId="44" fillId="7" borderId="17" xfId="8" applyNumberFormat="1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10" fontId="5" fillId="2" borderId="5" xfId="2" applyNumberFormat="1" applyFont="1" applyFill="1" applyBorder="1" applyAlignment="1">
      <alignment horizontal="center" vertical="center" wrapText="1"/>
    </xf>
    <xf numFmtId="10" fontId="5" fillId="2" borderId="17" xfId="2" applyNumberFormat="1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17" xfId="0" applyFont="1" applyFill="1" applyBorder="1" applyAlignment="1">
      <alignment horizontal="center" vertical="center" wrapText="1"/>
    </xf>
    <xf numFmtId="165" fontId="18" fillId="6" borderId="5" xfId="1" applyNumberFormat="1" applyFont="1" applyFill="1" applyBorder="1" applyAlignment="1">
      <alignment horizontal="center" vertical="center" wrapText="1"/>
    </xf>
    <xf numFmtId="165" fontId="18" fillId="6" borderId="17" xfId="1" applyNumberFormat="1" applyFont="1" applyFill="1" applyBorder="1" applyAlignment="1">
      <alignment horizontal="center" vertical="center" wrapText="1"/>
    </xf>
    <xf numFmtId="165" fontId="18" fillId="6" borderId="6" xfId="1" applyNumberFormat="1" applyFont="1" applyFill="1" applyBorder="1" applyAlignment="1">
      <alignment horizontal="center" vertical="center" wrapText="1"/>
    </xf>
    <xf numFmtId="165" fontId="18" fillId="6" borderId="10" xfId="1" applyNumberFormat="1" applyFont="1" applyFill="1" applyBorder="1" applyAlignment="1">
      <alignment horizontal="center" vertical="center" wrapText="1"/>
    </xf>
    <xf numFmtId="165" fontId="18" fillId="7" borderId="5" xfId="1" applyNumberFormat="1" applyFont="1" applyFill="1" applyBorder="1" applyAlignment="1">
      <alignment horizontal="center" vertical="center" wrapText="1"/>
    </xf>
    <xf numFmtId="0" fontId="22" fillId="7" borderId="17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2" fontId="10" fillId="2" borderId="2" xfId="1" applyNumberFormat="1" applyFont="1" applyFill="1" applyBorder="1" applyAlignment="1">
      <alignment horizontal="center" vertical="center" shrinkToFit="1"/>
    </xf>
    <xf numFmtId="2" fontId="10" fillId="2" borderId="4" xfId="1" applyNumberFormat="1" applyFont="1" applyFill="1" applyBorder="1" applyAlignment="1">
      <alignment horizontal="center" vertical="center" shrinkToFit="1"/>
    </xf>
    <xf numFmtId="2" fontId="10" fillId="2" borderId="3" xfId="1" applyNumberFormat="1" applyFont="1" applyFill="1" applyBorder="1" applyAlignment="1">
      <alignment horizontal="center" vertical="center" shrinkToFit="1"/>
    </xf>
    <xf numFmtId="10" fontId="10" fillId="2" borderId="2" xfId="2" applyNumberFormat="1" applyFont="1" applyFill="1" applyBorder="1" applyAlignment="1">
      <alignment horizontal="center" vertical="center" shrinkToFit="1"/>
    </xf>
    <xf numFmtId="10" fontId="10" fillId="2" borderId="4" xfId="2" applyNumberFormat="1" applyFont="1" applyFill="1" applyBorder="1" applyAlignment="1">
      <alignment horizontal="center" vertical="center" shrinkToFit="1"/>
    </xf>
    <xf numFmtId="10" fontId="10" fillId="2" borderId="3" xfId="2" applyNumberFormat="1" applyFont="1" applyFill="1" applyBorder="1" applyAlignment="1">
      <alignment horizontal="center" vertical="center" shrinkToFi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textRotation="90" wrapText="1"/>
    </xf>
    <xf numFmtId="0" fontId="13" fillId="5" borderId="17" xfId="0" applyFont="1" applyFill="1" applyBorder="1" applyAlignment="1">
      <alignment horizontal="center" vertical="center" textRotation="90" wrapText="1"/>
    </xf>
    <xf numFmtId="0" fontId="6" fillId="3" borderId="17" xfId="0" applyFont="1" applyFill="1" applyBorder="1" applyAlignment="1">
      <alignment horizontal="center" vertical="center" wrapText="1"/>
    </xf>
    <xf numFmtId="1" fontId="14" fillId="5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1" fontId="14" fillId="5" borderId="4" xfId="0" applyNumberFormat="1" applyFont="1" applyFill="1" applyBorder="1" applyAlignment="1">
      <alignment horizontal="center" vertical="center" wrapText="1"/>
    </xf>
    <xf numFmtId="1" fontId="14" fillId="5" borderId="8" xfId="0" applyNumberFormat="1" applyFont="1" applyFill="1" applyBorder="1" applyAlignment="1">
      <alignment horizontal="center" vertical="center" wrapText="1"/>
    </xf>
    <xf numFmtId="1" fontId="14" fillId="5" borderId="9" xfId="0" applyNumberFormat="1" applyFont="1" applyFill="1" applyBorder="1" applyAlignment="1">
      <alignment horizontal="center" vertical="center" wrapText="1"/>
    </xf>
    <xf numFmtId="1" fontId="14" fillId="5" borderId="10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1" fontId="15" fillId="5" borderId="5" xfId="0" applyNumberFormat="1" applyFont="1" applyFill="1" applyBorder="1" applyAlignment="1">
      <alignment horizontal="center" vertical="center" textRotation="90" wrapText="1"/>
    </xf>
    <xf numFmtId="1" fontId="15" fillId="5" borderId="17" xfId="0" applyNumberFormat="1" applyFont="1" applyFill="1" applyBorder="1" applyAlignment="1">
      <alignment horizontal="center" vertical="center" textRotation="90" wrapText="1"/>
    </xf>
    <xf numFmtId="1" fontId="5" fillId="2" borderId="5" xfId="0" applyNumberFormat="1" applyFont="1" applyFill="1" applyBorder="1" applyAlignment="1">
      <alignment horizontal="center" vertical="center" wrapText="1"/>
    </xf>
    <xf numFmtId="1" fontId="5" fillId="2" borderId="17" xfId="0" applyNumberFormat="1" applyFont="1" applyFill="1" applyBorder="1" applyAlignment="1">
      <alignment horizontal="center" vertical="center" wrapText="1"/>
    </xf>
    <xf numFmtId="165" fontId="12" fillId="6" borderId="2" xfId="1" applyNumberFormat="1" applyFont="1" applyFill="1" applyBorder="1" applyAlignment="1">
      <alignment horizontal="center" vertical="center"/>
    </xf>
    <xf numFmtId="165" fontId="12" fillId="6" borderId="4" xfId="1" applyNumberFormat="1" applyFont="1" applyFill="1" applyBorder="1" applyAlignment="1">
      <alignment horizontal="center" vertical="center"/>
    </xf>
    <xf numFmtId="165" fontId="12" fillId="6" borderId="3" xfId="1" applyNumberFormat="1" applyFont="1" applyFill="1" applyBorder="1" applyAlignment="1">
      <alignment horizontal="center" vertical="center"/>
    </xf>
    <xf numFmtId="165" fontId="12" fillId="6" borderId="8" xfId="1" applyNumberFormat="1" applyFont="1" applyFill="1" applyBorder="1" applyAlignment="1">
      <alignment horizontal="center" vertical="center"/>
    </xf>
    <xf numFmtId="165" fontId="12" fillId="6" borderId="9" xfId="1" applyNumberFormat="1" applyFont="1" applyFill="1" applyBorder="1" applyAlignment="1">
      <alignment horizontal="center" vertical="center"/>
    </xf>
    <xf numFmtId="165" fontId="12" fillId="6" borderId="10" xfId="1" applyNumberFormat="1" applyFont="1" applyFill="1" applyBorder="1" applyAlignment="1">
      <alignment horizontal="center" vertical="center"/>
    </xf>
    <xf numFmtId="10" fontId="19" fillId="2" borderId="5" xfId="2" applyNumberFormat="1" applyFont="1" applyFill="1" applyBorder="1" applyAlignment="1">
      <alignment horizontal="center" vertical="center" wrapText="1"/>
    </xf>
    <xf numFmtId="10" fontId="19" fillId="2" borderId="17" xfId="2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1" fontId="6" fillId="3" borderId="2" xfId="0" applyNumberFormat="1" applyFont="1" applyFill="1" applyBorder="1" applyAlignment="1">
      <alignment horizontal="center" vertical="center" shrinkToFit="1"/>
    </xf>
    <xf numFmtId="1" fontId="6" fillId="3" borderId="3" xfId="0" applyNumberFormat="1" applyFont="1" applyFill="1" applyBorder="1" applyAlignment="1">
      <alignment horizontal="center" vertical="center" shrinkToFit="1"/>
    </xf>
    <xf numFmtId="1" fontId="5" fillId="2" borderId="2" xfId="0" applyNumberFormat="1" applyFont="1" applyFill="1" applyBorder="1" applyAlignment="1">
      <alignment horizontal="center" vertical="center" shrinkToFit="1"/>
    </xf>
    <xf numFmtId="1" fontId="5" fillId="2" borderId="4" xfId="0" applyNumberFormat="1" applyFont="1" applyFill="1" applyBorder="1" applyAlignment="1">
      <alignment horizontal="center" vertical="center" shrinkToFit="1"/>
    </xf>
    <xf numFmtId="1" fontId="5" fillId="2" borderId="3" xfId="0" applyNumberFormat="1" applyFont="1" applyFill="1" applyBorder="1" applyAlignment="1">
      <alignment horizontal="center" vertical="center" shrinkToFit="1"/>
    </xf>
    <xf numFmtId="10" fontId="7" fillId="2" borderId="0" xfId="2" applyNumberFormat="1" applyFont="1" applyFill="1" applyBorder="1" applyAlignment="1">
      <alignment horizontal="center" vertical="center" shrinkToFit="1"/>
    </xf>
    <xf numFmtId="10" fontId="7" fillId="2" borderId="9" xfId="2" applyNumberFormat="1" applyFont="1" applyFill="1" applyBorder="1" applyAlignment="1">
      <alignment horizontal="center" vertical="center" shrinkToFit="1"/>
    </xf>
    <xf numFmtId="2" fontId="5" fillId="2" borderId="4" xfId="1" applyNumberFormat="1" applyFont="1" applyFill="1" applyBorder="1" applyAlignment="1">
      <alignment horizontal="center" vertical="center" shrinkToFit="1"/>
    </xf>
    <xf numFmtId="2" fontId="5" fillId="2" borderId="3" xfId="1" applyNumberFormat="1" applyFont="1" applyFill="1" applyBorder="1" applyAlignment="1">
      <alignment horizontal="center" vertical="center" shrinkToFit="1"/>
    </xf>
    <xf numFmtId="165" fontId="12" fillId="5" borderId="5" xfId="1" applyNumberFormat="1" applyFont="1" applyFill="1" applyBorder="1" applyAlignment="1">
      <alignment horizontal="center" vertical="center" wrapText="1"/>
    </xf>
    <xf numFmtId="165" fontId="12" fillId="5" borderId="17" xfId="1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10" fontId="29" fillId="0" borderId="2" xfId="2" applyNumberFormat="1" applyFont="1" applyFill="1" applyBorder="1" applyAlignment="1">
      <alignment horizontal="center" vertical="center"/>
    </xf>
    <xf numFmtId="10" fontId="29" fillId="0" borderId="4" xfId="2" applyNumberFormat="1" applyFont="1" applyFill="1" applyBorder="1" applyAlignment="1">
      <alignment horizontal="center" vertical="center"/>
    </xf>
    <xf numFmtId="10" fontId="29" fillId="0" borderId="3" xfId="2" applyNumberFormat="1" applyFont="1" applyFill="1" applyBorder="1" applyAlignment="1">
      <alignment horizontal="center" vertical="center"/>
    </xf>
    <xf numFmtId="10" fontId="29" fillId="0" borderId="12" xfId="2" applyNumberFormat="1" applyFont="1" applyFill="1" applyBorder="1" applyAlignment="1">
      <alignment horizontal="center" vertical="center"/>
    </xf>
    <xf numFmtId="10" fontId="29" fillId="0" borderId="11" xfId="2" applyNumberFormat="1" applyFont="1" applyFill="1" applyBorder="1" applyAlignment="1">
      <alignment horizontal="center" vertical="center"/>
    </xf>
    <xf numFmtId="10" fontId="29" fillId="0" borderId="6" xfId="2" applyNumberFormat="1" applyFont="1" applyFill="1" applyBorder="1" applyAlignment="1">
      <alignment horizontal="center" vertical="center"/>
    </xf>
    <xf numFmtId="9" fontId="29" fillId="0" borderId="2" xfId="2" applyFont="1" applyFill="1" applyBorder="1" applyAlignment="1">
      <alignment horizontal="center" vertical="center"/>
    </xf>
    <xf numFmtId="9" fontId="29" fillId="0" borderId="4" xfId="2" applyFont="1" applyFill="1" applyBorder="1" applyAlignment="1">
      <alignment horizontal="center" vertical="center"/>
    </xf>
    <xf numFmtId="9" fontId="29" fillId="0" borderId="3" xfId="2" applyFont="1" applyFill="1" applyBorder="1" applyAlignment="1">
      <alignment horizontal="center" vertical="center"/>
    </xf>
    <xf numFmtId="0" fontId="1" fillId="12" borderId="0" xfId="8" applyFill="1" applyAlignment="1">
      <alignment horizontal="center" vertical="center"/>
    </xf>
    <xf numFmtId="10" fontId="1" fillId="12" borderId="0" xfId="8" applyNumberFormat="1" applyFill="1" applyAlignment="1">
      <alignment horizontal="center" vertical="center"/>
    </xf>
  </cellXfs>
  <cellStyles count="16">
    <cellStyle name="Comma" xfId="1" builtinId="3"/>
    <cellStyle name="Comma 2" xfId="4" xr:uid="{00000000-0005-0000-0000-000001000000}"/>
    <cellStyle name="Comma 2 2" xfId="9" xr:uid="{00000000-0005-0000-0000-000002000000}"/>
    <cellStyle name="Comma 3" xfId="6" xr:uid="{00000000-0005-0000-0000-000003000000}"/>
    <cellStyle name="Comma 4" xfId="10" xr:uid="{00000000-0005-0000-0000-000004000000}"/>
    <cellStyle name="Comma 5" xfId="14" xr:uid="{00000000-0005-0000-0000-000005000000}"/>
    <cellStyle name="Normal" xfId="0" builtinId="0"/>
    <cellStyle name="Normal 2" xfId="3" xr:uid="{00000000-0005-0000-0000-000007000000}"/>
    <cellStyle name="Normal 2 2" xfId="11" xr:uid="{00000000-0005-0000-0000-000008000000}"/>
    <cellStyle name="Normal 3" xfId="8" xr:uid="{00000000-0005-0000-0000-000009000000}"/>
    <cellStyle name="Percent" xfId="2" builtinId="5"/>
    <cellStyle name="Percent 2" xfId="5" xr:uid="{00000000-0005-0000-0000-00000B000000}"/>
    <cellStyle name="Percent 2 2" xfId="12" xr:uid="{00000000-0005-0000-0000-00000C000000}"/>
    <cellStyle name="Percent 3" xfId="7" xr:uid="{00000000-0005-0000-0000-00000D000000}"/>
    <cellStyle name="Percent 4" xfId="13" xr:uid="{00000000-0005-0000-0000-00000E000000}"/>
    <cellStyle name="Percent 5" xfId="15" xr:uid="{00000000-0005-0000-0000-00000F000000}"/>
  </cellStyles>
  <dxfs count="24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3"/>
      </font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  <dxf>
      <font>
        <b/>
        <i val="0"/>
        <condense val="0"/>
        <extend val="0"/>
        <color indexed="13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5193625" y="2981325"/>
          <a:ext cx="114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25193625" y="2981325"/>
          <a:ext cx="114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BF7600C-EB8C-4A42-A498-686795B18882}"/>
            </a:ext>
          </a:extLst>
        </xdr:cNvPr>
        <xdr:cNvSpPr txBox="1">
          <a:spLocks noChangeArrowheads="1"/>
        </xdr:cNvSpPr>
      </xdr:nvSpPr>
      <xdr:spPr bwMode="auto">
        <a:xfrm>
          <a:off x="28270200" y="2978150"/>
          <a:ext cx="114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1A641B75-CDA9-418B-9855-9A82D73BD7A1}"/>
            </a:ext>
          </a:extLst>
        </xdr:cNvPr>
        <xdr:cNvSpPr txBox="1">
          <a:spLocks noChangeArrowheads="1"/>
        </xdr:cNvSpPr>
      </xdr:nvSpPr>
      <xdr:spPr bwMode="auto">
        <a:xfrm>
          <a:off x="28270200" y="2978150"/>
          <a:ext cx="114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BD1B72CA-4D51-4964-B33F-8FFB02F1BF23}"/>
            </a:ext>
          </a:extLst>
        </xdr:cNvPr>
        <xdr:cNvSpPr txBox="1">
          <a:spLocks noChangeArrowheads="1"/>
        </xdr:cNvSpPr>
      </xdr:nvSpPr>
      <xdr:spPr bwMode="auto">
        <a:xfrm>
          <a:off x="28270200" y="2978150"/>
          <a:ext cx="114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46617F3-9B2E-47A5-91E7-D7571A3B8054}"/>
            </a:ext>
          </a:extLst>
        </xdr:cNvPr>
        <xdr:cNvSpPr txBox="1">
          <a:spLocks noChangeArrowheads="1"/>
        </xdr:cNvSpPr>
      </xdr:nvSpPr>
      <xdr:spPr bwMode="auto">
        <a:xfrm>
          <a:off x="28270200" y="2978150"/>
          <a:ext cx="114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E7AA22E4-ED77-4881-AB9A-8554514F2EE3}"/>
            </a:ext>
          </a:extLst>
        </xdr:cNvPr>
        <xdr:cNvSpPr txBox="1">
          <a:spLocks noChangeArrowheads="1"/>
        </xdr:cNvSpPr>
      </xdr:nvSpPr>
      <xdr:spPr bwMode="auto">
        <a:xfrm>
          <a:off x="28270200" y="2978150"/>
          <a:ext cx="114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56</xdr:col>
      <xdr:colOff>38100</xdr:colOff>
      <xdr:row>2</xdr:row>
      <xdr:rowOff>2171700</xdr:rowOff>
    </xdr:from>
    <xdr:to>
      <xdr:col>56</xdr:col>
      <xdr:colOff>152400</xdr:colOff>
      <xdr:row>8</xdr:row>
      <xdr:rowOff>133350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A1CEE1F-1885-4C6A-BBA7-EF30D2FE6BBF}"/>
            </a:ext>
          </a:extLst>
        </xdr:cNvPr>
        <xdr:cNvSpPr txBox="1">
          <a:spLocks noChangeArrowheads="1"/>
        </xdr:cNvSpPr>
      </xdr:nvSpPr>
      <xdr:spPr bwMode="auto">
        <a:xfrm>
          <a:off x="28270200" y="2978150"/>
          <a:ext cx="1143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\Common%20Files\Documents%20and%20Settings\Chris\Desktop\llm-battery%20naming%20convention-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Chris\Desktop\llm-battery%20naming%20convention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\Common%20Files\Documents%20and%20Settings\default\My%20Documents\SAP%20ISSUES\BIN\Final%20Codes\BIN-FINAL(090305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default\My%20Documents\SAP%20ISSUES\BIN\Final%20Codes\BIN-FINAL(090305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\Common%20Files\Documents%20and%20Settings\User\Local%20Settings\Temporary%20Internet%20Files\Content.IE5\TUC1UUA0\unformed%20gp%20consolidat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User\Local%20Settings\Temporary%20Internet%20Files\Content.IE5\TUC1UUA0\unformed%20gp%20consolidate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21\Common%20Files\Documents%20and%20Settings\default\Local%20Settings\Temporary%20Internet%20Files\OLK1A\Received%20files\ECE-BIN-FINAL(082405)%20r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default\Local%20Settings\Temporary%20Internet%20Files\OLK1A\Received%20files\ECE-BIN-FINAL(082405)%20r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-PREFINAL_LIST"/>
      <sheetName val="gp"/>
      <sheetName val="battery naming"/>
      <sheetName val="FINISH CODES"/>
      <sheetName val="ASSEMBLY CODES"/>
      <sheetName val="level-local"/>
      <sheetName val="battery naming-final"/>
      <sheetName val="RBSB AND OMMC BATTERIES"/>
      <sheetName val="brands"/>
    </sheetNames>
    <sheetDataSet>
      <sheetData sheetId="0"/>
      <sheetData sheetId="1"/>
      <sheetData sheetId="2"/>
      <sheetData sheetId="3" refreshError="1">
        <row r="8">
          <cell r="B8" t="str">
            <v>U</v>
          </cell>
        </row>
        <row r="9">
          <cell r="B9" t="str">
            <v>W</v>
          </cell>
        </row>
        <row r="10">
          <cell r="B10" t="str">
            <v>E</v>
          </cell>
        </row>
        <row r="19">
          <cell r="B19" t="str">
            <v>B19</v>
          </cell>
        </row>
        <row r="20">
          <cell r="B20" t="str">
            <v>B20</v>
          </cell>
        </row>
        <row r="21">
          <cell r="B21" t="str">
            <v>B24</v>
          </cell>
        </row>
        <row r="22">
          <cell r="B22" t="str">
            <v>C24</v>
          </cell>
        </row>
        <row r="23">
          <cell r="B23" t="str">
            <v>D22</v>
          </cell>
        </row>
        <row r="24">
          <cell r="B24" t="str">
            <v>D23</v>
          </cell>
        </row>
        <row r="25">
          <cell r="B25" t="str">
            <v>D26</v>
          </cell>
        </row>
        <row r="26">
          <cell r="B26" t="str">
            <v>D31</v>
          </cell>
        </row>
        <row r="27">
          <cell r="B27" t="str">
            <v>E41</v>
          </cell>
          <cell r="E27" t="str">
            <v>L</v>
          </cell>
        </row>
        <row r="28">
          <cell r="B28" t="str">
            <v>F51</v>
          </cell>
          <cell r="E28" t="str">
            <v>E</v>
          </cell>
        </row>
        <row r="29">
          <cell r="B29" t="str">
            <v>G51</v>
          </cell>
        </row>
        <row r="30">
          <cell r="B30" t="str">
            <v>H52</v>
          </cell>
        </row>
        <row r="31">
          <cell r="B31" t="str">
            <v>GC2</v>
          </cell>
        </row>
        <row r="32">
          <cell r="B32" t="str">
            <v>GC8</v>
          </cell>
        </row>
        <row r="33">
          <cell r="B33" t="str">
            <v>6TN</v>
          </cell>
          <cell r="E33">
            <v>1</v>
          </cell>
        </row>
        <row r="34">
          <cell r="B34" t="str">
            <v>N44</v>
          </cell>
          <cell r="E34">
            <v>2</v>
          </cell>
        </row>
        <row r="35">
          <cell r="B35" t="str">
            <v>N55</v>
          </cell>
          <cell r="E35">
            <v>3</v>
          </cell>
        </row>
        <row r="36">
          <cell r="B36" t="str">
            <v>N66</v>
          </cell>
          <cell r="E36">
            <v>4</v>
          </cell>
        </row>
        <row r="37">
          <cell r="B37" t="str">
            <v>N88</v>
          </cell>
          <cell r="E37">
            <v>5</v>
          </cell>
        </row>
        <row r="38">
          <cell r="B38" t="str">
            <v>GU1</v>
          </cell>
          <cell r="E38">
            <v>6</v>
          </cell>
        </row>
        <row r="39">
          <cell r="B39" t="str">
            <v>G22</v>
          </cell>
          <cell r="E39">
            <v>7</v>
          </cell>
        </row>
        <row r="40">
          <cell r="B40" t="str">
            <v>G24</v>
          </cell>
          <cell r="E40">
            <v>8</v>
          </cell>
        </row>
        <row r="41">
          <cell r="B41" t="str">
            <v>G25</v>
          </cell>
          <cell r="E41">
            <v>9</v>
          </cell>
        </row>
        <row r="42">
          <cell r="B42" t="str">
            <v>G27</v>
          </cell>
          <cell r="E42" t="str">
            <v>Z</v>
          </cell>
        </row>
        <row r="43">
          <cell r="B43" t="str">
            <v>G31</v>
          </cell>
          <cell r="E43" t="str">
            <v>Y</v>
          </cell>
        </row>
        <row r="44">
          <cell r="B44" t="str">
            <v>G34</v>
          </cell>
          <cell r="E44" t="str">
            <v>X</v>
          </cell>
        </row>
        <row r="45">
          <cell r="B45" t="str">
            <v>G78</v>
          </cell>
          <cell r="E45" t="str">
            <v>W</v>
          </cell>
        </row>
        <row r="46">
          <cell r="B46" t="str">
            <v>D78</v>
          </cell>
          <cell r="E46" t="str">
            <v>V</v>
          </cell>
        </row>
        <row r="47">
          <cell r="B47" t="str">
            <v>G75</v>
          </cell>
          <cell r="E47" t="str">
            <v>A</v>
          </cell>
        </row>
        <row r="48">
          <cell r="B48" t="str">
            <v>D75</v>
          </cell>
          <cell r="E48" t="str">
            <v>B</v>
          </cell>
        </row>
        <row r="49">
          <cell r="B49" t="str">
            <v>GR4</v>
          </cell>
          <cell r="E49" t="str">
            <v>C</v>
          </cell>
        </row>
        <row r="50">
          <cell r="B50" t="str">
            <v>G58</v>
          </cell>
          <cell r="E50" t="str">
            <v>D</v>
          </cell>
        </row>
        <row r="51">
          <cell r="B51" t="str">
            <v>G65</v>
          </cell>
          <cell r="E51" t="str">
            <v>E</v>
          </cell>
        </row>
        <row r="52">
          <cell r="B52" t="str">
            <v>G74</v>
          </cell>
          <cell r="E52" t="str">
            <v>F</v>
          </cell>
        </row>
        <row r="53">
          <cell r="B53" t="str">
            <v>4DP</v>
          </cell>
        </row>
        <row r="54">
          <cell r="B54" t="str">
            <v>4DH</v>
          </cell>
        </row>
        <row r="55">
          <cell r="B55" t="str">
            <v>4DT</v>
          </cell>
        </row>
        <row r="56">
          <cell r="B56" t="str">
            <v>8DP</v>
          </cell>
        </row>
        <row r="57">
          <cell r="B57" t="str">
            <v>G48</v>
          </cell>
        </row>
        <row r="58">
          <cell r="B58" t="str">
            <v>G49</v>
          </cell>
        </row>
        <row r="59">
          <cell r="B59" t="str">
            <v>A46</v>
          </cell>
        </row>
        <row r="60">
          <cell r="B60" t="str">
            <v>A53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-PREFINAL_LIST"/>
      <sheetName val="gp"/>
      <sheetName val="battery naming"/>
      <sheetName val="FINISH CODES"/>
      <sheetName val="ASSEMBLY CODES"/>
      <sheetName val="level-local"/>
      <sheetName val="battery naming-final"/>
      <sheetName val="RBSB AND OMMC BATTERIES"/>
      <sheetName val="brands"/>
    </sheetNames>
    <sheetDataSet>
      <sheetData sheetId="0"/>
      <sheetData sheetId="1"/>
      <sheetData sheetId="2"/>
      <sheetData sheetId="3" refreshError="1">
        <row r="8">
          <cell r="B8" t="str">
            <v>U</v>
          </cell>
        </row>
        <row r="9">
          <cell r="B9" t="str">
            <v>W</v>
          </cell>
        </row>
        <row r="10">
          <cell r="B10" t="str">
            <v>E</v>
          </cell>
        </row>
        <row r="19">
          <cell r="B19" t="str">
            <v>B19</v>
          </cell>
        </row>
        <row r="20">
          <cell r="B20" t="str">
            <v>B20</v>
          </cell>
        </row>
        <row r="21">
          <cell r="B21" t="str">
            <v>B24</v>
          </cell>
        </row>
        <row r="22">
          <cell r="B22" t="str">
            <v>C24</v>
          </cell>
        </row>
        <row r="23">
          <cell r="B23" t="str">
            <v>D22</v>
          </cell>
        </row>
        <row r="24">
          <cell r="B24" t="str">
            <v>D23</v>
          </cell>
        </row>
        <row r="25">
          <cell r="B25" t="str">
            <v>D26</v>
          </cell>
        </row>
        <row r="26">
          <cell r="B26" t="str">
            <v>D31</v>
          </cell>
        </row>
        <row r="27">
          <cell r="B27" t="str">
            <v>E41</v>
          </cell>
          <cell r="E27" t="str">
            <v>L</v>
          </cell>
        </row>
        <row r="28">
          <cell r="B28" t="str">
            <v>F51</v>
          </cell>
          <cell r="E28" t="str">
            <v>E</v>
          </cell>
        </row>
        <row r="29">
          <cell r="B29" t="str">
            <v>G51</v>
          </cell>
        </row>
        <row r="30">
          <cell r="B30" t="str">
            <v>H52</v>
          </cell>
        </row>
        <row r="31">
          <cell r="B31" t="str">
            <v>GC2</v>
          </cell>
        </row>
        <row r="32">
          <cell r="B32" t="str">
            <v>GC8</v>
          </cell>
        </row>
        <row r="33">
          <cell r="B33" t="str">
            <v>6TN</v>
          </cell>
          <cell r="E33">
            <v>1</v>
          </cell>
        </row>
        <row r="34">
          <cell r="B34" t="str">
            <v>N44</v>
          </cell>
          <cell r="E34">
            <v>2</v>
          </cell>
        </row>
        <row r="35">
          <cell r="B35" t="str">
            <v>N55</v>
          </cell>
          <cell r="E35">
            <v>3</v>
          </cell>
        </row>
        <row r="36">
          <cell r="B36" t="str">
            <v>N66</v>
          </cell>
          <cell r="E36">
            <v>4</v>
          </cell>
        </row>
        <row r="37">
          <cell r="B37" t="str">
            <v>N88</v>
          </cell>
          <cell r="E37">
            <v>5</v>
          </cell>
        </row>
        <row r="38">
          <cell r="B38" t="str">
            <v>GU1</v>
          </cell>
          <cell r="E38">
            <v>6</v>
          </cell>
        </row>
        <row r="39">
          <cell r="B39" t="str">
            <v>G22</v>
          </cell>
          <cell r="E39">
            <v>7</v>
          </cell>
        </row>
        <row r="40">
          <cell r="B40" t="str">
            <v>G24</v>
          </cell>
          <cell r="E40">
            <v>8</v>
          </cell>
        </row>
        <row r="41">
          <cell r="B41" t="str">
            <v>G25</v>
          </cell>
          <cell r="E41">
            <v>9</v>
          </cell>
        </row>
        <row r="42">
          <cell r="B42" t="str">
            <v>G27</v>
          </cell>
          <cell r="E42" t="str">
            <v>Z</v>
          </cell>
        </row>
        <row r="43">
          <cell r="B43" t="str">
            <v>G31</v>
          </cell>
          <cell r="E43" t="str">
            <v>Y</v>
          </cell>
        </row>
        <row r="44">
          <cell r="B44" t="str">
            <v>G34</v>
          </cell>
          <cell r="E44" t="str">
            <v>X</v>
          </cell>
        </row>
        <row r="45">
          <cell r="B45" t="str">
            <v>G78</v>
          </cell>
          <cell r="E45" t="str">
            <v>W</v>
          </cell>
        </row>
        <row r="46">
          <cell r="B46" t="str">
            <v>D78</v>
          </cell>
          <cell r="E46" t="str">
            <v>V</v>
          </cell>
        </row>
        <row r="47">
          <cell r="B47" t="str">
            <v>G75</v>
          </cell>
          <cell r="E47" t="str">
            <v>A</v>
          </cell>
        </row>
        <row r="48">
          <cell r="B48" t="str">
            <v>D75</v>
          </cell>
          <cell r="E48" t="str">
            <v>B</v>
          </cell>
        </row>
        <row r="49">
          <cell r="B49" t="str">
            <v>GR4</v>
          </cell>
          <cell r="E49" t="str">
            <v>C</v>
          </cell>
        </row>
        <row r="50">
          <cell r="B50" t="str">
            <v>G58</v>
          </cell>
          <cell r="E50" t="str">
            <v>D</v>
          </cell>
        </row>
        <row r="51">
          <cell r="B51" t="str">
            <v>G65</v>
          </cell>
          <cell r="E51" t="str">
            <v>E</v>
          </cell>
        </row>
        <row r="52">
          <cell r="B52" t="str">
            <v>G74</v>
          </cell>
          <cell r="E52" t="str">
            <v>F</v>
          </cell>
        </row>
        <row r="53">
          <cell r="B53" t="str">
            <v>4DP</v>
          </cell>
        </row>
        <row r="54">
          <cell r="B54" t="str">
            <v>4DH</v>
          </cell>
        </row>
        <row r="55">
          <cell r="B55" t="str">
            <v>4DT</v>
          </cell>
        </row>
        <row r="56">
          <cell r="B56" t="str">
            <v>8DP</v>
          </cell>
        </row>
        <row r="57">
          <cell r="B57" t="str">
            <v>G48</v>
          </cell>
        </row>
        <row r="58">
          <cell r="B58" t="str">
            <v>G49</v>
          </cell>
        </row>
        <row r="59">
          <cell r="B59" t="str">
            <v>A46</v>
          </cell>
        </row>
        <row r="60">
          <cell r="B60" t="str">
            <v>A53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RB"/>
      <sheetName val="from IRN"/>
      <sheetName val="VERSION"/>
      <sheetName val="SCRATCH"/>
      <sheetName val="RBI PRODUCT LINE"/>
      <sheetName val="CODES"/>
      <sheetName val="BATTCODES"/>
      <sheetName val="WITHOUT PACKAGING"/>
      <sheetName val="WITH PACKAGING-FG"/>
      <sheetName val="OLD CODES FOR DELETION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U</v>
          </cell>
          <cell r="B3" t="str">
            <v>AB GP W/PKG</v>
          </cell>
          <cell r="G3" t="str">
            <v>B19</v>
          </cell>
          <cell r="H3" t="str">
            <v>B19</v>
          </cell>
          <cell r="M3" t="str">
            <v>R</v>
          </cell>
          <cell r="N3" t="str">
            <v>+ left (auto)</v>
          </cell>
        </row>
        <row r="4">
          <cell r="A4" t="str">
            <v>W</v>
          </cell>
          <cell r="B4" t="str">
            <v>AB WET W/PKG</v>
          </cell>
          <cell r="G4" t="str">
            <v>B20</v>
          </cell>
          <cell r="H4" t="str">
            <v>B20</v>
          </cell>
          <cell r="M4" t="str">
            <v>L</v>
          </cell>
          <cell r="N4" t="str">
            <v>+ right (auto)</v>
          </cell>
        </row>
        <row r="5">
          <cell r="A5" t="str">
            <v>E</v>
          </cell>
          <cell r="B5" t="str">
            <v>AB DRY W/PKG</v>
          </cell>
          <cell r="G5" t="str">
            <v>B24</v>
          </cell>
          <cell r="H5" t="str">
            <v>B24</v>
          </cell>
          <cell r="M5" t="str">
            <v>I</v>
          </cell>
          <cell r="N5" t="str">
            <v>BCI + right (auto)</v>
          </cell>
        </row>
        <row r="6">
          <cell r="A6" t="str">
            <v>G</v>
          </cell>
          <cell r="B6" t="str">
            <v>AB GP W/O PKG</v>
          </cell>
          <cell r="G6" t="str">
            <v>C24</v>
          </cell>
          <cell r="H6" t="str">
            <v>C24</v>
          </cell>
          <cell r="M6" t="str">
            <v>E</v>
          </cell>
          <cell r="N6" t="str">
            <v>BCI + left (auto)</v>
          </cell>
        </row>
        <row r="7">
          <cell r="A7" t="str">
            <v>D</v>
          </cell>
          <cell r="B7" t="str">
            <v>AB DRY W/O PKG</v>
          </cell>
          <cell r="G7" t="str">
            <v>D22</v>
          </cell>
          <cell r="H7" t="str">
            <v>D22</v>
          </cell>
          <cell r="M7" t="str">
            <v>D</v>
          </cell>
          <cell r="N7" t="str">
            <v>Dual terminals</v>
          </cell>
        </row>
        <row r="8">
          <cell r="G8" t="str">
            <v>D23</v>
          </cell>
          <cell r="H8" t="str">
            <v>D23</v>
          </cell>
          <cell r="M8" t="str">
            <v>S</v>
          </cell>
          <cell r="N8" t="str">
            <v xml:space="preserve">Side terminal </v>
          </cell>
        </row>
        <row r="9">
          <cell r="G9" t="str">
            <v>D26</v>
          </cell>
          <cell r="H9" t="str">
            <v>D26</v>
          </cell>
          <cell r="M9" t="str">
            <v>M</v>
          </cell>
          <cell r="N9" t="str">
            <v>Dual Marine</v>
          </cell>
        </row>
        <row r="10">
          <cell r="G10" t="str">
            <v>D31</v>
          </cell>
          <cell r="H10" t="str">
            <v>D31</v>
          </cell>
          <cell r="M10" t="str">
            <v>W</v>
          </cell>
          <cell r="N10" t="str">
            <v xml:space="preserve">DFA pos left </v>
          </cell>
        </row>
        <row r="11">
          <cell r="G11" t="str">
            <v>E41</v>
          </cell>
          <cell r="H11" t="str">
            <v>E41</v>
          </cell>
          <cell r="M11" t="str">
            <v>X</v>
          </cell>
          <cell r="N11" t="str">
            <v>DFA pos right</v>
          </cell>
        </row>
        <row r="12">
          <cell r="G12" t="str">
            <v>F51</v>
          </cell>
          <cell r="H12" t="str">
            <v>F51</v>
          </cell>
          <cell r="M12" t="str">
            <v>A</v>
          </cell>
          <cell r="N12" t="str">
            <v>JIS, Pos.left</v>
          </cell>
        </row>
        <row r="13">
          <cell r="G13" t="str">
            <v>G51</v>
          </cell>
          <cell r="H13" t="str">
            <v>G51</v>
          </cell>
          <cell r="M13" t="str">
            <v>B</v>
          </cell>
          <cell r="N13" t="str">
            <v>JIS, Pos.right</v>
          </cell>
        </row>
        <row r="14">
          <cell r="G14" t="str">
            <v>H52</v>
          </cell>
          <cell r="H14" t="str">
            <v>H52</v>
          </cell>
          <cell r="M14" t="str">
            <v>U</v>
          </cell>
          <cell r="N14" t="str">
            <v>L type for U1</v>
          </cell>
        </row>
        <row r="15">
          <cell r="G15" t="str">
            <v>GC2</v>
          </cell>
          <cell r="H15" t="str">
            <v>GC2</v>
          </cell>
          <cell r="M15" t="str">
            <v>F</v>
          </cell>
          <cell r="N15" t="str">
            <v>Special Marine</v>
          </cell>
        </row>
        <row r="16">
          <cell r="G16" t="str">
            <v>GC8</v>
          </cell>
          <cell r="H16" t="str">
            <v>GC8</v>
          </cell>
          <cell r="M16" t="str">
            <v>T</v>
          </cell>
          <cell r="N16" t="str">
            <v xml:space="preserve">Threaded Post </v>
          </cell>
        </row>
        <row r="17">
          <cell r="G17" t="str">
            <v>6TN</v>
          </cell>
          <cell r="H17" t="str">
            <v>6TN</v>
          </cell>
          <cell r="M17" t="str">
            <v>Y</v>
          </cell>
          <cell r="N17" t="str">
            <v>DFP pos left</v>
          </cell>
        </row>
        <row r="18">
          <cell r="G18" t="str">
            <v>N44</v>
          </cell>
          <cell r="H18" t="str">
            <v>N44</v>
          </cell>
          <cell r="M18" t="str">
            <v>Z</v>
          </cell>
          <cell r="N18" t="str">
            <v xml:space="preserve">DFP pos right </v>
          </cell>
        </row>
        <row r="19">
          <cell r="G19" t="str">
            <v>N55</v>
          </cell>
          <cell r="H19" t="str">
            <v>N55</v>
          </cell>
          <cell r="M19" t="str">
            <v>0</v>
          </cell>
          <cell r="N19" t="str">
            <v xml:space="preserve">auto+left, ledge all sides </v>
          </cell>
        </row>
        <row r="20">
          <cell r="G20" t="str">
            <v>N66</v>
          </cell>
          <cell r="H20" t="str">
            <v>N66</v>
          </cell>
          <cell r="M20">
            <v>1</v>
          </cell>
          <cell r="N20" t="str">
            <v xml:space="preserve">DFA +.right, ledge all sides </v>
          </cell>
        </row>
        <row r="21">
          <cell r="G21" t="str">
            <v>N88</v>
          </cell>
          <cell r="H21" t="str">
            <v>N88</v>
          </cell>
          <cell r="M21">
            <v>2</v>
          </cell>
          <cell r="N21" t="str">
            <v>DFP +right.ledge all sides</v>
          </cell>
        </row>
        <row r="22">
          <cell r="G22" t="str">
            <v>GU1</v>
          </cell>
          <cell r="H22" t="str">
            <v>U1</v>
          </cell>
          <cell r="M22">
            <v>3</v>
          </cell>
          <cell r="N22" t="str">
            <v>auto +right, ledge longer side</v>
          </cell>
        </row>
        <row r="23">
          <cell r="G23" t="str">
            <v>G22</v>
          </cell>
          <cell r="H23" t="str">
            <v>G22</v>
          </cell>
          <cell r="M23">
            <v>4</v>
          </cell>
          <cell r="N23" t="str">
            <v>auto +left, ledge longer side</v>
          </cell>
        </row>
        <row r="24">
          <cell r="G24" t="str">
            <v>G24</v>
          </cell>
          <cell r="H24" t="str">
            <v>G24</v>
          </cell>
          <cell r="M24" t="str">
            <v>C</v>
          </cell>
          <cell r="N24" t="str">
            <v>center post</v>
          </cell>
          <cell r="P24" t="str">
            <v>N</v>
          </cell>
          <cell r="Q24" t="str">
            <v>1 pc</v>
          </cell>
        </row>
        <row r="25">
          <cell r="G25" t="str">
            <v>G25</v>
          </cell>
          <cell r="H25" t="str">
            <v>G25</v>
          </cell>
          <cell r="P25" t="str">
            <v>A</v>
          </cell>
          <cell r="Q25" t="str">
            <v>2pc acc</v>
          </cell>
        </row>
        <row r="26">
          <cell r="G26" t="str">
            <v>G27</v>
          </cell>
          <cell r="H26" t="str">
            <v>G27</v>
          </cell>
          <cell r="P26" t="str">
            <v>S</v>
          </cell>
          <cell r="Q26" t="str">
            <v>2pc sld</v>
          </cell>
        </row>
        <row r="27">
          <cell r="G27" t="str">
            <v>G31</v>
          </cell>
          <cell r="H27" t="str">
            <v>G31</v>
          </cell>
          <cell r="P27" t="str">
            <v>T</v>
          </cell>
          <cell r="Q27" t="str">
            <v>Asphalt</v>
          </cell>
        </row>
        <row r="28">
          <cell r="G28" t="str">
            <v>G34</v>
          </cell>
          <cell r="H28" t="str">
            <v>G34</v>
          </cell>
        </row>
        <row r="29">
          <cell r="G29" t="str">
            <v>G78</v>
          </cell>
          <cell r="H29" t="str">
            <v>G78</v>
          </cell>
        </row>
        <row r="30">
          <cell r="G30" t="str">
            <v>D78</v>
          </cell>
          <cell r="H30" t="str">
            <v>G34/78</v>
          </cell>
        </row>
        <row r="31">
          <cell r="G31" t="str">
            <v>G75</v>
          </cell>
          <cell r="H31" t="str">
            <v>G75</v>
          </cell>
          <cell r="P31">
            <v>1</v>
          </cell>
          <cell r="Q31" t="str">
            <v>bk</v>
          </cell>
          <cell r="R31" t="str">
            <v>bk</v>
          </cell>
        </row>
        <row r="32">
          <cell r="G32" t="str">
            <v>D75</v>
          </cell>
          <cell r="H32" t="str">
            <v>G25/75</v>
          </cell>
          <cell r="P32">
            <v>2</v>
          </cell>
          <cell r="Q32" t="str">
            <v>wh</v>
          </cell>
          <cell r="R32" t="str">
            <v>wh</v>
          </cell>
        </row>
        <row r="33">
          <cell r="G33" t="str">
            <v>GR4</v>
          </cell>
          <cell r="H33" t="str">
            <v>G4</v>
          </cell>
          <cell r="P33">
            <v>3</v>
          </cell>
          <cell r="Q33" t="str">
            <v>rd</v>
          </cell>
          <cell r="R33" t="str">
            <v>rd</v>
          </cell>
        </row>
        <row r="34">
          <cell r="G34" t="str">
            <v>G58</v>
          </cell>
          <cell r="H34" t="str">
            <v>G58</v>
          </cell>
          <cell r="P34">
            <v>4</v>
          </cell>
          <cell r="Q34" t="str">
            <v>gn</v>
          </cell>
          <cell r="R34" t="str">
            <v>gn</v>
          </cell>
        </row>
        <row r="35">
          <cell r="G35" t="str">
            <v>G65</v>
          </cell>
          <cell r="H35" t="str">
            <v>G65</v>
          </cell>
          <cell r="P35">
            <v>5</v>
          </cell>
          <cell r="Q35" t="str">
            <v>gy</v>
          </cell>
          <cell r="R35" t="str">
            <v>gy</v>
          </cell>
        </row>
        <row r="36">
          <cell r="G36" t="str">
            <v>G74</v>
          </cell>
          <cell r="H36" t="str">
            <v>G74</v>
          </cell>
          <cell r="P36">
            <v>6</v>
          </cell>
          <cell r="Q36" t="str">
            <v>yw</v>
          </cell>
          <cell r="R36" t="str">
            <v>yw</v>
          </cell>
        </row>
        <row r="37">
          <cell r="G37" t="str">
            <v>4DP</v>
          </cell>
          <cell r="H37" t="str">
            <v>4DP</v>
          </cell>
          <cell r="P37">
            <v>7</v>
          </cell>
          <cell r="Q37" t="str">
            <v>mb</v>
          </cell>
          <cell r="R37" t="str">
            <v>mb</v>
          </cell>
        </row>
        <row r="38">
          <cell r="G38" t="str">
            <v>4DH</v>
          </cell>
          <cell r="H38" t="str">
            <v>4DH</v>
          </cell>
          <cell r="P38">
            <v>8</v>
          </cell>
          <cell r="Q38" t="str">
            <v>gn1</v>
          </cell>
          <cell r="R38" t="str">
            <v>gn1</v>
          </cell>
        </row>
        <row r="39">
          <cell r="G39" t="str">
            <v>4DT</v>
          </cell>
          <cell r="H39" t="str">
            <v>4DLT</v>
          </cell>
          <cell r="P39" t="str">
            <v>A</v>
          </cell>
          <cell r="Q39" t="str">
            <v>wh</v>
          </cell>
          <cell r="R39" t="str">
            <v>bk</v>
          </cell>
        </row>
        <row r="40">
          <cell r="G40" t="str">
            <v>8DP</v>
          </cell>
          <cell r="H40" t="str">
            <v>8DP</v>
          </cell>
          <cell r="P40" t="str">
            <v>B</v>
          </cell>
          <cell r="Q40" t="str">
            <v>bk</v>
          </cell>
          <cell r="R40" t="str">
            <v>wh</v>
          </cell>
        </row>
        <row r="41">
          <cell r="G41" t="str">
            <v>G48</v>
          </cell>
          <cell r="H41" t="str">
            <v>G48</v>
          </cell>
          <cell r="P41" t="str">
            <v>C</v>
          </cell>
          <cell r="Q41" t="str">
            <v>rd</v>
          </cell>
          <cell r="R41" t="str">
            <v>wh</v>
          </cell>
        </row>
        <row r="42">
          <cell r="G42" t="str">
            <v>G49</v>
          </cell>
          <cell r="H42" t="str">
            <v>G49</v>
          </cell>
          <cell r="P42" t="str">
            <v>D</v>
          </cell>
          <cell r="Q42" t="str">
            <v>bk</v>
          </cell>
          <cell r="R42" t="str">
            <v>yw</v>
          </cell>
        </row>
        <row r="43">
          <cell r="G43" t="str">
            <v>A46</v>
          </cell>
          <cell r="H43" t="str">
            <v>AU46</v>
          </cell>
          <cell r="P43" t="str">
            <v>E</v>
          </cell>
          <cell r="Q43" t="str">
            <v>bk</v>
          </cell>
          <cell r="R43" t="str">
            <v>rd</v>
          </cell>
        </row>
        <row r="44">
          <cell r="G44" t="str">
            <v>A53</v>
          </cell>
          <cell r="H44" t="str">
            <v>AU53</v>
          </cell>
          <cell r="P44" t="str">
            <v>F</v>
          </cell>
          <cell r="Q44" t="str">
            <v>bk</v>
          </cell>
          <cell r="R44" t="str">
            <v>gn1</v>
          </cell>
        </row>
        <row r="45">
          <cell r="G45" t="str">
            <v>N87</v>
          </cell>
          <cell r="H45" t="str">
            <v>N87/M87</v>
          </cell>
        </row>
        <row r="46">
          <cell r="G46" t="str">
            <v>G35</v>
          </cell>
          <cell r="H46" t="str">
            <v>G35</v>
          </cell>
        </row>
        <row r="47">
          <cell r="G47" t="str">
            <v>N43</v>
          </cell>
          <cell r="H47" t="str">
            <v>N43</v>
          </cell>
          <cell r="P47" t="str">
            <v>N</v>
          </cell>
          <cell r="Q47" t="str">
            <v>w/o hydroeye</v>
          </cell>
        </row>
        <row r="48">
          <cell r="G48" t="str">
            <v>N25</v>
          </cell>
          <cell r="H48" t="str">
            <v>N25</v>
          </cell>
          <cell r="P48" t="str">
            <v>H</v>
          </cell>
          <cell r="Q48" t="str">
            <v>w/ hole-push</v>
          </cell>
        </row>
        <row r="49">
          <cell r="P49" t="str">
            <v>S</v>
          </cell>
          <cell r="Q49" t="str">
            <v>w/ hole-scrw</v>
          </cell>
        </row>
        <row r="50">
          <cell r="P50" t="str">
            <v>P</v>
          </cell>
          <cell r="Q50" t="str">
            <v>plug</v>
          </cell>
        </row>
        <row r="51">
          <cell r="P51">
            <v>1</v>
          </cell>
          <cell r="Q51" t="str">
            <v>w/HE 1-b scrw</v>
          </cell>
        </row>
        <row r="52">
          <cell r="P52">
            <v>2</v>
          </cell>
          <cell r="Q52" t="str">
            <v>w/HE 2-b scrw</v>
          </cell>
        </row>
        <row r="53">
          <cell r="P53">
            <v>3</v>
          </cell>
          <cell r="Q53" t="str">
            <v>w/HE 1-b push</v>
          </cell>
        </row>
        <row r="54">
          <cell r="P54">
            <v>4</v>
          </cell>
          <cell r="Q54" t="str">
            <v>w/HE 2-b push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RB"/>
      <sheetName val="from IRN"/>
      <sheetName val="VERSION"/>
      <sheetName val="SCRATCH"/>
      <sheetName val="RBI PRODUCT LINE"/>
      <sheetName val="CODES"/>
      <sheetName val="BATTCODES"/>
      <sheetName val="WITHOUT PACKAGING"/>
      <sheetName val="WITH PACKAGING-FG"/>
      <sheetName val="OLD CODES FOR DELETION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U</v>
          </cell>
          <cell r="B3" t="str">
            <v>AB GP W/PKG</v>
          </cell>
          <cell r="G3" t="str">
            <v>B19</v>
          </cell>
          <cell r="H3" t="str">
            <v>B19</v>
          </cell>
          <cell r="M3" t="str">
            <v>R</v>
          </cell>
          <cell r="N3" t="str">
            <v>+ left (auto)</v>
          </cell>
        </row>
        <row r="4">
          <cell r="A4" t="str">
            <v>W</v>
          </cell>
          <cell r="B4" t="str">
            <v>AB WET W/PKG</v>
          </cell>
          <cell r="G4" t="str">
            <v>B20</v>
          </cell>
          <cell r="H4" t="str">
            <v>B20</v>
          </cell>
          <cell r="M4" t="str">
            <v>L</v>
          </cell>
          <cell r="N4" t="str">
            <v>+ right (auto)</v>
          </cell>
        </row>
        <row r="5">
          <cell r="A5" t="str">
            <v>E</v>
          </cell>
          <cell r="B5" t="str">
            <v>AB DRY W/PKG</v>
          </cell>
          <cell r="G5" t="str">
            <v>B24</v>
          </cell>
          <cell r="H5" t="str">
            <v>B24</v>
          </cell>
          <cell r="M5" t="str">
            <v>I</v>
          </cell>
          <cell r="N5" t="str">
            <v>BCI + right (auto)</v>
          </cell>
        </row>
        <row r="6">
          <cell r="A6" t="str">
            <v>G</v>
          </cell>
          <cell r="B6" t="str">
            <v>AB GP W/O PKG</v>
          </cell>
          <cell r="G6" t="str">
            <v>C24</v>
          </cell>
          <cell r="H6" t="str">
            <v>C24</v>
          </cell>
          <cell r="M6" t="str">
            <v>E</v>
          </cell>
          <cell r="N6" t="str">
            <v>BCI + left (auto)</v>
          </cell>
        </row>
        <row r="7">
          <cell r="A7" t="str">
            <v>D</v>
          </cell>
          <cell r="B7" t="str">
            <v>AB DRY W/O PKG</v>
          </cell>
          <cell r="G7" t="str">
            <v>D22</v>
          </cell>
          <cell r="H7" t="str">
            <v>D22</v>
          </cell>
          <cell r="M7" t="str">
            <v>D</v>
          </cell>
          <cell r="N7" t="str">
            <v>Dual terminals</v>
          </cell>
        </row>
        <row r="8">
          <cell r="G8" t="str">
            <v>D23</v>
          </cell>
          <cell r="H8" t="str">
            <v>D23</v>
          </cell>
          <cell r="M8" t="str">
            <v>S</v>
          </cell>
          <cell r="N8" t="str">
            <v xml:space="preserve">Side terminal </v>
          </cell>
        </row>
        <row r="9">
          <cell r="G9" t="str">
            <v>D26</v>
          </cell>
          <cell r="H9" t="str">
            <v>D26</v>
          </cell>
          <cell r="M9" t="str">
            <v>M</v>
          </cell>
          <cell r="N9" t="str">
            <v>Dual Marine</v>
          </cell>
        </row>
        <row r="10">
          <cell r="G10" t="str">
            <v>D31</v>
          </cell>
          <cell r="H10" t="str">
            <v>D31</v>
          </cell>
          <cell r="M10" t="str">
            <v>W</v>
          </cell>
          <cell r="N10" t="str">
            <v xml:space="preserve">DFA pos left </v>
          </cell>
        </row>
        <row r="11">
          <cell r="G11" t="str">
            <v>E41</v>
          </cell>
          <cell r="H11" t="str">
            <v>E41</v>
          </cell>
          <cell r="M11" t="str">
            <v>X</v>
          </cell>
          <cell r="N11" t="str">
            <v>DFA pos right</v>
          </cell>
        </row>
        <row r="12">
          <cell r="G12" t="str">
            <v>F51</v>
          </cell>
          <cell r="H12" t="str">
            <v>F51</v>
          </cell>
          <cell r="M12" t="str">
            <v>A</v>
          </cell>
          <cell r="N12" t="str">
            <v>JIS, Pos.left</v>
          </cell>
        </row>
        <row r="13">
          <cell r="G13" t="str">
            <v>G51</v>
          </cell>
          <cell r="H13" t="str">
            <v>G51</v>
          </cell>
          <cell r="M13" t="str">
            <v>B</v>
          </cell>
          <cell r="N13" t="str">
            <v>JIS, Pos.right</v>
          </cell>
        </row>
        <row r="14">
          <cell r="G14" t="str">
            <v>H52</v>
          </cell>
          <cell r="H14" t="str">
            <v>H52</v>
          </cell>
          <cell r="M14" t="str">
            <v>U</v>
          </cell>
          <cell r="N14" t="str">
            <v>L type for U1</v>
          </cell>
        </row>
        <row r="15">
          <cell r="G15" t="str">
            <v>GC2</v>
          </cell>
          <cell r="H15" t="str">
            <v>GC2</v>
          </cell>
          <cell r="M15" t="str">
            <v>F</v>
          </cell>
          <cell r="N15" t="str">
            <v>Special Marine</v>
          </cell>
        </row>
        <row r="16">
          <cell r="G16" t="str">
            <v>GC8</v>
          </cell>
          <cell r="H16" t="str">
            <v>GC8</v>
          </cell>
          <cell r="M16" t="str">
            <v>T</v>
          </cell>
          <cell r="N16" t="str">
            <v xml:space="preserve">Threaded Post </v>
          </cell>
        </row>
        <row r="17">
          <cell r="G17" t="str">
            <v>6TN</v>
          </cell>
          <cell r="H17" t="str">
            <v>6TN</v>
          </cell>
          <cell r="M17" t="str">
            <v>Y</v>
          </cell>
          <cell r="N17" t="str">
            <v>DFP pos left</v>
          </cell>
        </row>
        <row r="18">
          <cell r="G18" t="str">
            <v>N44</v>
          </cell>
          <cell r="H18" t="str">
            <v>N44</v>
          </cell>
          <cell r="M18" t="str">
            <v>Z</v>
          </cell>
          <cell r="N18" t="str">
            <v xml:space="preserve">DFP pos right </v>
          </cell>
        </row>
        <row r="19">
          <cell r="G19" t="str">
            <v>N55</v>
          </cell>
          <cell r="H19" t="str">
            <v>N55</v>
          </cell>
          <cell r="M19" t="str">
            <v>0</v>
          </cell>
          <cell r="N19" t="str">
            <v xml:space="preserve">auto+left, ledge all sides </v>
          </cell>
        </row>
        <row r="20">
          <cell r="G20" t="str">
            <v>N66</v>
          </cell>
          <cell r="H20" t="str">
            <v>N66</v>
          </cell>
          <cell r="M20">
            <v>1</v>
          </cell>
          <cell r="N20" t="str">
            <v xml:space="preserve">DFA +.right, ledge all sides </v>
          </cell>
        </row>
        <row r="21">
          <cell r="G21" t="str">
            <v>N88</v>
          </cell>
          <cell r="H21" t="str">
            <v>N88</v>
          </cell>
          <cell r="M21">
            <v>2</v>
          </cell>
          <cell r="N21" t="str">
            <v>DFP +right.ledge all sides</v>
          </cell>
        </row>
        <row r="22">
          <cell r="G22" t="str">
            <v>GU1</v>
          </cell>
          <cell r="H22" t="str">
            <v>U1</v>
          </cell>
          <cell r="M22">
            <v>3</v>
          </cell>
          <cell r="N22" t="str">
            <v>auto +right, ledge longer side</v>
          </cell>
        </row>
        <row r="23">
          <cell r="G23" t="str">
            <v>G22</v>
          </cell>
          <cell r="H23" t="str">
            <v>G22</v>
          </cell>
          <cell r="M23">
            <v>4</v>
          </cell>
          <cell r="N23" t="str">
            <v>auto +left, ledge longer side</v>
          </cell>
        </row>
        <row r="24">
          <cell r="G24" t="str">
            <v>G24</v>
          </cell>
          <cell r="H24" t="str">
            <v>G24</v>
          </cell>
          <cell r="M24" t="str">
            <v>C</v>
          </cell>
          <cell r="N24" t="str">
            <v>center post</v>
          </cell>
          <cell r="P24" t="str">
            <v>N</v>
          </cell>
          <cell r="Q24" t="str">
            <v>1 pc</v>
          </cell>
        </row>
        <row r="25">
          <cell r="G25" t="str">
            <v>G25</v>
          </cell>
          <cell r="H25" t="str">
            <v>G25</v>
          </cell>
          <cell r="P25" t="str">
            <v>A</v>
          </cell>
          <cell r="Q25" t="str">
            <v>2pc acc</v>
          </cell>
        </row>
        <row r="26">
          <cell r="G26" t="str">
            <v>G27</v>
          </cell>
          <cell r="H26" t="str">
            <v>G27</v>
          </cell>
          <cell r="P26" t="str">
            <v>S</v>
          </cell>
          <cell r="Q26" t="str">
            <v>2pc sld</v>
          </cell>
        </row>
        <row r="27">
          <cell r="G27" t="str">
            <v>G31</v>
          </cell>
          <cell r="H27" t="str">
            <v>G31</v>
          </cell>
          <cell r="P27" t="str">
            <v>T</v>
          </cell>
          <cell r="Q27" t="str">
            <v>Asphalt</v>
          </cell>
        </row>
        <row r="28">
          <cell r="G28" t="str">
            <v>G34</v>
          </cell>
          <cell r="H28" t="str">
            <v>G34</v>
          </cell>
        </row>
        <row r="29">
          <cell r="G29" t="str">
            <v>G78</v>
          </cell>
          <cell r="H29" t="str">
            <v>G78</v>
          </cell>
        </row>
        <row r="30">
          <cell r="G30" t="str">
            <v>D78</v>
          </cell>
          <cell r="H30" t="str">
            <v>G34/78</v>
          </cell>
        </row>
        <row r="31">
          <cell r="G31" t="str">
            <v>G75</v>
          </cell>
          <cell r="H31" t="str">
            <v>G75</v>
          </cell>
          <cell r="P31">
            <v>1</v>
          </cell>
          <cell r="Q31" t="str">
            <v>bk</v>
          </cell>
          <cell r="R31" t="str">
            <v>bk</v>
          </cell>
        </row>
        <row r="32">
          <cell r="G32" t="str">
            <v>D75</v>
          </cell>
          <cell r="H32" t="str">
            <v>G25/75</v>
          </cell>
          <cell r="P32">
            <v>2</v>
          </cell>
          <cell r="Q32" t="str">
            <v>wh</v>
          </cell>
          <cell r="R32" t="str">
            <v>wh</v>
          </cell>
        </row>
        <row r="33">
          <cell r="G33" t="str">
            <v>GR4</v>
          </cell>
          <cell r="H33" t="str">
            <v>G4</v>
          </cell>
          <cell r="P33">
            <v>3</v>
          </cell>
          <cell r="Q33" t="str">
            <v>rd</v>
          </cell>
          <cell r="R33" t="str">
            <v>rd</v>
          </cell>
        </row>
        <row r="34">
          <cell r="G34" t="str">
            <v>G58</v>
          </cell>
          <cell r="H34" t="str">
            <v>G58</v>
          </cell>
          <cell r="P34">
            <v>4</v>
          </cell>
          <cell r="Q34" t="str">
            <v>gn</v>
          </cell>
          <cell r="R34" t="str">
            <v>gn</v>
          </cell>
        </row>
        <row r="35">
          <cell r="G35" t="str">
            <v>G65</v>
          </cell>
          <cell r="H35" t="str">
            <v>G65</v>
          </cell>
          <cell r="P35">
            <v>5</v>
          </cell>
          <cell r="Q35" t="str">
            <v>gy</v>
          </cell>
          <cell r="R35" t="str">
            <v>gy</v>
          </cell>
        </row>
        <row r="36">
          <cell r="G36" t="str">
            <v>G74</v>
          </cell>
          <cell r="H36" t="str">
            <v>G74</v>
          </cell>
          <cell r="P36">
            <v>6</v>
          </cell>
          <cell r="Q36" t="str">
            <v>yw</v>
          </cell>
          <cell r="R36" t="str">
            <v>yw</v>
          </cell>
        </row>
        <row r="37">
          <cell r="G37" t="str">
            <v>4DP</v>
          </cell>
          <cell r="H37" t="str">
            <v>4DP</v>
          </cell>
          <cell r="P37">
            <v>7</v>
          </cell>
          <cell r="Q37" t="str">
            <v>mb</v>
          </cell>
          <cell r="R37" t="str">
            <v>mb</v>
          </cell>
        </row>
        <row r="38">
          <cell r="G38" t="str">
            <v>4DH</v>
          </cell>
          <cell r="H38" t="str">
            <v>4DH</v>
          </cell>
          <cell r="P38">
            <v>8</v>
          </cell>
          <cell r="Q38" t="str">
            <v>gn1</v>
          </cell>
          <cell r="R38" t="str">
            <v>gn1</v>
          </cell>
        </row>
        <row r="39">
          <cell r="G39" t="str">
            <v>4DT</v>
          </cell>
          <cell r="H39" t="str">
            <v>4DLT</v>
          </cell>
          <cell r="P39" t="str">
            <v>A</v>
          </cell>
          <cell r="Q39" t="str">
            <v>wh</v>
          </cell>
          <cell r="R39" t="str">
            <v>bk</v>
          </cell>
        </row>
        <row r="40">
          <cell r="G40" t="str">
            <v>8DP</v>
          </cell>
          <cell r="H40" t="str">
            <v>8DP</v>
          </cell>
          <cell r="P40" t="str">
            <v>B</v>
          </cell>
          <cell r="Q40" t="str">
            <v>bk</v>
          </cell>
          <cell r="R40" t="str">
            <v>wh</v>
          </cell>
        </row>
        <row r="41">
          <cell r="G41" t="str">
            <v>G48</v>
          </cell>
          <cell r="H41" t="str">
            <v>G48</v>
          </cell>
          <cell r="P41" t="str">
            <v>C</v>
          </cell>
          <cell r="Q41" t="str">
            <v>rd</v>
          </cell>
          <cell r="R41" t="str">
            <v>wh</v>
          </cell>
        </row>
        <row r="42">
          <cell r="G42" t="str">
            <v>G49</v>
          </cell>
          <cell r="H42" t="str">
            <v>G49</v>
          </cell>
          <cell r="P42" t="str">
            <v>D</v>
          </cell>
          <cell r="Q42" t="str">
            <v>bk</v>
          </cell>
          <cell r="R42" t="str">
            <v>yw</v>
          </cell>
        </row>
        <row r="43">
          <cell r="G43" t="str">
            <v>A46</v>
          </cell>
          <cell r="H43" t="str">
            <v>AU46</v>
          </cell>
          <cell r="P43" t="str">
            <v>E</v>
          </cell>
          <cell r="Q43" t="str">
            <v>bk</v>
          </cell>
          <cell r="R43" t="str">
            <v>rd</v>
          </cell>
        </row>
        <row r="44">
          <cell r="G44" t="str">
            <v>A53</v>
          </cell>
          <cell r="H44" t="str">
            <v>AU53</v>
          </cell>
          <cell r="P44" t="str">
            <v>F</v>
          </cell>
          <cell r="Q44" t="str">
            <v>bk</v>
          </cell>
          <cell r="R44" t="str">
            <v>gn1</v>
          </cell>
        </row>
        <row r="45">
          <cell r="G45" t="str">
            <v>N87</v>
          </cell>
          <cell r="H45" t="str">
            <v>N87/M87</v>
          </cell>
        </row>
        <row r="46">
          <cell r="G46" t="str">
            <v>G35</v>
          </cell>
          <cell r="H46" t="str">
            <v>G35</v>
          </cell>
        </row>
        <row r="47">
          <cell r="G47" t="str">
            <v>N43</v>
          </cell>
          <cell r="H47" t="str">
            <v>N43</v>
          </cell>
          <cell r="P47" t="str">
            <v>N</v>
          </cell>
          <cell r="Q47" t="str">
            <v>w/o hydroeye</v>
          </cell>
        </row>
        <row r="48">
          <cell r="G48" t="str">
            <v>N25</v>
          </cell>
          <cell r="H48" t="str">
            <v>N25</v>
          </cell>
          <cell r="P48" t="str">
            <v>H</v>
          </cell>
          <cell r="Q48" t="str">
            <v>w/ hole-push</v>
          </cell>
        </row>
        <row r="49">
          <cell r="P49" t="str">
            <v>S</v>
          </cell>
          <cell r="Q49" t="str">
            <v>w/ hole-scrw</v>
          </cell>
        </row>
        <row r="50">
          <cell r="P50" t="str">
            <v>P</v>
          </cell>
          <cell r="Q50" t="str">
            <v>plug</v>
          </cell>
        </row>
        <row r="51">
          <cell r="P51">
            <v>1</v>
          </cell>
          <cell r="Q51" t="str">
            <v>w/HE 1-b scrw</v>
          </cell>
        </row>
        <row r="52">
          <cell r="P52">
            <v>2</v>
          </cell>
          <cell r="Q52" t="str">
            <v>w/HE 2-b scrw</v>
          </cell>
        </row>
        <row r="53">
          <cell r="P53">
            <v>3</v>
          </cell>
          <cell r="Q53" t="str">
            <v>w/HE 1-b push</v>
          </cell>
        </row>
        <row r="54">
          <cell r="P54">
            <v>4</v>
          </cell>
          <cell r="Q54" t="str">
            <v>w/HE 2-b push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 OMMC"/>
      <sheetName val="GP RBI"/>
      <sheetName val="Sheet4"/>
      <sheetName val="Sheet2"/>
      <sheetName val="wet asia"/>
      <sheetName val="Sheet6"/>
      <sheetName val="Sheet9"/>
      <sheetName val="ASSEMBLY CODES"/>
      <sheetName val="FINISH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A13" t="str">
            <v>N</v>
          </cell>
        </row>
        <row r="14">
          <cell r="A14" t="str">
            <v>A</v>
          </cell>
        </row>
        <row r="15">
          <cell r="A15" t="str">
            <v>S</v>
          </cell>
        </row>
        <row r="16">
          <cell r="A16" t="str">
            <v>T</v>
          </cell>
        </row>
        <row r="19">
          <cell r="A19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>
            <v>6</v>
          </cell>
        </row>
        <row r="25">
          <cell r="A25">
            <v>7</v>
          </cell>
        </row>
        <row r="26">
          <cell r="A26">
            <v>8</v>
          </cell>
        </row>
        <row r="27">
          <cell r="A27" t="str">
            <v>A</v>
          </cell>
        </row>
        <row r="28">
          <cell r="A28" t="str">
            <v>B</v>
          </cell>
        </row>
        <row r="29">
          <cell r="A29" t="str">
            <v>C</v>
          </cell>
        </row>
        <row r="30">
          <cell r="A30" t="str">
            <v>D</v>
          </cell>
        </row>
        <row r="31">
          <cell r="A31" t="str">
            <v>E</v>
          </cell>
        </row>
        <row r="32">
          <cell r="A32" t="str">
            <v>F</v>
          </cell>
        </row>
      </sheetData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 OMMC"/>
      <sheetName val="GP RBI"/>
      <sheetName val="Sheet4"/>
      <sheetName val="Sheet2"/>
      <sheetName val="wet asia"/>
      <sheetName val="Sheet6"/>
      <sheetName val="Sheet9"/>
      <sheetName val="ASSEMBLY CODES"/>
      <sheetName val="FINISH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A13" t="str">
            <v>N</v>
          </cell>
        </row>
        <row r="14">
          <cell r="A14" t="str">
            <v>A</v>
          </cell>
        </row>
        <row r="15">
          <cell r="A15" t="str">
            <v>S</v>
          </cell>
        </row>
        <row r="16">
          <cell r="A16" t="str">
            <v>T</v>
          </cell>
        </row>
        <row r="19">
          <cell r="A19">
            <v>1</v>
          </cell>
        </row>
        <row r="20">
          <cell r="A20">
            <v>2</v>
          </cell>
        </row>
        <row r="21">
          <cell r="A21">
            <v>3</v>
          </cell>
        </row>
        <row r="22">
          <cell r="A22">
            <v>4</v>
          </cell>
        </row>
        <row r="23">
          <cell r="A23">
            <v>5</v>
          </cell>
        </row>
        <row r="24">
          <cell r="A24">
            <v>6</v>
          </cell>
        </row>
        <row r="25">
          <cell r="A25">
            <v>7</v>
          </cell>
        </row>
        <row r="26">
          <cell r="A26">
            <v>8</v>
          </cell>
        </row>
        <row r="27">
          <cell r="A27" t="str">
            <v>A</v>
          </cell>
        </row>
        <row r="28">
          <cell r="A28" t="str">
            <v>B</v>
          </cell>
        </row>
        <row r="29">
          <cell r="A29" t="str">
            <v>C</v>
          </cell>
        </row>
        <row r="30">
          <cell r="A30" t="str">
            <v>D</v>
          </cell>
        </row>
        <row r="31">
          <cell r="A31" t="str">
            <v>E</v>
          </cell>
        </row>
        <row r="32">
          <cell r="A32" t="str">
            <v>F</v>
          </cell>
        </row>
      </sheetData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IRN"/>
      <sheetName val="VERSION"/>
      <sheetName val="SCRATCH"/>
      <sheetName val="CODES"/>
      <sheetName val="BATTCODES"/>
      <sheetName val="WITHOUT PACKAGING"/>
      <sheetName val="WITH PACKAGING-FG"/>
      <sheetName val="OLD CODES FOR DELETION"/>
    </sheetNames>
    <sheetDataSet>
      <sheetData sheetId="0">
        <row r="4">
          <cell r="B4" t="str">
            <v>ACC24ALD-P</v>
          </cell>
          <cell r="C4" t="str">
            <v>EACC24BL-SPN00L</v>
          </cell>
          <cell r="D4">
            <v>1</v>
          </cell>
          <cell r="E4" t="str">
            <v>AB PP DC ACE C24 +R</v>
          </cell>
        </row>
        <row r="5">
          <cell r="B5" t="str">
            <v>ACD22ALD-P</v>
          </cell>
          <cell r="C5" t="str">
            <v>EACD23AL-SPN00L</v>
          </cell>
          <cell r="D5">
            <v>1</v>
          </cell>
          <cell r="E5" t="str">
            <v>AB PP DC ACE 1SMF/D22 +R</v>
          </cell>
        </row>
        <row r="6">
          <cell r="B6" t="str">
            <v>ACD26ALD-P</v>
          </cell>
          <cell r="C6" t="str">
            <v>EACD26AL-SPN00L</v>
          </cell>
          <cell r="D6">
            <v>1</v>
          </cell>
          <cell r="E6" t="str">
            <v>AB PP DC ACE 2SMF/D26 +R</v>
          </cell>
        </row>
        <row r="7">
          <cell r="B7" t="str">
            <v>ACD31ALD-P</v>
          </cell>
          <cell r="C7" t="str">
            <v>EACD31AL-SPN00L</v>
          </cell>
          <cell r="D7">
            <v>1</v>
          </cell>
          <cell r="E7" t="str">
            <v>AB PP DC ACE 3SMF/D31 +R</v>
          </cell>
        </row>
        <row r="8">
          <cell r="B8" t="str">
            <v>ACE41ALD-P</v>
          </cell>
          <cell r="C8" t="str">
            <v>EACE41AL-SPN00L</v>
          </cell>
          <cell r="D8">
            <v>1</v>
          </cell>
          <cell r="E8" t="str">
            <v>AB PP DC ACE-OMMC N100 +R AUTO</v>
          </cell>
        </row>
        <row r="9">
          <cell r="B9" t="str">
            <v>ACF51ALD-P</v>
          </cell>
          <cell r="C9" t="str">
            <v>EACF51BL-SPN00L</v>
          </cell>
          <cell r="D9">
            <v>1</v>
          </cell>
          <cell r="E9" t="str">
            <v>AB PP DC ACE 2D/F51AL +R</v>
          </cell>
        </row>
        <row r="10">
          <cell r="B10" t="str">
            <v>ACG51ALD-P</v>
          </cell>
          <cell r="C10" t="str">
            <v>EACG51AL-SPN00L</v>
          </cell>
          <cell r="D10">
            <v>1</v>
          </cell>
          <cell r="E10" t="str">
            <v>AB PP DC ACE G51 +R</v>
          </cell>
        </row>
        <row r="11">
          <cell r="B11" t="str">
            <v>ACH52ALD-P</v>
          </cell>
          <cell r="C11" t="str">
            <v>EACH52BL-SPN00L</v>
          </cell>
          <cell r="D11">
            <v>1</v>
          </cell>
          <cell r="E11" t="str">
            <v>AB PP DC ACE-OMMC N200 +R AUTO</v>
          </cell>
        </row>
        <row r="12">
          <cell r="B12" t="str">
            <v>AERON100P</v>
          </cell>
          <cell r="C12" t="str">
            <v>DUBE416R-SPN19E</v>
          </cell>
          <cell r="D12">
            <v>1</v>
          </cell>
          <cell r="E12" t="str">
            <v>AB PP DC AERO-JAPAN N100 +L</v>
          </cell>
        </row>
        <row r="13">
          <cell r="B13" t="str">
            <v>AERON120P</v>
          </cell>
          <cell r="C13" t="str">
            <v>DUBF517L-SPN19E</v>
          </cell>
          <cell r="D13">
            <v>1</v>
          </cell>
          <cell r="E13" t="str">
            <v>AB PP DC UNBRANDED (AERO) N120P</v>
          </cell>
        </row>
        <row r="14">
          <cell r="B14" t="str">
            <v>AERON150P</v>
          </cell>
          <cell r="C14" t="str">
            <v>DUBG518L-SPN19E</v>
          </cell>
          <cell r="D14">
            <v>1</v>
          </cell>
          <cell r="E14" t="str">
            <v>AB PP DC UNBRANDED (AERO) N150P</v>
          </cell>
        </row>
        <row r="15">
          <cell r="B15" t="str">
            <v>AERON200P</v>
          </cell>
          <cell r="C15" t="str">
            <v>DUBH52YL-SPN19E</v>
          </cell>
          <cell r="D15">
            <v>1</v>
          </cell>
          <cell r="E15" t="str">
            <v>AB PP DC UNBRANDED (AERO) N200P</v>
          </cell>
        </row>
        <row r="16">
          <cell r="B16" t="str">
            <v>ARN70Z-MF-P</v>
          </cell>
          <cell r="C16" t="str">
            <v>WOYG27ER-CP320E</v>
          </cell>
          <cell r="D16">
            <v>1</v>
          </cell>
          <cell r="E16" t="str">
            <v>AB PP WC ARROW-INDIA N70Z AUTO +L</v>
          </cell>
        </row>
        <row r="17">
          <cell r="B17" t="str">
            <v>ARNS40ZL-MF-P</v>
          </cell>
          <cell r="C17" t="str">
            <v>WOYB20CB-CP120E</v>
          </cell>
          <cell r="D17">
            <v>1</v>
          </cell>
          <cell r="E17" t="str">
            <v>AB PP WC ARROW-INDIA NS40ZL JIS +R</v>
          </cell>
        </row>
        <row r="18">
          <cell r="B18" t="str">
            <v>ARNS40Z-MF-P</v>
          </cell>
          <cell r="C18" t="str">
            <v>WOYB20CA-CP120E</v>
          </cell>
          <cell r="D18">
            <v>1</v>
          </cell>
          <cell r="E18" t="str">
            <v>AB PP WC ARROW-INDIA NS40Z JIS +L</v>
          </cell>
        </row>
        <row r="19">
          <cell r="B19" t="str">
            <v>ARNS60ZLS-MF-P</v>
          </cell>
          <cell r="C19" t="str">
            <v>WOYB24DL-CP320E</v>
          </cell>
          <cell r="D19">
            <v>1</v>
          </cell>
          <cell r="E19" t="str">
            <v>AB PP WC ARROW-INDIA NS60ZLS AUTO +R</v>
          </cell>
        </row>
        <row r="20">
          <cell r="B20" t="str">
            <v>ARNS70L-MF-P</v>
          </cell>
          <cell r="C20" t="str">
            <v>WOYG24DL-CP320E</v>
          </cell>
          <cell r="D20">
            <v>1</v>
          </cell>
          <cell r="E20" t="str">
            <v>AB PP WC ARROW-INDIA NS70L AUTO +R</v>
          </cell>
        </row>
        <row r="21">
          <cell r="B21" t="str">
            <v>ARNS70-MF-P</v>
          </cell>
          <cell r="C21" t="str">
            <v>WOYG24DR-CP320E</v>
          </cell>
          <cell r="D21">
            <v>1</v>
          </cell>
          <cell r="E21" t="str">
            <v>AB PP WC ARROW-INDIA NS70 AUTO +L</v>
          </cell>
        </row>
        <row r="22">
          <cell r="B22" t="str">
            <v>ARNX120-MF-P</v>
          </cell>
          <cell r="C22" t="str">
            <v>WOYG27GR-CP320E</v>
          </cell>
          <cell r="D22">
            <v>1</v>
          </cell>
          <cell r="E22" t="str">
            <v>AB PP WC ARROW-INDIA NX120 AUTO +L</v>
          </cell>
        </row>
        <row r="23">
          <cell r="B23" t="str">
            <v>BB95D31LD-P</v>
          </cell>
          <cell r="C23" t="str">
            <v>DMCD31EL-SPN26E</v>
          </cell>
          <cell r="D23">
            <v>1</v>
          </cell>
          <cell r="E23" t="str">
            <v>AB PP DC BHATIA BROS.-UAE N70/D31 +R</v>
          </cell>
        </row>
        <row r="24">
          <cell r="B24" t="str">
            <v>BB95D31RD-P</v>
          </cell>
          <cell r="C24" t="str">
            <v>DMCD31ER-SPN26E</v>
          </cell>
          <cell r="D24">
            <v>1</v>
          </cell>
          <cell r="E24" t="str">
            <v>AB PP DC BHATIA BROS.-UAE N70/D31 +L</v>
          </cell>
        </row>
        <row r="25">
          <cell r="B25" t="str">
            <v>BBB20ALS-P</v>
          </cell>
          <cell r="C25" t="str">
            <v>WMGB20BB-TS126E</v>
          </cell>
          <cell r="D25">
            <v>1</v>
          </cell>
          <cell r="E25" t="str">
            <v>AB PP WC BHATIA BROS.-UAE NS40/B20 +R</v>
          </cell>
        </row>
        <row r="26">
          <cell r="B26" t="str">
            <v>BBD26ALD-P</v>
          </cell>
          <cell r="C26" t="str">
            <v>DMCD26DL-SPN26E</v>
          </cell>
          <cell r="D26">
            <v>1</v>
          </cell>
          <cell r="E26" t="str">
            <v>AB PP DC BHATIA-UAE D26 +R AUTO</v>
          </cell>
        </row>
        <row r="27">
          <cell r="B27" t="str">
            <v>BBD31ALD-P</v>
          </cell>
          <cell r="C27" t="str">
            <v>DMCD31CL-SPN26E</v>
          </cell>
          <cell r="D27">
            <v>1</v>
          </cell>
          <cell r="E27" t="str">
            <v>AB PP DC BHATIA-UAE D31 +R AUTO</v>
          </cell>
        </row>
        <row r="28">
          <cell r="B28" t="str">
            <v>BBD31ARD-P</v>
          </cell>
          <cell r="C28" t="str">
            <v>DMCD31CR-SPN26E</v>
          </cell>
          <cell r="D28">
            <v>1</v>
          </cell>
          <cell r="E28" t="str">
            <v>AB PP DC BHATIA-UAE D31 +L AUTO</v>
          </cell>
        </row>
        <row r="29">
          <cell r="B29" t="str">
            <v>BBE41BRD-P</v>
          </cell>
          <cell r="C29" t="str">
            <v>DMTE41CR-SPN26E</v>
          </cell>
          <cell r="D29">
            <v>1</v>
          </cell>
          <cell r="E29" t="str">
            <v>DELETED MATERIAL! DO NOT USE! DCN# 13705</v>
          </cell>
        </row>
        <row r="30">
          <cell r="B30" t="str">
            <v>BBMFN55-P</v>
          </cell>
          <cell r="C30" t="str">
            <v>WMGN55EL-TS126E</v>
          </cell>
          <cell r="D30">
            <v>1</v>
          </cell>
          <cell r="E30" t="str">
            <v>AB PP WC BHATIA BROS.-UAE DIN55 +R</v>
          </cell>
        </row>
        <row r="31">
          <cell r="B31" t="str">
            <v>BBMFN66-P</v>
          </cell>
          <cell r="C31" t="str">
            <v>WMGN66DL-TS126E</v>
          </cell>
          <cell r="D31">
            <v>1</v>
          </cell>
          <cell r="E31" t="str">
            <v>AB PP WC BHATIA BROS.-UAE DIN66 +R</v>
          </cell>
        </row>
        <row r="32">
          <cell r="B32" t="str">
            <v>BBMFN88-P</v>
          </cell>
          <cell r="C32" t="str">
            <v>WMGN88CL-TS126E</v>
          </cell>
          <cell r="D32">
            <v>1</v>
          </cell>
          <cell r="E32" t="str">
            <v>AB PP WC BHATIA BROS.-UAE DIN88 +R</v>
          </cell>
        </row>
        <row r="33">
          <cell r="B33" t="str">
            <v>BBN120D-P</v>
          </cell>
          <cell r="C33" t="str">
            <v>DMTF51CL-SPN26E</v>
          </cell>
          <cell r="D33">
            <v>1</v>
          </cell>
          <cell r="E33" t="str">
            <v>DELETED MATERIAL! DO NOT USE! DCN# 13705</v>
          </cell>
        </row>
        <row r="34">
          <cell r="B34" t="str">
            <v>BBN150D-P</v>
          </cell>
          <cell r="C34" t="str">
            <v>DMTG51CL-SPN26E</v>
          </cell>
          <cell r="D34">
            <v>1</v>
          </cell>
          <cell r="E34" t="str">
            <v>DELETED MATERIAL! DO NOT USE! DCN# 13705</v>
          </cell>
        </row>
        <row r="35">
          <cell r="B35" t="str">
            <v>BBN200D-P</v>
          </cell>
          <cell r="C35" t="str">
            <v>DMTH52BL-SPN26E</v>
          </cell>
          <cell r="D35">
            <v>1</v>
          </cell>
          <cell r="E35" t="str">
            <v>DELETED MATERIAL! DO NOT USE! DCN# 13705</v>
          </cell>
        </row>
        <row r="36">
          <cell r="B36" t="str">
            <v>BBN40L-P</v>
          </cell>
          <cell r="C36" t="str">
            <v>WMGC24DL-TS126E</v>
          </cell>
          <cell r="D36">
            <v>1</v>
          </cell>
          <cell r="E36" t="str">
            <v>AB PP WC BHATIA BROS.-UAE N40/C24 +R</v>
          </cell>
        </row>
        <row r="37">
          <cell r="B37" t="str">
            <v>BBN40-P</v>
          </cell>
          <cell r="C37" t="str">
            <v>WMGC24DR-TS126E</v>
          </cell>
          <cell r="D37">
            <v>1</v>
          </cell>
          <cell r="E37" t="str">
            <v>AB PP WC BHATIA BROS.-UAE N40/C24 +L</v>
          </cell>
        </row>
        <row r="38">
          <cell r="B38" t="str">
            <v>BBN50L-P</v>
          </cell>
          <cell r="C38" t="str">
            <v>WMGG24BL-TS326E</v>
          </cell>
          <cell r="D38">
            <v>1</v>
          </cell>
          <cell r="E38" t="str">
            <v>AB PP WC BHATIA BROS.-UAE N50/G24 +R</v>
          </cell>
        </row>
        <row r="39">
          <cell r="B39" t="str">
            <v>BBN50-P</v>
          </cell>
          <cell r="C39" t="str">
            <v>WMGG24BR-TS326E</v>
          </cell>
          <cell r="D39">
            <v>1</v>
          </cell>
          <cell r="E39" t="str">
            <v>AB PP WC BHATIA BROS.-UAE N50/G24 +L</v>
          </cell>
        </row>
        <row r="40">
          <cell r="B40" t="str">
            <v>BBNS50L-P</v>
          </cell>
          <cell r="C40" t="str">
            <v>WMGD236E-TS326E</v>
          </cell>
          <cell r="D40">
            <v>1</v>
          </cell>
          <cell r="E40" t="str">
            <v>AB PP WC BHATIA BROS.-UAE NS50/D23 +R</v>
          </cell>
        </row>
        <row r="41">
          <cell r="B41" t="str">
            <v>BBNS60ZL-P</v>
          </cell>
          <cell r="C41" t="str">
            <v>WMGB24DB-TS326E</v>
          </cell>
          <cell r="D41">
            <v>1</v>
          </cell>
          <cell r="E41" t="str">
            <v>AB PP WC BHATIA BROS.-UAE NS60/B24 +R</v>
          </cell>
        </row>
        <row r="42">
          <cell r="B42" t="str">
            <v>BBNS70L-P</v>
          </cell>
          <cell r="C42" t="str">
            <v>WMGG24DL-TS326E</v>
          </cell>
          <cell r="D42">
            <v>1</v>
          </cell>
          <cell r="E42" t="str">
            <v>AB PP WC BHATIA BROS.-UAE NS70/G24 +R</v>
          </cell>
        </row>
        <row r="43">
          <cell r="B43" t="str">
            <v>BJB24L-3MF-P</v>
          </cell>
          <cell r="C43" t="str">
            <v>WMGB24CB-CP422E</v>
          </cell>
          <cell r="D43">
            <v>1</v>
          </cell>
          <cell r="E43" t="str">
            <v>AB PP WC BANICS-JAPN ACSBLE B24-3MF +R J</v>
          </cell>
        </row>
        <row r="44">
          <cell r="B44" t="str">
            <v>BJB24R-3MF-P</v>
          </cell>
          <cell r="C44" t="str">
            <v>WMGB24CA-CP422E</v>
          </cell>
          <cell r="D44">
            <v>1</v>
          </cell>
          <cell r="E44" t="str">
            <v>AB PP WC BANICS-JAPN ACSBLE B24-3MF +L</v>
          </cell>
        </row>
        <row r="45">
          <cell r="B45" t="str">
            <v>BJF51DLD-P</v>
          </cell>
          <cell r="C45" t="str">
            <v>DMCF51DL-SPN22E</v>
          </cell>
          <cell r="D45">
            <v>1</v>
          </cell>
          <cell r="E45" t="str">
            <v>AB PP DC BANICS-JAPN F51/N120 +R AUTO</v>
          </cell>
        </row>
        <row r="46">
          <cell r="B46" t="str">
            <v>BJG24L-6MF-P</v>
          </cell>
          <cell r="C46" t="str">
            <v>WMGG24FL-CP422E</v>
          </cell>
          <cell r="D46">
            <v>1</v>
          </cell>
          <cell r="E46" t="str">
            <v>AB PP WC BANICS-JAPN ACSBLE G24-6MF +R</v>
          </cell>
        </row>
        <row r="47">
          <cell r="B47" t="str">
            <v>BJG24R-6MF-P</v>
          </cell>
          <cell r="C47" t="str">
            <v>WMGG24FR-CP422E</v>
          </cell>
          <cell r="D47">
            <v>1</v>
          </cell>
          <cell r="E47" t="str">
            <v>AB PP WC BANICS-JAPN ACSBLE G24-6MF +L</v>
          </cell>
        </row>
        <row r="48">
          <cell r="B48" t="str">
            <v>BJG25-5MF-P</v>
          </cell>
          <cell r="C48" t="str">
            <v>WMGG25DR-CP422E</v>
          </cell>
          <cell r="D48">
            <v>1</v>
          </cell>
          <cell r="E48" t="str">
            <v>AB PP WC BANICS-JAPN ACSBLE G25-5MF +L</v>
          </cell>
        </row>
        <row r="49">
          <cell r="B49" t="str">
            <v>BJG27L-7MF-P</v>
          </cell>
          <cell r="C49" t="str">
            <v>WMGG27HL-CP422E</v>
          </cell>
          <cell r="D49">
            <v>1</v>
          </cell>
          <cell r="E49" t="str">
            <v>AB PP WC BANICS-JAPN ACSBLE G27-7MF +R</v>
          </cell>
        </row>
        <row r="50">
          <cell r="B50" t="str">
            <v>BJG27R-7MF-P</v>
          </cell>
          <cell r="C50" t="str">
            <v>WMGG27HR-CP422E</v>
          </cell>
          <cell r="D50">
            <v>1</v>
          </cell>
          <cell r="E50" t="str">
            <v>AB PP WC BANICS-JAPN ACSBLE G27-7MF +L</v>
          </cell>
        </row>
        <row r="51">
          <cell r="B51" t="str">
            <v>BJG35-5MF-P</v>
          </cell>
          <cell r="C51" t="str">
            <v>WMGG35DL-CP422E</v>
          </cell>
          <cell r="D51">
            <v>1</v>
          </cell>
          <cell r="E51" t="str">
            <v>AB PP WC BANICS-JAPN ACSBLE G35-5MF +R</v>
          </cell>
        </row>
        <row r="52">
          <cell r="B52" t="str">
            <v>BJGC2-6VZ (220)</v>
          </cell>
          <cell r="C52" t="str">
            <v>DMCGC2TZ-SPN22E</v>
          </cell>
          <cell r="D52">
            <v>1</v>
          </cell>
          <cell r="E52" t="str">
            <v>AB PP DC BANICS-JAPN GC2-6V(220) DFP</v>
          </cell>
        </row>
        <row r="53">
          <cell r="B53" t="str">
            <v>BJH52-12MF-P</v>
          </cell>
          <cell r="C53" t="str">
            <v>WMGH52XI-SPN22E</v>
          </cell>
          <cell r="D53">
            <v>1</v>
          </cell>
          <cell r="E53" t="str">
            <v>AB PP WC BANICS-JAPN ACSBLE H52/8D +R</v>
          </cell>
        </row>
        <row r="54">
          <cell r="B54" t="str">
            <v>CF32C24R-MF-P</v>
          </cell>
          <cell r="C54" t="str">
            <v>WSGC24BR-CP127E</v>
          </cell>
          <cell r="D54">
            <v>1</v>
          </cell>
          <cell r="E54" t="str">
            <v>AB PP WC COASTFIELD-SC GOLD N40/C24 AUTO</v>
          </cell>
        </row>
        <row r="55">
          <cell r="B55" t="str">
            <v>CF32C24R-P</v>
          </cell>
          <cell r="C55" t="str">
            <v>WMGC24AR-CP127E</v>
          </cell>
          <cell r="D55">
            <v>1</v>
          </cell>
          <cell r="E55" t="str">
            <v>AB PP WC COASTFIELD-MGOLD N40 AUTO +L</v>
          </cell>
        </row>
        <row r="56">
          <cell r="B56" t="str">
            <v>CF48D26L-MF-P</v>
          </cell>
          <cell r="C56" t="str">
            <v>WSGG24BL-CP327E</v>
          </cell>
          <cell r="D56">
            <v>1</v>
          </cell>
          <cell r="E56" t="str">
            <v>AB PP WC COASTFIELD MF 48D26L +R</v>
          </cell>
        </row>
        <row r="57">
          <cell r="B57" t="str">
            <v>CF48D26R-MF-P</v>
          </cell>
          <cell r="C57" t="str">
            <v>WSGG24BR-CP327E</v>
          </cell>
          <cell r="D57">
            <v>1</v>
          </cell>
          <cell r="E57" t="str">
            <v>AB PP WC COASTFIELD MF 48D26R +L</v>
          </cell>
        </row>
        <row r="58">
          <cell r="B58" t="str">
            <v>CF65D31L-MF-P</v>
          </cell>
          <cell r="C58" t="str">
            <v>WSGG27DL-CP327E</v>
          </cell>
          <cell r="D58">
            <v>1</v>
          </cell>
          <cell r="E58" t="str">
            <v>AB PP WC COASTFIELD MF 65D31L +R</v>
          </cell>
        </row>
        <row r="59">
          <cell r="B59" t="str">
            <v>CF65D31R-MF-P</v>
          </cell>
          <cell r="C59" t="str">
            <v>WSGG27DR-CP327E</v>
          </cell>
          <cell r="D59">
            <v>1</v>
          </cell>
          <cell r="E59" t="str">
            <v>AB PP WC COASTFIELD MF 65D31R +L</v>
          </cell>
        </row>
        <row r="60">
          <cell r="B60" t="str">
            <v>CFB20ALS-MF-P</v>
          </cell>
          <cell r="C60" t="str">
            <v>WMGB20BL-CP127E</v>
          </cell>
          <cell r="D60">
            <v>1</v>
          </cell>
          <cell r="E60" t="str">
            <v>AB PP WC COASTFIELD-PNG NS40 +R AUTO</v>
          </cell>
        </row>
        <row r="61">
          <cell r="B61" t="str">
            <v>CFB20ARS-MF-P</v>
          </cell>
          <cell r="C61" t="str">
            <v>WMGB20BR-CP127E</v>
          </cell>
          <cell r="D61">
            <v>1</v>
          </cell>
          <cell r="E61" t="str">
            <v>AB PP WC COASTFIELD-PNG NS40 +L AUTO</v>
          </cell>
        </row>
        <row r="62">
          <cell r="B62" t="str">
            <v>CFB20ARS-P</v>
          </cell>
          <cell r="C62" t="str">
            <v>WSGB20BL-CP127E</v>
          </cell>
          <cell r="D62">
            <v>1</v>
          </cell>
          <cell r="E62" t="str">
            <v>AB PP WC COASTFIELD-SUPCHA NS40 +L</v>
          </cell>
        </row>
        <row r="63">
          <cell r="B63" t="str">
            <v>CFB24ALS-MF-P</v>
          </cell>
          <cell r="C63" t="str">
            <v>WMGB24AL-CP327E</v>
          </cell>
          <cell r="D63">
            <v>1</v>
          </cell>
          <cell r="E63" t="str">
            <v>AB PP WC COASTFIELD-PNG NS60 +R AUTO</v>
          </cell>
        </row>
        <row r="64">
          <cell r="B64" t="str">
            <v>CFB24ARS-MF-P</v>
          </cell>
          <cell r="C64" t="str">
            <v>WMGB24AR-CP327E</v>
          </cell>
          <cell r="D64">
            <v>1</v>
          </cell>
          <cell r="E64" t="str">
            <v>AB PP WC COASTFIELD-PNG NS60 +L AUTO</v>
          </cell>
        </row>
        <row r="65">
          <cell r="B65" t="str">
            <v>CFC24AL-MF-P</v>
          </cell>
          <cell r="C65" t="str">
            <v>WMGC24BL-CP127E</v>
          </cell>
          <cell r="D65">
            <v>1</v>
          </cell>
          <cell r="E65" t="str">
            <v>AB PP WC COASTFIELD-PNG N40 +R AUTO</v>
          </cell>
        </row>
        <row r="66">
          <cell r="B66" t="str">
            <v>CFC24AR-MF-P</v>
          </cell>
          <cell r="C66" t="str">
            <v>WMGC24BR-CP127E</v>
          </cell>
          <cell r="D66">
            <v>1</v>
          </cell>
          <cell r="E66" t="str">
            <v>AB PP WC COASTFIELD-PNG N40 +L AUTO</v>
          </cell>
        </row>
        <row r="67">
          <cell r="B67" t="str">
            <v>CFC24AR-P</v>
          </cell>
          <cell r="C67" t="str">
            <v>WSGC24AR-CP127E</v>
          </cell>
          <cell r="D67">
            <v>1</v>
          </cell>
          <cell r="E67" t="str">
            <v>AB PP WC COASTFIELD-SUPCHA N40 +L</v>
          </cell>
        </row>
        <row r="68">
          <cell r="B68" t="str">
            <v>CFD26AL-MF-P</v>
          </cell>
          <cell r="C68" t="str">
            <v>WMGG24AL-CP327E</v>
          </cell>
          <cell r="D68">
            <v>1</v>
          </cell>
          <cell r="E68" t="str">
            <v>AB PP WC COASTFIELD-PNG N50 +R AUTO</v>
          </cell>
        </row>
        <row r="69">
          <cell r="B69" t="str">
            <v>CFD26AR-MF-P</v>
          </cell>
          <cell r="C69" t="str">
            <v>WMGG24AR-CP327E</v>
          </cell>
          <cell r="D69">
            <v>1</v>
          </cell>
          <cell r="E69" t="str">
            <v>AB PP WC COASTFIELD-PNG N50 +L AUTO</v>
          </cell>
        </row>
        <row r="70">
          <cell r="B70" t="str">
            <v>CFD26BL-MF-P</v>
          </cell>
          <cell r="C70" t="str">
            <v>WMGG24CL-CP327E</v>
          </cell>
          <cell r="D70">
            <v>1</v>
          </cell>
          <cell r="E70" t="str">
            <v>AB PP WC COASTFIELD-PNG N50Z +R AUTO</v>
          </cell>
        </row>
        <row r="71">
          <cell r="B71" t="str">
            <v>CFD26BR-MF-P</v>
          </cell>
          <cell r="C71" t="str">
            <v>WMGG24CR-CP327E</v>
          </cell>
          <cell r="D71">
            <v>1</v>
          </cell>
          <cell r="E71" t="str">
            <v>AB PP WC COASTFIELD-PNG N50Z +L AUTO</v>
          </cell>
        </row>
        <row r="72">
          <cell r="B72" t="str">
            <v>CFD31AL-MF-P</v>
          </cell>
          <cell r="C72" t="str">
            <v>WMGG27AL-CP327E</v>
          </cell>
          <cell r="D72">
            <v>1</v>
          </cell>
          <cell r="E72" t="str">
            <v>AB PP WC COASTFIELD-PNG N70 +R AUTO</v>
          </cell>
        </row>
        <row r="73">
          <cell r="B73" t="str">
            <v>CFD31AR-MF-P</v>
          </cell>
          <cell r="C73" t="str">
            <v>WMGG27AR-CP327E</v>
          </cell>
          <cell r="D73">
            <v>1</v>
          </cell>
          <cell r="E73" t="str">
            <v>AB PP WC COASTFIELD-PNG N70 +L AUTO</v>
          </cell>
        </row>
        <row r="74">
          <cell r="B74" t="str">
            <v>CFD31BL-MF-P</v>
          </cell>
          <cell r="C74" t="str">
            <v>WMGG27CL-CP327E</v>
          </cell>
          <cell r="D74">
            <v>1</v>
          </cell>
          <cell r="E74" t="str">
            <v>AB PP WC COASTFIELD-PNG N70Z +R AUTO</v>
          </cell>
        </row>
        <row r="75">
          <cell r="B75" t="str">
            <v>CFD31BR-MF-P</v>
          </cell>
          <cell r="C75" t="str">
            <v>WMGG27CR-CP327E</v>
          </cell>
          <cell r="D75">
            <v>1</v>
          </cell>
          <cell r="E75" t="str">
            <v>AB PP WC COASTFIELD-PNG N70Z +L AUTO</v>
          </cell>
        </row>
        <row r="76">
          <cell r="B76" t="str">
            <v>CFE41BLD-P</v>
          </cell>
          <cell r="C76" t="str">
            <v>DMTE41CL-SPN27E</v>
          </cell>
          <cell r="D76">
            <v>1</v>
          </cell>
          <cell r="E76" t="str">
            <v>AB PP DC COASTFIELD-PNG N100 +R AUTO</v>
          </cell>
        </row>
        <row r="77">
          <cell r="B77" t="str">
            <v>CFE41BRD-P</v>
          </cell>
          <cell r="C77" t="str">
            <v>DMTE41CR-SPN27E</v>
          </cell>
          <cell r="D77">
            <v>1</v>
          </cell>
          <cell r="E77" t="str">
            <v>AB PP DC COASTFIELD-PNG N100 +L AUTO</v>
          </cell>
        </row>
        <row r="78">
          <cell r="B78" t="str">
            <v>CFMFM50-P</v>
          </cell>
          <cell r="C78" t="str">
            <v>WSMD26DF-CP427E</v>
          </cell>
          <cell r="D78">
            <v>1</v>
          </cell>
          <cell r="E78" t="str">
            <v>AB PP WC COASTFIELD M50 MF SPCL BUSH</v>
          </cell>
        </row>
        <row r="79">
          <cell r="B79" t="str">
            <v>CFMFM70-P</v>
          </cell>
          <cell r="C79" t="str">
            <v>WSMD31HF-CP427E</v>
          </cell>
          <cell r="D79">
            <v>1</v>
          </cell>
          <cell r="E79" t="str">
            <v>AB PP WC COASTFIELD M70 MF SPCL BUSH</v>
          </cell>
        </row>
        <row r="80">
          <cell r="B80" t="str">
            <v>CFN120D-P</v>
          </cell>
          <cell r="C80" t="str">
            <v>DMTF51CL-SPN27E</v>
          </cell>
          <cell r="D80">
            <v>1</v>
          </cell>
          <cell r="E80" t="str">
            <v>AB PP DC COASTFIELD-PNG N120  AUTO</v>
          </cell>
        </row>
        <row r="81">
          <cell r="B81" t="str">
            <v>CFN150D-P</v>
          </cell>
          <cell r="C81" t="str">
            <v>DMTG51BL-SPN27E</v>
          </cell>
          <cell r="D81">
            <v>1</v>
          </cell>
          <cell r="E81" t="str">
            <v>AB PP DC COASTFIELD-PNG N150  AUTO</v>
          </cell>
        </row>
        <row r="82">
          <cell r="B82" t="str">
            <v>CFN200D-P</v>
          </cell>
          <cell r="C82" t="str">
            <v>DMTH52BL-SPN27E</v>
          </cell>
          <cell r="D82">
            <v>1</v>
          </cell>
          <cell r="E82" t="str">
            <v>DELETED MATERIAL! DO NOT USE! DCN# 13705</v>
          </cell>
        </row>
        <row r="83">
          <cell r="B83" t="str">
            <v>CFN200MF-P</v>
          </cell>
          <cell r="C83" t="str">
            <v>WMTH52EL-CP327E</v>
          </cell>
          <cell r="D83">
            <v>1</v>
          </cell>
          <cell r="E83" t="str">
            <v>AB PP WC COASTFIELD N200 MF</v>
          </cell>
        </row>
        <row r="84">
          <cell r="B84" t="str">
            <v>CFNS40Z-MF-P</v>
          </cell>
          <cell r="C84" t="str">
            <v>WMGB20CR-CP127E</v>
          </cell>
          <cell r="D84">
            <v>1</v>
          </cell>
          <cell r="E84" t="str">
            <v>AB PP WC COASTFIELD-MGOLD NS40Z +L</v>
          </cell>
        </row>
        <row r="85">
          <cell r="B85" t="str">
            <v>CFNS40Z-P</v>
          </cell>
          <cell r="C85" t="str">
            <v>WSGB20CR-CP127E</v>
          </cell>
          <cell r="D85">
            <v>1</v>
          </cell>
          <cell r="E85" t="str">
            <v>AB PP WC COASTFIELD-SUPCHA NS40Z +L</v>
          </cell>
        </row>
        <row r="86">
          <cell r="B86" t="str">
            <v>CHC24AL-P</v>
          </cell>
          <cell r="C86" t="str">
            <v>WCHC24BL-CPN00L</v>
          </cell>
          <cell r="D86">
            <v>1</v>
          </cell>
          <cell r="E86" t="str">
            <v>AB PP WC CHAMPION 1SNF/C24AL +R</v>
          </cell>
        </row>
        <row r="87">
          <cell r="B87" t="str">
            <v>CHD23BL-P</v>
          </cell>
          <cell r="C87" t="str">
            <v>WCHD23BL-CPN00L</v>
          </cell>
          <cell r="D87">
            <v>1</v>
          </cell>
          <cell r="E87" t="str">
            <v>AB PP WC CHAMPION 1SMF/D23BL +R</v>
          </cell>
        </row>
        <row r="88">
          <cell r="B88" t="str">
            <v>CHD26BL-P</v>
          </cell>
          <cell r="C88" t="str">
            <v>WCHD26BL-CPN00L</v>
          </cell>
          <cell r="D88">
            <v>1</v>
          </cell>
          <cell r="E88" t="str">
            <v>AB PP WC CHAMPION 2SMF/D26BL +R</v>
          </cell>
        </row>
        <row r="89">
          <cell r="B89" t="str">
            <v>CHD31AL-P</v>
          </cell>
          <cell r="C89" t="str">
            <v>WCHD31BL-CPN00L</v>
          </cell>
          <cell r="D89">
            <v>1</v>
          </cell>
          <cell r="E89" t="str">
            <v>AB PP WC CHAMPION 3SMF/D31AL +R</v>
          </cell>
        </row>
        <row r="90">
          <cell r="B90" t="str">
            <v>CHE41BLD-P</v>
          </cell>
          <cell r="C90" t="str">
            <v>ECHE41CL-SPN00L</v>
          </cell>
          <cell r="D90">
            <v>1</v>
          </cell>
          <cell r="E90" t="str">
            <v>AB PP DC CHAMPION 6SMF/E41BL +R</v>
          </cell>
        </row>
        <row r="91">
          <cell r="B91" t="str">
            <v>CHF51BLD-P</v>
          </cell>
          <cell r="C91" t="str">
            <v>ECHF51BL-SPN00L</v>
          </cell>
          <cell r="D91">
            <v>1</v>
          </cell>
          <cell r="E91" t="str">
            <v>AB PP DC CHAMPION 2D/F51BL +R (N120)</v>
          </cell>
        </row>
        <row r="92">
          <cell r="B92" t="str">
            <v>CHG51BLD-P</v>
          </cell>
          <cell r="C92" t="str">
            <v>ECHG51BL-SPN00L</v>
          </cell>
          <cell r="D92">
            <v>1</v>
          </cell>
          <cell r="E92" t="str">
            <v>AB PP DC CHAMPION 4D/G51BL +R (N150)</v>
          </cell>
        </row>
        <row r="93">
          <cell r="B93" t="str">
            <v>CHH52ALD-P</v>
          </cell>
          <cell r="C93" t="str">
            <v>ECHH52BL-SPN00L</v>
          </cell>
          <cell r="D93">
            <v>1</v>
          </cell>
          <cell r="E93" t="str">
            <v>8D CHAMPION CHH52ALD-P</v>
          </cell>
        </row>
        <row r="94">
          <cell r="B94" t="str">
            <v>CHN50ZL-MF-P</v>
          </cell>
          <cell r="C94" t="str">
            <v>WCHG24CL-CP315E</v>
          </cell>
          <cell r="D94">
            <v>1</v>
          </cell>
          <cell r="E94" t="str">
            <v>AB PP WC ABM-CHAMPION N50Z +R</v>
          </cell>
        </row>
        <row r="95">
          <cell r="B95" t="str">
            <v>CHN50Z-MF-P</v>
          </cell>
          <cell r="C95" t="str">
            <v>WCHG24CR-CP315E</v>
          </cell>
          <cell r="D95">
            <v>1</v>
          </cell>
          <cell r="E95" t="str">
            <v>AB PP WC ABM-CHAMPION N50Z +L</v>
          </cell>
        </row>
        <row r="96">
          <cell r="B96" t="str">
            <v>CHN70L-MF-P</v>
          </cell>
          <cell r="C96" t="str">
            <v>WCHG27CL-CP315E</v>
          </cell>
          <cell r="D96">
            <v>1</v>
          </cell>
          <cell r="E96" t="str">
            <v>AB PP WC ABM-CHAMPION N70 +R</v>
          </cell>
        </row>
        <row r="97">
          <cell r="B97" t="str">
            <v>CHN70-MF-P</v>
          </cell>
          <cell r="C97" t="str">
            <v>WCHG27CR-CP315E</v>
          </cell>
          <cell r="D97">
            <v>1</v>
          </cell>
          <cell r="E97" t="str">
            <v>AB PP WC ABM-CHAMPION N70 +L</v>
          </cell>
        </row>
        <row r="98">
          <cell r="B98" t="str">
            <v>CHN70ZL-MF-P</v>
          </cell>
          <cell r="C98" t="str">
            <v>WCHG27EL-CP315E</v>
          </cell>
          <cell r="D98">
            <v>1</v>
          </cell>
          <cell r="E98" t="str">
            <v>AB PP WC ABM-CHAMPION N70Z +R</v>
          </cell>
        </row>
        <row r="99">
          <cell r="B99" t="str">
            <v>CHN70Z-MF-P</v>
          </cell>
          <cell r="C99" t="str">
            <v>WCHG27ER-CP315E</v>
          </cell>
          <cell r="D99">
            <v>1</v>
          </cell>
          <cell r="E99" t="str">
            <v>AB PP WC ABM-CHAMPION N70Z +L</v>
          </cell>
        </row>
        <row r="100">
          <cell r="B100" t="str">
            <v>CHNS40ZL-MF-P</v>
          </cell>
          <cell r="C100" t="str">
            <v>WCHB20CB-CP115E</v>
          </cell>
          <cell r="D100">
            <v>1</v>
          </cell>
          <cell r="E100" t="str">
            <v>AB PP WC ABM-CHAMPION NS40Z +R</v>
          </cell>
        </row>
        <row r="101">
          <cell r="B101" t="str">
            <v>CHNS40Z-MF-P</v>
          </cell>
          <cell r="C101" t="str">
            <v>WCHB20CA-CP115E</v>
          </cell>
          <cell r="D101">
            <v>1</v>
          </cell>
          <cell r="E101" t="str">
            <v>AB PP WC ABM-CHAMPION NS40Z +L</v>
          </cell>
        </row>
        <row r="102">
          <cell r="B102" t="str">
            <v>CHNS50L-MF-P</v>
          </cell>
          <cell r="C102" t="str">
            <v>WCPD23BL-CP315E</v>
          </cell>
          <cell r="D102">
            <v>1</v>
          </cell>
          <cell r="E102" t="str">
            <v>AB PP WC ABM-CHAMPION NS50 +R</v>
          </cell>
        </row>
        <row r="103">
          <cell r="B103" t="str">
            <v>CHNS50-MF-P</v>
          </cell>
          <cell r="C103" t="str">
            <v>WCPD23BR-CP315E</v>
          </cell>
          <cell r="D103">
            <v>1</v>
          </cell>
          <cell r="E103" t="str">
            <v>AB PP WC ABM-CHAMPION NS50 +L</v>
          </cell>
        </row>
        <row r="104">
          <cell r="B104" t="str">
            <v>CHNS50ZL-MF-P</v>
          </cell>
          <cell r="C104" t="str">
            <v>WCHD23CL-CP315E</v>
          </cell>
          <cell r="D104">
            <v>1</v>
          </cell>
          <cell r="E104" t="str">
            <v>AB PP WC ABM-CHAMPION NS50Z +R</v>
          </cell>
        </row>
        <row r="105">
          <cell r="B105" t="str">
            <v>CHNS50Z-MF-P</v>
          </cell>
          <cell r="C105" t="str">
            <v>WCHD23CR-CP315E</v>
          </cell>
          <cell r="D105">
            <v>1</v>
          </cell>
          <cell r="E105" t="str">
            <v>AB PP WC ABM-CHAMPION NS50Z +L</v>
          </cell>
        </row>
        <row r="106">
          <cell r="B106" t="str">
            <v>CHNS60L-MF-P</v>
          </cell>
          <cell r="C106" t="str">
            <v>WCHB24BB-CP315E</v>
          </cell>
          <cell r="D106">
            <v>1</v>
          </cell>
          <cell r="E106" t="str">
            <v>AB PP WC ABM-CHAMPION NS60 +R</v>
          </cell>
        </row>
        <row r="107">
          <cell r="B107" t="str">
            <v>CHNS60LS-MF-P</v>
          </cell>
          <cell r="C107" t="str">
            <v>WCHB24BL-CP315E</v>
          </cell>
          <cell r="D107">
            <v>1</v>
          </cell>
          <cell r="E107" t="str">
            <v>AB PP WC ABM-CHAMPION NS60LS +R</v>
          </cell>
        </row>
        <row r="108">
          <cell r="B108" t="str">
            <v>CHNS60-MF-P</v>
          </cell>
          <cell r="C108" t="str">
            <v>WCHB24BA-CP315E</v>
          </cell>
          <cell r="D108">
            <v>1</v>
          </cell>
          <cell r="E108" t="str">
            <v>AB PP WC ABM-CHAMPION NS60 +L</v>
          </cell>
        </row>
        <row r="109">
          <cell r="B109" t="str">
            <v>CHNS60S-MF-P</v>
          </cell>
          <cell r="C109" t="str">
            <v>WCHB24BR-CP315E</v>
          </cell>
          <cell r="D109">
            <v>1</v>
          </cell>
          <cell r="E109" t="str">
            <v>AB PP WC ABM-CHAMPION NS60S +L</v>
          </cell>
        </row>
        <row r="110">
          <cell r="B110" t="str">
            <v>CHNS60ZL-MF-P</v>
          </cell>
          <cell r="C110" t="str">
            <v>WCHB24DB-CP315E</v>
          </cell>
          <cell r="D110">
            <v>1</v>
          </cell>
          <cell r="E110" t="str">
            <v>AB PP WC ABM-CHAMPION NS60Z +R</v>
          </cell>
        </row>
        <row r="111">
          <cell r="B111" t="str">
            <v>CHNS60ZLS-MF-P</v>
          </cell>
          <cell r="C111" t="str">
            <v>WCHB24DL-CP315E</v>
          </cell>
          <cell r="D111">
            <v>1</v>
          </cell>
          <cell r="E111" t="str">
            <v>AB PP WC ABM-CHAMPION NS60ZS +R</v>
          </cell>
        </row>
        <row r="112">
          <cell r="B112" t="str">
            <v>CHNS60Z-MF-P</v>
          </cell>
          <cell r="C112" t="str">
            <v>WCHB24DA-CP315E</v>
          </cell>
          <cell r="D112">
            <v>1</v>
          </cell>
          <cell r="E112" t="str">
            <v>AB PP WC ABM-CHAMPION NS60Z +L</v>
          </cell>
        </row>
        <row r="113">
          <cell r="B113" t="str">
            <v>CHNS60ZS-MF-P</v>
          </cell>
          <cell r="C113" t="str">
            <v>WCHB24DR-CP315E</v>
          </cell>
          <cell r="D113">
            <v>1</v>
          </cell>
          <cell r="E113" t="str">
            <v>AB PP WC ABM-CHAMPION NS60ZS +L</v>
          </cell>
        </row>
        <row r="114">
          <cell r="B114" t="str">
            <v>CHNS70L-MF-P</v>
          </cell>
          <cell r="C114" t="str">
            <v>WCHG24DL-CP315E</v>
          </cell>
          <cell r="D114">
            <v>1</v>
          </cell>
          <cell r="E114" t="str">
            <v>AB PP WC ABM-CHAMPION NS70 +R</v>
          </cell>
        </row>
        <row r="115">
          <cell r="B115" t="str">
            <v>CHNS70-MF-P</v>
          </cell>
          <cell r="C115" t="str">
            <v>WCHG24DR-CP315E</v>
          </cell>
          <cell r="D115">
            <v>1</v>
          </cell>
          <cell r="E115" t="str">
            <v>AB PP WC ABM-CHAMPION NS70 +L</v>
          </cell>
        </row>
        <row r="116">
          <cell r="B116" t="str">
            <v>CHNX110L-MF-P</v>
          </cell>
          <cell r="C116" t="str">
            <v>WCHG24EL-CP315E</v>
          </cell>
          <cell r="D116">
            <v>1</v>
          </cell>
          <cell r="E116" t="str">
            <v>AB PP WC ABM-CHAMPION NX110 +R</v>
          </cell>
        </row>
        <row r="117">
          <cell r="B117" t="str">
            <v>CHNX110-MF-P</v>
          </cell>
          <cell r="C117" t="str">
            <v>WCHG24ER-CP315E</v>
          </cell>
          <cell r="D117">
            <v>1</v>
          </cell>
          <cell r="E117" t="str">
            <v>AB PP WC ABM-CHAMPION NX110 +L</v>
          </cell>
        </row>
        <row r="118">
          <cell r="B118" t="str">
            <v>CHNX120L-MF-P</v>
          </cell>
          <cell r="C118" t="str">
            <v>WCHG27GL-CP315E</v>
          </cell>
          <cell r="D118">
            <v>1</v>
          </cell>
          <cell r="E118" t="str">
            <v>AB PP WC ABM-CHAMPION NX120 +R</v>
          </cell>
        </row>
        <row r="119">
          <cell r="B119" t="str">
            <v>CHNX120-MF-P</v>
          </cell>
          <cell r="C119" t="str">
            <v>WCHG27GR-CP315E</v>
          </cell>
          <cell r="D119">
            <v>1</v>
          </cell>
          <cell r="E119" t="str">
            <v>AB PP WC ABM-CHAMPION NX120 +L</v>
          </cell>
        </row>
        <row r="120">
          <cell r="B120" t="str">
            <v>CLG49-MF-P</v>
          </cell>
          <cell r="C120" t="str">
            <v>WCLG49AL-CP115E</v>
          </cell>
          <cell r="D120">
            <v>1</v>
          </cell>
          <cell r="E120" t="str">
            <v>AB PP WC ABM-CHALLENGER  DIN100/G49 +R</v>
          </cell>
        </row>
        <row r="121">
          <cell r="B121" t="str">
            <v>CLMFN55-P</v>
          </cell>
          <cell r="C121" t="str">
            <v>WCLN55EL-CP115E</v>
          </cell>
          <cell r="D121">
            <v>1</v>
          </cell>
          <cell r="E121" t="str">
            <v>AB PP WC ABM-CHALLENGER DIN55 +R</v>
          </cell>
        </row>
        <row r="122">
          <cell r="B122" t="str">
            <v>CLMFN55R-P</v>
          </cell>
          <cell r="C122" t="str">
            <v>WCLN55ER-CP115E</v>
          </cell>
          <cell r="D122">
            <v>1</v>
          </cell>
          <cell r="E122" t="str">
            <v>AB PP WC ABM-CHALLENGER DIN55 +L</v>
          </cell>
        </row>
        <row r="123">
          <cell r="B123" t="str">
            <v>CLMFN66-P</v>
          </cell>
          <cell r="C123" t="str">
            <v>WCLN66DL-CP115E</v>
          </cell>
          <cell r="D123">
            <v>1</v>
          </cell>
          <cell r="E123" t="str">
            <v>AB PP WC ABM-CHALLENGER DIN66 +R</v>
          </cell>
        </row>
        <row r="124">
          <cell r="B124" t="str">
            <v>CLMFN66R-P</v>
          </cell>
          <cell r="C124" t="str">
            <v>WCLN66DR-CP115E</v>
          </cell>
          <cell r="D124">
            <v>1</v>
          </cell>
          <cell r="E124" t="str">
            <v>AB PP WC ABM-CHALLENGER DIN66 +L</v>
          </cell>
        </row>
        <row r="125">
          <cell r="B125" t="str">
            <v>CLMFN88-P</v>
          </cell>
          <cell r="C125" t="str">
            <v>WCLN88BL-CP115E</v>
          </cell>
          <cell r="D125">
            <v>1</v>
          </cell>
          <cell r="E125" t="str">
            <v>AB PP WC ABM-CHALLENGER DIN88 +R</v>
          </cell>
        </row>
        <row r="126">
          <cell r="B126" t="str">
            <v>CLN50ZL-MF-P</v>
          </cell>
          <cell r="C126" t="str">
            <v>WCLG24CL-CP315E</v>
          </cell>
          <cell r="D126">
            <v>1</v>
          </cell>
          <cell r="E126" t="str">
            <v>AB PP WC ABM-CHALLENGER N50Z +R</v>
          </cell>
        </row>
        <row r="127">
          <cell r="B127" t="str">
            <v>CLN50Z-MF-P</v>
          </cell>
          <cell r="C127" t="str">
            <v>WCLG24CR-CP315E</v>
          </cell>
          <cell r="D127">
            <v>1</v>
          </cell>
          <cell r="E127" t="str">
            <v>AB PP WC ABM-CHALLENGER N50Z +L</v>
          </cell>
        </row>
        <row r="128">
          <cell r="B128" t="str">
            <v>CLN70L-MF-P</v>
          </cell>
          <cell r="C128" t="str">
            <v>WCLG27CL-CP315E</v>
          </cell>
          <cell r="D128">
            <v>1</v>
          </cell>
          <cell r="E128" t="str">
            <v>AB PP WC ABM-CHALLENGER N70 +R</v>
          </cell>
        </row>
        <row r="129">
          <cell r="B129" t="str">
            <v>CLN70-MF-P</v>
          </cell>
          <cell r="C129" t="str">
            <v>WCLG27CR-CP315E</v>
          </cell>
          <cell r="D129">
            <v>1</v>
          </cell>
          <cell r="E129" t="str">
            <v>AB PP WC ABM-CHALLENGER N70 +L</v>
          </cell>
        </row>
        <row r="130">
          <cell r="B130" t="str">
            <v>CLN70ZL-MF-P</v>
          </cell>
          <cell r="C130" t="str">
            <v>WCLG27EL-CP315E</v>
          </cell>
          <cell r="D130">
            <v>1</v>
          </cell>
          <cell r="E130" t="str">
            <v>AB PP WC ABM-CHALLENGER N70Z +R</v>
          </cell>
        </row>
        <row r="131">
          <cell r="B131" t="str">
            <v>CLN70Z-MF-P</v>
          </cell>
          <cell r="C131" t="str">
            <v>WCLG27ER-CP315E</v>
          </cell>
          <cell r="D131">
            <v>1</v>
          </cell>
          <cell r="E131" t="str">
            <v>AB PP WC ABM-CHALLENGER N70Z +L</v>
          </cell>
        </row>
        <row r="132">
          <cell r="B132" t="str">
            <v>CLNS40L-MF-P</v>
          </cell>
          <cell r="C132" t="str">
            <v>WCLB20BB-CP115E</v>
          </cell>
          <cell r="D132">
            <v>1</v>
          </cell>
          <cell r="E132" t="str">
            <v>AB PP WC ABM-CHALLENGER NS40 +R</v>
          </cell>
        </row>
        <row r="133">
          <cell r="B133" t="str">
            <v>CLNS40-MF-P</v>
          </cell>
          <cell r="C133" t="str">
            <v>WCLB20AB-CP115E</v>
          </cell>
          <cell r="D133">
            <v>1</v>
          </cell>
          <cell r="E133" t="str">
            <v>AB PP WC ABM-CHALLENGER NS40 +L</v>
          </cell>
        </row>
        <row r="134">
          <cell r="B134" t="str">
            <v>CLNS40ZL-MF-P</v>
          </cell>
          <cell r="C134" t="str">
            <v>WCLB20CB-CP115E</v>
          </cell>
          <cell r="D134">
            <v>1</v>
          </cell>
          <cell r="E134" t="str">
            <v>AB PP WC ABM-CHALLENGER NS40Z +R</v>
          </cell>
        </row>
        <row r="135">
          <cell r="B135" t="str">
            <v>CLNS40Z-MF-P</v>
          </cell>
          <cell r="C135" t="str">
            <v>WCLB20CA-CP115E</v>
          </cell>
          <cell r="D135">
            <v>1</v>
          </cell>
          <cell r="E135" t="str">
            <v>AB PP WC ABM CHALLENGER NS40Z +L</v>
          </cell>
        </row>
        <row r="136">
          <cell r="B136" t="str">
            <v>CLNS50L-MF-P</v>
          </cell>
          <cell r="C136" t="str">
            <v>WCLD23BL-CP315E</v>
          </cell>
          <cell r="D136">
            <v>1</v>
          </cell>
          <cell r="E136" t="str">
            <v>AB PP WC ABM-CHALLENGER NS50 +R</v>
          </cell>
        </row>
        <row r="137">
          <cell r="B137" t="str">
            <v>CLNS50-MF-P</v>
          </cell>
          <cell r="C137" t="str">
            <v>WCLD23BR-CP315E</v>
          </cell>
          <cell r="D137">
            <v>1</v>
          </cell>
          <cell r="E137" t="str">
            <v>AB PP WC ABM-CHALLENGER NS50 +L</v>
          </cell>
        </row>
        <row r="138">
          <cell r="B138" t="str">
            <v>CLNS50ZL-MF-P</v>
          </cell>
          <cell r="C138" t="str">
            <v>WCLD23CL-CP315E</v>
          </cell>
          <cell r="D138">
            <v>1</v>
          </cell>
          <cell r="E138" t="str">
            <v>AB PP WC ABM-CHALLENGER NS50Z +R</v>
          </cell>
        </row>
        <row r="139">
          <cell r="B139" t="str">
            <v>CLNS50Z-MF-P</v>
          </cell>
          <cell r="C139" t="str">
            <v>WCLD23CR-CP315E</v>
          </cell>
          <cell r="D139">
            <v>1</v>
          </cell>
          <cell r="E139" t="str">
            <v>AB PP WC ABM-CHALLENGER NS50Z +L</v>
          </cell>
        </row>
        <row r="140">
          <cell r="B140" t="str">
            <v>CLNS60L-MF-P</v>
          </cell>
          <cell r="C140" t="str">
            <v>WCLB24BB-CP315E</v>
          </cell>
          <cell r="D140">
            <v>1</v>
          </cell>
          <cell r="E140" t="str">
            <v>AB PP WC ABM-CHALLENGER NS60L +R</v>
          </cell>
        </row>
        <row r="141">
          <cell r="B141" t="str">
            <v>CLNS60LS-MF-P</v>
          </cell>
          <cell r="C141" t="str">
            <v>WCLB24BL-CP315E</v>
          </cell>
          <cell r="D141">
            <v>1</v>
          </cell>
          <cell r="E141" t="str">
            <v>AB PP WC ABM-CHALLENGER NS60LS +R</v>
          </cell>
        </row>
        <row r="142">
          <cell r="B142" t="str">
            <v>CLNS60-MF-P</v>
          </cell>
          <cell r="C142" t="str">
            <v>WCLB24BA-CP315E</v>
          </cell>
          <cell r="D142">
            <v>1</v>
          </cell>
          <cell r="E142" t="str">
            <v>AB PP WC ABM-CHALLENGER NS60 +L</v>
          </cell>
        </row>
        <row r="143">
          <cell r="B143" t="str">
            <v>CLNS60S-MF-P</v>
          </cell>
          <cell r="C143" t="str">
            <v>WCLB24BR-CP315E</v>
          </cell>
          <cell r="D143">
            <v>1</v>
          </cell>
          <cell r="E143" t="str">
            <v>AB PP WC ABM-CHALLENGER NS60S +L</v>
          </cell>
        </row>
        <row r="144">
          <cell r="B144" t="str">
            <v>CLNS60ZL-MF-P</v>
          </cell>
          <cell r="C144" t="str">
            <v>WCLB24DB-CP315E</v>
          </cell>
          <cell r="D144">
            <v>1</v>
          </cell>
          <cell r="E144" t="str">
            <v>AB PP WC ABM-CHALLENGER NS60Z +R</v>
          </cell>
        </row>
        <row r="145">
          <cell r="B145" t="str">
            <v>CLNS60ZLS-MF-P</v>
          </cell>
          <cell r="C145" t="str">
            <v>WCLB24DL-CP315E</v>
          </cell>
          <cell r="D145">
            <v>1</v>
          </cell>
          <cell r="E145" t="str">
            <v>AB PP WC ABM-CHALLENGER NS60ZS +R</v>
          </cell>
        </row>
        <row r="146">
          <cell r="B146" t="str">
            <v>CLNS60Z-MF-P</v>
          </cell>
          <cell r="C146" t="str">
            <v>WCLB24DA-CP315E</v>
          </cell>
          <cell r="D146">
            <v>1</v>
          </cell>
          <cell r="E146" t="str">
            <v>AB PP WC ABM-CHALLENGER NS60Z +L</v>
          </cell>
        </row>
        <row r="147">
          <cell r="B147" t="str">
            <v>CLNS60ZS-MF-P</v>
          </cell>
          <cell r="C147" t="str">
            <v>WCLB24DR-CP315E</v>
          </cell>
          <cell r="D147">
            <v>1</v>
          </cell>
          <cell r="E147" t="str">
            <v>AB PP WC ABM-CHALLENGER NS60ZS +L</v>
          </cell>
        </row>
        <row r="148">
          <cell r="B148" t="str">
            <v>CLNS70L-MF-P</v>
          </cell>
          <cell r="C148" t="str">
            <v>WCLG24DL-CP315E</v>
          </cell>
          <cell r="D148">
            <v>1</v>
          </cell>
          <cell r="E148" t="str">
            <v>AB PP WC ABM-CHALLENGER NS70 +R</v>
          </cell>
        </row>
        <row r="149">
          <cell r="B149" t="str">
            <v>CLNS70-MF-P</v>
          </cell>
          <cell r="C149" t="str">
            <v>WCLG24DR-CP315E</v>
          </cell>
          <cell r="D149">
            <v>1</v>
          </cell>
          <cell r="E149" t="str">
            <v>AB PP WC ABM-CHALLENGER NS70 +L</v>
          </cell>
        </row>
        <row r="150">
          <cell r="B150" t="str">
            <v>CLNX110L-MF-P</v>
          </cell>
          <cell r="C150" t="str">
            <v>WCLG24EL-CP315E</v>
          </cell>
          <cell r="D150">
            <v>1</v>
          </cell>
          <cell r="E150" t="str">
            <v>AB PP WC ABM-CHALLENGER NX110 +R</v>
          </cell>
        </row>
        <row r="151">
          <cell r="B151" t="str">
            <v>CLNX110-MF-P</v>
          </cell>
          <cell r="C151" t="str">
            <v>WCLG24ER-CP315E</v>
          </cell>
          <cell r="D151">
            <v>1</v>
          </cell>
          <cell r="E151" t="str">
            <v>AB PP WC ABM-CHALLENGER NX110 +L</v>
          </cell>
        </row>
        <row r="152">
          <cell r="B152" t="str">
            <v>CLNX120L-MF-P</v>
          </cell>
          <cell r="C152" t="str">
            <v>WCLG27GL-CP315E</v>
          </cell>
          <cell r="D152">
            <v>1</v>
          </cell>
          <cell r="E152" t="str">
            <v>AB PP WC ABM-CHALLENGER NX120L +R</v>
          </cell>
        </row>
        <row r="153">
          <cell r="B153" t="str">
            <v>CLNX120-MF-P</v>
          </cell>
          <cell r="C153" t="str">
            <v>WCLG27GR-CP315E</v>
          </cell>
          <cell r="D153">
            <v>1</v>
          </cell>
          <cell r="E153" t="str">
            <v>AB PP WC ABM-CHALLENGER NX120 +L</v>
          </cell>
        </row>
        <row r="154">
          <cell r="B154" t="str">
            <v>DFC24ALD-P</v>
          </cell>
          <cell r="C154" t="str">
            <v>EDFC24BL-SPN00L</v>
          </cell>
          <cell r="D154">
            <v>1</v>
          </cell>
          <cell r="E154" t="str">
            <v>AB PP DC DYNAFORCE 1SNF/C24AL +R</v>
          </cell>
        </row>
        <row r="155">
          <cell r="B155" t="str">
            <v>DFD22ALD-P</v>
          </cell>
          <cell r="C155" t="str">
            <v>EDFD23AL-SPN00L</v>
          </cell>
          <cell r="D155">
            <v>1</v>
          </cell>
          <cell r="E155" t="str">
            <v>AB PP DC DYNAFORCE 1SMF/D22AL +R</v>
          </cell>
        </row>
        <row r="156">
          <cell r="B156" t="str">
            <v>DFD26ALD-P</v>
          </cell>
          <cell r="C156" t="str">
            <v>EDFD26AL-SPN00L</v>
          </cell>
          <cell r="D156">
            <v>1</v>
          </cell>
          <cell r="E156" t="str">
            <v>AB PP DC DYNAFORCE 2SMF/D26AL +R</v>
          </cell>
        </row>
        <row r="157">
          <cell r="B157" t="str">
            <v>DFD31ALD-P</v>
          </cell>
          <cell r="C157" t="str">
            <v>EDFD31AL-SPN00L</v>
          </cell>
          <cell r="D157">
            <v>1</v>
          </cell>
          <cell r="E157" t="str">
            <v>AB PP DC DYNAFORCE 3SMF/D31AL +R</v>
          </cell>
        </row>
        <row r="158">
          <cell r="B158" t="str">
            <v>DFE41ALD-P</v>
          </cell>
          <cell r="C158" t="str">
            <v>EDFE41AL-SPN00L</v>
          </cell>
          <cell r="D158">
            <v>1</v>
          </cell>
          <cell r="E158" t="str">
            <v>AB PP DC DYNAFORCE-OMMC N100 +R AUTO</v>
          </cell>
        </row>
        <row r="159">
          <cell r="B159" t="str">
            <v>DFF51ALD-P</v>
          </cell>
          <cell r="C159" t="str">
            <v>EDFF51BL-SPN00L</v>
          </cell>
          <cell r="D159">
            <v>1</v>
          </cell>
          <cell r="E159" t="str">
            <v>AB PP DC DYNAFORCE 2D/F51AL +R</v>
          </cell>
        </row>
        <row r="160">
          <cell r="B160" t="str">
            <v>DFG51ALD-P</v>
          </cell>
          <cell r="C160" t="str">
            <v>EDFG51AL-SPN00L</v>
          </cell>
          <cell r="D160">
            <v>1</v>
          </cell>
          <cell r="E160" t="str">
            <v>AB PP DC DYNAFORCE G51 +R</v>
          </cell>
        </row>
        <row r="161">
          <cell r="B161" t="str">
            <v>DFH52ALD-P</v>
          </cell>
          <cell r="C161" t="str">
            <v>EDFH52BL-SPN00L</v>
          </cell>
          <cell r="D161">
            <v>1</v>
          </cell>
          <cell r="E161" t="str">
            <v>AB PP DC DYNAFORCE 8D/H52AL (N200)</v>
          </cell>
        </row>
        <row r="162">
          <cell r="B162" t="str">
            <v>DPB20ALS-P</v>
          </cell>
          <cell r="C162" t="str">
            <v>WDPB20DL-CPN00L</v>
          </cell>
          <cell r="D162">
            <v>1</v>
          </cell>
          <cell r="E162" t="str">
            <v>AB PP WC MER-DPOWER B20L/NS40L +R</v>
          </cell>
        </row>
        <row r="163">
          <cell r="B163" t="str">
            <v>DPC24ALD-P</v>
          </cell>
          <cell r="C163" t="str">
            <v>EDPC24BL-SPN00L</v>
          </cell>
          <cell r="D163">
            <v>1</v>
          </cell>
          <cell r="E163" t="str">
            <v>AB PP DC DYNAPOWER 1SNF/C24AL +R</v>
          </cell>
        </row>
        <row r="164">
          <cell r="B164" t="str">
            <v>DPC24BL-P</v>
          </cell>
          <cell r="C164" t="str">
            <v>WDPC24BL-CPN00L</v>
          </cell>
          <cell r="D164">
            <v>1</v>
          </cell>
          <cell r="E164" t="str">
            <v>AB PP WC DYNAPOWER 1SNF/C24BL +R</v>
          </cell>
        </row>
        <row r="165">
          <cell r="B165" t="str">
            <v>DPD22BLD-P</v>
          </cell>
          <cell r="C165" t="str">
            <v>EDPD23AL-SPN00L</v>
          </cell>
          <cell r="D165">
            <v>1</v>
          </cell>
          <cell r="E165" t="str">
            <v>AB PP DC DYNAPOWER 1SMF/D22BL +R</v>
          </cell>
        </row>
        <row r="166">
          <cell r="B166" t="str">
            <v>DPD23BL-P</v>
          </cell>
          <cell r="C166" t="str">
            <v>WDPD23BL-CPN00L</v>
          </cell>
          <cell r="D166">
            <v>1</v>
          </cell>
          <cell r="E166" t="str">
            <v>AB PP WC DYNAPOWER MF D23 +R AUTO</v>
          </cell>
        </row>
        <row r="167">
          <cell r="B167" t="str">
            <v>DPD26BLD-P</v>
          </cell>
          <cell r="C167" t="str">
            <v>EDPD26AL-SPN00L</v>
          </cell>
          <cell r="D167">
            <v>1</v>
          </cell>
          <cell r="E167" t="str">
            <v>AB PP DC DYNAPOWER 2SMF/D26BL +R</v>
          </cell>
        </row>
        <row r="168">
          <cell r="B168" t="str">
            <v>DPD26BL-P</v>
          </cell>
          <cell r="C168" t="str">
            <v>WDPD26BL-CPN00L</v>
          </cell>
          <cell r="D168">
            <v>1</v>
          </cell>
          <cell r="E168" t="str">
            <v>AB PP WC DYNAPOWER 2SMF/D26BL +R</v>
          </cell>
        </row>
        <row r="169">
          <cell r="B169" t="str">
            <v>DPD31ALD-P</v>
          </cell>
          <cell r="C169" t="str">
            <v>EDPD31BL-SPN00L</v>
          </cell>
          <cell r="D169">
            <v>1</v>
          </cell>
          <cell r="E169" t="str">
            <v>AB PP DC DYNAPOWER 3SM/N70L +R</v>
          </cell>
        </row>
        <row r="170">
          <cell r="B170" t="str">
            <v>DPD31AL-P</v>
          </cell>
          <cell r="C170" t="str">
            <v>WDPD31BL-CPN00L</v>
          </cell>
          <cell r="D170">
            <v>1</v>
          </cell>
          <cell r="E170" t="str">
            <v>AB PP WC DYNAPOWER MF D31 +R AUTO</v>
          </cell>
        </row>
        <row r="171">
          <cell r="B171" t="str">
            <v>DPE41BLD-P</v>
          </cell>
          <cell r="C171" t="str">
            <v>EDPE41AL-SPN00L</v>
          </cell>
          <cell r="D171">
            <v>1</v>
          </cell>
          <cell r="E171" t="str">
            <v>AB PP DC DYNAPOWER 6SMF/E41BL +R</v>
          </cell>
        </row>
        <row r="172">
          <cell r="B172" t="str">
            <v>DPF51BLD-P</v>
          </cell>
          <cell r="C172" t="str">
            <v>EDPF51CL-SPN00L</v>
          </cell>
          <cell r="D172">
            <v>1</v>
          </cell>
          <cell r="E172" t="str">
            <v>AB PP DC DYNAPOWER 2D/F51BL +R</v>
          </cell>
        </row>
        <row r="173">
          <cell r="B173" t="str">
            <v>DPG49-MF-P</v>
          </cell>
          <cell r="C173" t="str">
            <v>WDPG49AL-TS118E</v>
          </cell>
          <cell r="D173">
            <v>1</v>
          </cell>
          <cell r="E173" t="str">
            <v>AB PP WC KAISHEN-DPOWER  DIN100/G49 +R</v>
          </cell>
        </row>
        <row r="174">
          <cell r="B174" t="str">
            <v>DPG51BLD-P</v>
          </cell>
          <cell r="C174" t="str">
            <v>EDPG51DL-SPN00L</v>
          </cell>
          <cell r="D174">
            <v>1</v>
          </cell>
          <cell r="E174" t="str">
            <v>AB PP DC DYNAPOWER 4D/G51BL +R</v>
          </cell>
        </row>
        <row r="175">
          <cell r="B175" t="str">
            <v>DPMFN55-P</v>
          </cell>
          <cell r="C175" t="str">
            <v>WDPN55EL-TS118E</v>
          </cell>
          <cell r="D175">
            <v>1</v>
          </cell>
          <cell r="E175" t="str">
            <v>AB PP WC DP-KAISHEN DIN55 MF +R</v>
          </cell>
        </row>
        <row r="176">
          <cell r="B176" t="str">
            <v>DPMFN55R-P</v>
          </cell>
          <cell r="C176" t="str">
            <v>WDPN55ER-TS118E</v>
          </cell>
          <cell r="D176">
            <v>1</v>
          </cell>
          <cell r="E176" t="str">
            <v>AB PP WC DP-KAISHEN DIN55-MF +L</v>
          </cell>
        </row>
        <row r="177">
          <cell r="B177" t="str">
            <v>DPMFN66-P</v>
          </cell>
          <cell r="C177" t="str">
            <v>WDPN66DL-TS118E</v>
          </cell>
          <cell r="D177">
            <v>1</v>
          </cell>
          <cell r="E177" t="str">
            <v>AB PP WC DP-KAISHEN DIN66 MF +R</v>
          </cell>
        </row>
        <row r="178">
          <cell r="B178" t="str">
            <v>DPMFN66R-P</v>
          </cell>
          <cell r="C178" t="str">
            <v>WDPN66DR-TS118E</v>
          </cell>
          <cell r="D178">
            <v>1</v>
          </cell>
          <cell r="E178" t="str">
            <v>AB PP WC DP-KAISHEN DIN66-MF +L</v>
          </cell>
        </row>
        <row r="179">
          <cell r="B179" t="str">
            <v>DPMFN88-P</v>
          </cell>
          <cell r="C179" t="str">
            <v>WDPN88BL-TS118E</v>
          </cell>
          <cell r="D179">
            <v>1</v>
          </cell>
          <cell r="E179" t="str">
            <v>AB PP WC DP-KAISHEN DIN88 MF +R</v>
          </cell>
        </row>
        <row r="180">
          <cell r="B180" t="str">
            <v>DPMFN88R-P</v>
          </cell>
          <cell r="C180" t="str">
            <v>WDPN88BR-TS118E</v>
          </cell>
          <cell r="D180">
            <v>1</v>
          </cell>
          <cell r="E180" t="str">
            <v>AB PP WC DP-KAISHEN DIN88-MF +L</v>
          </cell>
        </row>
        <row r="181">
          <cell r="B181" t="str">
            <v>DPNS40ZL-MF-P</v>
          </cell>
          <cell r="C181" t="str">
            <v>WDPB20CC-TS118E</v>
          </cell>
          <cell r="D181">
            <v>1</v>
          </cell>
          <cell r="E181" t="str">
            <v>AB PP WC DP-KAISHEN NS40ZL-MF +R SML</v>
          </cell>
        </row>
        <row r="182">
          <cell r="B182" t="str">
            <v>DPNS60LS-MF-P</v>
          </cell>
          <cell r="C182" t="str">
            <v>WDPB24BL-CP318E</v>
          </cell>
          <cell r="D182">
            <v>1</v>
          </cell>
          <cell r="E182" t="str">
            <v>AB PP WC DP-KAISHEN NS60LS-MF +L STD</v>
          </cell>
        </row>
        <row r="183">
          <cell r="B183" t="str">
            <v>DPNS60S-MF-P</v>
          </cell>
          <cell r="C183" t="str">
            <v>WDPB24BR-CP318E</v>
          </cell>
          <cell r="D183">
            <v>1</v>
          </cell>
          <cell r="E183" t="str">
            <v>AB PP WC DP-KAISHEN NS60S-MF +L STD</v>
          </cell>
        </row>
        <row r="184">
          <cell r="B184" t="str">
            <v>DPNS70L-MF-P</v>
          </cell>
          <cell r="C184" t="str">
            <v>WDPG24DL-CP318E</v>
          </cell>
          <cell r="D184">
            <v>1</v>
          </cell>
          <cell r="E184" t="str">
            <v>AB PP WC DP-KAISHEN NS70L-MF +R STD</v>
          </cell>
        </row>
        <row r="185">
          <cell r="B185" t="str">
            <v>DPNS70-MF-P</v>
          </cell>
          <cell r="C185" t="str">
            <v>WDPG24DR-CP318E</v>
          </cell>
          <cell r="D185">
            <v>1</v>
          </cell>
          <cell r="E185" t="str">
            <v>AB PP WC DP-KAISHEN NS70-MF +L STD</v>
          </cell>
        </row>
        <row r="186">
          <cell r="B186" t="str">
            <v>DSC24CLD-P</v>
          </cell>
          <cell r="C186" t="str">
            <v>EDSC24EL-SPN00L</v>
          </cell>
          <cell r="D186">
            <v>1</v>
          </cell>
          <cell r="E186" t="str">
            <v>AB PP DC DYNAPOWER SP C24 +R AUTO</v>
          </cell>
        </row>
        <row r="187">
          <cell r="B187" t="str">
            <v>DSD22BLD-P</v>
          </cell>
          <cell r="C187" t="str">
            <v>EDSD23DL-SPN00L</v>
          </cell>
          <cell r="D187">
            <v>1</v>
          </cell>
          <cell r="E187" t="str">
            <v>AB PP DC DYNAPOWER SP D22 +R AUTO</v>
          </cell>
        </row>
        <row r="188">
          <cell r="B188" t="str">
            <v>DSD26BLD-P</v>
          </cell>
          <cell r="C188" t="str">
            <v>EDSD26DL-SPN00L</v>
          </cell>
          <cell r="D188">
            <v>1</v>
          </cell>
          <cell r="E188" t="str">
            <v>AB PP DC DYNAPOWER SP D26 +R AUTO</v>
          </cell>
        </row>
        <row r="189">
          <cell r="B189" t="str">
            <v>DSD31BLD-P</v>
          </cell>
          <cell r="C189" t="str">
            <v>EDSD31DL-SPN00L</v>
          </cell>
          <cell r="D189">
            <v>1</v>
          </cell>
          <cell r="E189" t="str">
            <v>AB PP DC DYNAPOWER SP D31 +R AUTO</v>
          </cell>
        </row>
        <row r="190">
          <cell r="B190" t="str">
            <v>DSE41BLD-P</v>
          </cell>
          <cell r="C190" t="str">
            <v>EDSE41DL-SPN00L</v>
          </cell>
          <cell r="D190">
            <v>1</v>
          </cell>
          <cell r="E190" t="str">
            <v>AB PP DC DYNAPOWER SP E41 +R AUTO</v>
          </cell>
        </row>
        <row r="191">
          <cell r="B191" t="str">
            <v>DSF51BLD-P</v>
          </cell>
          <cell r="C191" t="str">
            <v>EDSF51CL-SPN00L</v>
          </cell>
          <cell r="D191">
            <v>1</v>
          </cell>
          <cell r="E191" t="str">
            <v>AB PP DC DYNAPOWER SP F51 +R AUTO</v>
          </cell>
        </row>
        <row r="192">
          <cell r="B192" t="str">
            <v>DSG51BLD-P</v>
          </cell>
          <cell r="C192" t="str">
            <v>EDSG51DL-SPN00L</v>
          </cell>
          <cell r="D192">
            <v>1</v>
          </cell>
          <cell r="E192" t="str">
            <v>AB PP DC DYNAPOWER SP G51 +R AUTO</v>
          </cell>
        </row>
        <row r="193">
          <cell r="B193" t="str">
            <v>DXB20ALS-P</v>
          </cell>
          <cell r="C193" t="str">
            <v>WDXB20DL-CPN00L</v>
          </cell>
          <cell r="D193">
            <v>1</v>
          </cell>
          <cell r="E193" t="str">
            <v>AB PP WC DYNAPOWER XTP NS40L/B20L +R</v>
          </cell>
        </row>
        <row r="194">
          <cell r="B194" t="str">
            <v>DXB24ARS-P</v>
          </cell>
          <cell r="C194" t="str">
            <v>WDXB24DR-CPN00L</v>
          </cell>
          <cell r="D194">
            <v>1</v>
          </cell>
          <cell r="E194" t="str">
            <v>AB PP WC DYNAPOWER XTP 1SNF/B24R +L</v>
          </cell>
        </row>
        <row r="195">
          <cell r="B195" t="str">
            <v>DXC24BL-P</v>
          </cell>
          <cell r="C195" t="str">
            <v>WDXC24DL-CPN00L</v>
          </cell>
          <cell r="D195">
            <v>1</v>
          </cell>
          <cell r="E195" t="str">
            <v>AB PP WC DYNAPOWER XTP 1SNF/C24BL +R</v>
          </cell>
        </row>
        <row r="196">
          <cell r="B196" t="str">
            <v>DXD23BL-P</v>
          </cell>
          <cell r="C196" t="str">
            <v>WDXD23DL-CPN00L</v>
          </cell>
          <cell r="D196">
            <v>1</v>
          </cell>
          <cell r="E196" t="str">
            <v>AB PP WC DYNAPOWER XTP 1SMF/D23BL +R</v>
          </cell>
        </row>
        <row r="197">
          <cell r="B197" t="str">
            <v>DXD23BR-MF-P</v>
          </cell>
          <cell r="C197" t="str">
            <v>WDXD23DR-CPN00L</v>
          </cell>
          <cell r="D197">
            <v>1</v>
          </cell>
          <cell r="E197" t="str">
            <v>AB PP WC DYNAPOWER XTP 1SMF/D23BR MF +L</v>
          </cell>
        </row>
        <row r="198">
          <cell r="B198" t="str">
            <v>DXD26BL-P</v>
          </cell>
          <cell r="C198" t="str">
            <v>WDXD26DL-CPN00L</v>
          </cell>
          <cell r="D198">
            <v>1</v>
          </cell>
          <cell r="E198" t="str">
            <v>AB PP WC DYNAPOWER XTP 2SMF/D26BL +R</v>
          </cell>
        </row>
        <row r="199">
          <cell r="B199" t="str">
            <v>DXD26BR-MF-P</v>
          </cell>
          <cell r="C199" t="str">
            <v>WDXD26DR-CPN00L</v>
          </cell>
          <cell r="D199">
            <v>1</v>
          </cell>
          <cell r="E199" t="str">
            <v>AB PP WC DYNAPOWER XTP 2SMF/D26BR MF +L</v>
          </cell>
        </row>
        <row r="200">
          <cell r="B200" t="str">
            <v>DXD31BL-P</v>
          </cell>
          <cell r="C200" t="str">
            <v>WDXD31DL-CPN00L</v>
          </cell>
          <cell r="D200">
            <v>1</v>
          </cell>
          <cell r="E200" t="str">
            <v>AB PP WC DYNAPOWER XTP 3SMF/D31BL +R</v>
          </cell>
        </row>
        <row r="201">
          <cell r="B201" t="str">
            <v>DXD31CR-MF-P</v>
          </cell>
          <cell r="C201" t="str">
            <v>WDXD31DR-CPN00L</v>
          </cell>
          <cell r="D201">
            <v>1</v>
          </cell>
          <cell r="E201" t="str">
            <v>AB PP WC DYNAPOWER XTP 3SMF/D31CR MF +L</v>
          </cell>
        </row>
        <row r="202">
          <cell r="B202" t="str">
            <v>EAERON120P</v>
          </cell>
          <cell r="C202" t="str">
            <v>EUBF517L-SPN19E</v>
          </cell>
          <cell r="D202">
            <v>1</v>
          </cell>
          <cell r="E202" t="str">
            <v>EX PCKD DC UNBRANDED (AERO) N120P</v>
          </cell>
        </row>
        <row r="203">
          <cell r="B203" t="str">
            <v>EAERON150P</v>
          </cell>
          <cell r="C203" t="str">
            <v>EUBG518L-SPN19E</v>
          </cell>
          <cell r="D203">
            <v>1</v>
          </cell>
          <cell r="E203" t="str">
            <v>EX PCKD DC UNBRANDED (AERO) N150P</v>
          </cell>
        </row>
        <row r="204">
          <cell r="B204" t="str">
            <v>EAERON200P</v>
          </cell>
          <cell r="C204" t="str">
            <v>EUBH52YL-SPN19E</v>
          </cell>
          <cell r="D204">
            <v>1</v>
          </cell>
          <cell r="E204" t="str">
            <v>EX PCKD DC UNBRANDED (AERO) N200P</v>
          </cell>
        </row>
        <row r="205">
          <cell r="B205" t="str">
            <v>EBB95D31LD-P</v>
          </cell>
          <cell r="C205" t="str">
            <v>EMCD31EL-SPN26E</v>
          </cell>
          <cell r="D205">
            <v>1</v>
          </cell>
          <cell r="E205" t="str">
            <v>EX PCKD DC BHATIA BROS.-UAE N70/D31 +R</v>
          </cell>
        </row>
        <row r="206">
          <cell r="B206" t="str">
            <v>EBB95D31RD-P</v>
          </cell>
          <cell r="C206" t="str">
            <v>EMCD31ER-SPN26E</v>
          </cell>
          <cell r="D206">
            <v>1</v>
          </cell>
          <cell r="E206" t="str">
            <v>EX PCKD DC BHATIA BROS.-UAE N70/D31 +L</v>
          </cell>
        </row>
        <row r="207">
          <cell r="B207" t="str">
            <v>EBBD26ALD-P</v>
          </cell>
          <cell r="C207" t="str">
            <v>EMCD26DL-SPN26E</v>
          </cell>
          <cell r="D207">
            <v>1</v>
          </cell>
          <cell r="E207" t="str">
            <v>EX PCKD DC BHATIA-UAE D26 +R AUTO</v>
          </cell>
        </row>
        <row r="208">
          <cell r="B208" t="str">
            <v>EBBD31ALD-P</v>
          </cell>
          <cell r="C208" t="str">
            <v>EMCD31CL-SPN26E</v>
          </cell>
          <cell r="D208">
            <v>1</v>
          </cell>
          <cell r="E208" t="str">
            <v>EX PCKD DC BHATIA-UAE D31 +R AUTO</v>
          </cell>
        </row>
        <row r="209">
          <cell r="B209" t="str">
            <v>EBBD31ARD-P</v>
          </cell>
          <cell r="C209" t="str">
            <v>EMCD31CR-SPN26E</v>
          </cell>
          <cell r="D209">
            <v>1</v>
          </cell>
          <cell r="E209" t="str">
            <v>EX PCKD DC BHATIA-UAE D31 +L AUTO</v>
          </cell>
        </row>
        <row r="210">
          <cell r="B210" t="str">
            <v>EBBE41BRD-P</v>
          </cell>
          <cell r="C210" t="str">
            <v>EMTE41CR-SPN26E</v>
          </cell>
          <cell r="D210">
            <v>1</v>
          </cell>
          <cell r="E210" t="str">
            <v>EX PCKD DC BHATIA BROS.-UAE N100/E41 +L</v>
          </cell>
        </row>
        <row r="211">
          <cell r="B211" t="str">
            <v>EBBN120D-P</v>
          </cell>
          <cell r="C211" t="str">
            <v>EMTF51CL-SPN26E</v>
          </cell>
          <cell r="D211">
            <v>1</v>
          </cell>
          <cell r="E211" t="str">
            <v>EX PCKD DC BHATIA BROS.-UAE N120 + R</v>
          </cell>
        </row>
        <row r="212">
          <cell r="B212" t="str">
            <v>EBBN150D-P</v>
          </cell>
          <cell r="C212" t="str">
            <v>EMTG51CL-SPN26E</v>
          </cell>
          <cell r="D212">
            <v>1</v>
          </cell>
          <cell r="E212" t="str">
            <v>EX PCKD DC BHATIA BROS.-UAE N150 + R</v>
          </cell>
        </row>
        <row r="213">
          <cell r="B213" t="str">
            <v>EBBN200D-P</v>
          </cell>
          <cell r="C213" t="str">
            <v>EMTH52BL-SPN26E</v>
          </cell>
          <cell r="D213">
            <v>1</v>
          </cell>
          <cell r="E213" t="str">
            <v>EX PCKD DC BHATIA BROS.-UAE N200 +R</v>
          </cell>
        </row>
        <row r="214">
          <cell r="B214" t="str">
            <v>EBJF51DLD-P</v>
          </cell>
          <cell r="C214" t="str">
            <v>EMCF51DL-SPN22E</v>
          </cell>
          <cell r="D214">
            <v>1</v>
          </cell>
          <cell r="E214" t="str">
            <v>EX PCKD DC BANICS-JAPN F51/N120 +R AUTO</v>
          </cell>
        </row>
        <row r="215">
          <cell r="B215" t="str">
            <v>EFC24ALD-P</v>
          </cell>
          <cell r="C215" t="str">
            <v>EEFC24BL-SPN00L</v>
          </cell>
          <cell r="D215">
            <v>1</v>
          </cell>
          <cell r="E215" t="str">
            <v>AB PP DC ENFORCER-LM 1SNF/N40L +R</v>
          </cell>
        </row>
        <row r="216">
          <cell r="B216" t="str">
            <v>EFD22BLD-P</v>
          </cell>
          <cell r="C216" t="str">
            <v>EEFD23BL-SPN00L</v>
          </cell>
          <cell r="D216">
            <v>1</v>
          </cell>
          <cell r="E216" t="str">
            <v>AB PP DC ENFORCER-LM 1SMF/NS50L +R</v>
          </cell>
        </row>
        <row r="217">
          <cell r="B217" t="str">
            <v>EFD26BLD-P</v>
          </cell>
          <cell r="C217" t="str">
            <v>EEFD26BL-SPN00L</v>
          </cell>
          <cell r="D217">
            <v>1</v>
          </cell>
          <cell r="E217" t="str">
            <v>AB PP DC ENFORCER-LM 2SMF/N50L +R</v>
          </cell>
        </row>
        <row r="218">
          <cell r="B218" t="str">
            <v>EFD31ALD-P</v>
          </cell>
          <cell r="C218" t="str">
            <v>EEFD31BL-SPN00L</v>
          </cell>
          <cell r="D218">
            <v>1</v>
          </cell>
          <cell r="E218" t="str">
            <v>AB PP DC ENFORCER-LM 3SMF/N70L +R</v>
          </cell>
        </row>
        <row r="219">
          <cell r="B219" t="str">
            <v>EFE41ALD-P</v>
          </cell>
          <cell r="C219" t="str">
            <v>EEFE41BL-SPN00L</v>
          </cell>
          <cell r="D219">
            <v>1</v>
          </cell>
          <cell r="E219" t="str">
            <v>AB PP DC ENFORCER-LM E41/N100 +R</v>
          </cell>
        </row>
        <row r="220">
          <cell r="B220" t="str">
            <v>EFF51ALD-P</v>
          </cell>
          <cell r="C220" t="str">
            <v>EEFF51BL-SPN00L</v>
          </cell>
          <cell r="D220">
            <v>1</v>
          </cell>
          <cell r="E220" t="str">
            <v>AB PP DC ENFORCER-LM F51/N120 +R</v>
          </cell>
        </row>
        <row r="221">
          <cell r="B221" t="str">
            <v>EFG51BLD-P</v>
          </cell>
          <cell r="C221" t="str">
            <v>EEFG51BL-SPN00L</v>
          </cell>
          <cell r="D221">
            <v>1</v>
          </cell>
          <cell r="E221" t="str">
            <v>AB PP DC ENFORCER-LM G51/N150 +R</v>
          </cell>
        </row>
        <row r="222">
          <cell r="B222" t="str">
            <v>EFH52ALD-P</v>
          </cell>
          <cell r="C222" t="str">
            <v>EEFH52BL-SPN00L</v>
          </cell>
          <cell r="D222">
            <v>1</v>
          </cell>
          <cell r="E222" t="str">
            <v>AB PP DC ENFORCER-LM H53/N200 +R</v>
          </cell>
        </row>
        <row r="223">
          <cell r="B223" t="str">
            <v>ELB20ALD-P</v>
          </cell>
          <cell r="C223" t="str">
            <v>EELB20AL-CPN00L</v>
          </cell>
          <cell r="D223">
            <v>1</v>
          </cell>
          <cell r="E223" t="str">
            <v>AB PP DC ELECTRON B20 +R</v>
          </cell>
        </row>
        <row r="224">
          <cell r="B224" t="str">
            <v>ELB20ALS-P</v>
          </cell>
          <cell r="C224" t="str">
            <v>WELB20DL-CPN00L</v>
          </cell>
          <cell r="D224">
            <v>1</v>
          </cell>
          <cell r="E224" t="str">
            <v>AB PP WC ELECTRON B20 +R</v>
          </cell>
        </row>
        <row r="225">
          <cell r="B225" t="str">
            <v>ELC24ALD-P</v>
          </cell>
          <cell r="C225" t="str">
            <v>EELC24AL-SPN00L</v>
          </cell>
          <cell r="D225">
            <v>1</v>
          </cell>
          <cell r="E225" t="str">
            <v>AB PP DC ELECTRON 1SNF/C24 +R</v>
          </cell>
        </row>
        <row r="226">
          <cell r="B226" t="str">
            <v>ELD22ALD-P</v>
          </cell>
          <cell r="C226" t="str">
            <v>EELD23AL-SPN00L</v>
          </cell>
          <cell r="D226">
            <v>1</v>
          </cell>
          <cell r="E226" t="str">
            <v>AB PP DC ELECTRON 1SMF/D22 +R</v>
          </cell>
        </row>
        <row r="227">
          <cell r="B227" t="str">
            <v>ELD26ALD-P</v>
          </cell>
          <cell r="C227" t="str">
            <v>EELD26AL-SPN00L</v>
          </cell>
          <cell r="D227">
            <v>1</v>
          </cell>
          <cell r="E227" t="str">
            <v>AB PP DC ELECTRON 2SMF/D26 +R</v>
          </cell>
        </row>
        <row r="228">
          <cell r="B228" t="str">
            <v>ELD31ALD-P</v>
          </cell>
          <cell r="C228" t="str">
            <v>EELD31AL-SPN00L</v>
          </cell>
          <cell r="D228">
            <v>1</v>
          </cell>
          <cell r="E228" t="str">
            <v>AB PP DC ELECTRON 3SMF/D31 +R</v>
          </cell>
        </row>
        <row r="229">
          <cell r="B229" t="str">
            <v>ELE41ALD-P</v>
          </cell>
          <cell r="C229" t="str">
            <v>EELE41AL-SPN00L</v>
          </cell>
          <cell r="D229">
            <v>1</v>
          </cell>
          <cell r="E229" t="str">
            <v>AB PP DC ELECTRON 6SMF/E41 +R</v>
          </cell>
        </row>
        <row r="230">
          <cell r="B230" t="str">
            <v>ELF51ALD-P</v>
          </cell>
          <cell r="C230" t="str">
            <v>EELF51AL-SPN00L</v>
          </cell>
          <cell r="D230">
            <v>1</v>
          </cell>
          <cell r="E230" t="str">
            <v>AB PP DC ELECTRON 2D/F51 +R</v>
          </cell>
        </row>
        <row r="231">
          <cell r="B231" t="str">
            <v>ELG51ALD-P</v>
          </cell>
          <cell r="C231" t="str">
            <v>EELG51AL-SPN00L</v>
          </cell>
          <cell r="D231">
            <v>1</v>
          </cell>
          <cell r="E231" t="str">
            <v>AB PP DC ELECTRON G51/N150</v>
          </cell>
        </row>
        <row r="232">
          <cell r="B232" t="str">
            <v>ELH52ALD-P</v>
          </cell>
          <cell r="C232" t="str">
            <v>EELH52AL-SPN00L</v>
          </cell>
          <cell r="D232">
            <v>1</v>
          </cell>
          <cell r="E232" t="str">
            <v>AB PP DC ELECTRON 8D/H52 +R</v>
          </cell>
        </row>
        <row r="233">
          <cell r="B233" t="str">
            <v>EMC95D31LD-P</v>
          </cell>
          <cell r="C233" t="str">
            <v>EMCD316L-SPN28E</v>
          </cell>
          <cell r="D233">
            <v>1</v>
          </cell>
          <cell r="E233" t="str">
            <v>EX PCKD DC AB PP MOTCO 95D31L +R</v>
          </cell>
        </row>
        <row r="234">
          <cell r="B234" t="str">
            <v>EMC95D31RD-P</v>
          </cell>
          <cell r="C234" t="str">
            <v>EMCD316R-SPN28E</v>
          </cell>
          <cell r="D234">
            <v>1</v>
          </cell>
          <cell r="E234" t="str">
            <v>EX PCKD DC AB PP MOTCO 95D31R +L</v>
          </cell>
        </row>
        <row r="235">
          <cell r="B235" t="str">
            <v>ESC65D26LD-P</v>
          </cell>
          <cell r="C235" t="str">
            <v>ESGD26CL-SPN12E</v>
          </cell>
          <cell r="D235">
            <v>1</v>
          </cell>
          <cell r="E235" t="str">
            <v>EX PCKD DC AB PP SUNNY CHINA 65D26L +R</v>
          </cell>
        </row>
        <row r="236">
          <cell r="B236" t="str">
            <v>ESC65D26RD-P</v>
          </cell>
          <cell r="C236" t="str">
            <v>ESGD26CR-SPN12E</v>
          </cell>
          <cell r="D236">
            <v>1</v>
          </cell>
          <cell r="E236" t="str">
            <v>EX PCKD DC AB PP SUNNY CHINA 65D26R +L</v>
          </cell>
        </row>
        <row r="237">
          <cell r="B237" t="str">
            <v>ESC75D26LD-P</v>
          </cell>
          <cell r="C237" t="str">
            <v>ESGD26DL-SPN12E</v>
          </cell>
          <cell r="D237">
            <v>1</v>
          </cell>
          <cell r="E237" t="str">
            <v>EX PCKD DC TRUCK MSTR-IRAQ N150 AUTO + R</v>
          </cell>
        </row>
        <row r="238">
          <cell r="B238" t="str">
            <v>ESC75D26RD-P</v>
          </cell>
          <cell r="C238" t="str">
            <v>ESGD26DR-SPN12E</v>
          </cell>
          <cell r="D238">
            <v>1</v>
          </cell>
          <cell r="E238" t="str">
            <v>EX PCKD DC HK-SCGOLD 75D26R +L</v>
          </cell>
        </row>
        <row r="239">
          <cell r="B239" t="str">
            <v>ESC75D31LD-P</v>
          </cell>
          <cell r="C239" t="str">
            <v>ESGD31DL-SPN12E</v>
          </cell>
          <cell r="D239">
            <v>1</v>
          </cell>
          <cell r="E239" t="str">
            <v>EX PCKD DC HK-SCGOLD 75D31L +R</v>
          </cell>
        </row>
        <row r="240">
          <cell r="B240" t="str">
            <v>ESC75D31RD-P</v>
          </cell>
          <cell r="C240" t="str">
            <v>ESGD31DR-SPN12E</v>
          </cell>
          <cell r="D240">
            <v>1</v>
          </cell>
          <cell r="E240" t="str">
            <v>EX PCKD DC HK-SCGOLD 75D31R +L</v>
          </cell>
        </row>
        <row r="241">
          <cell r="B241" t="str">
            <v>ESC80D26LD-P</v>
          </cell>
          <cell r="C241" t="str">
            <v>ESGD26EL-SPN12E</v>
          </cell>
          <cell r="D241">
            <v>1</v>
          </cell>
          <cell r="E241" t="str">
            <v>EX PCKD DC HK-SCGOLD 80D26L +R</v>
          </cell>
        </row>
        <row r="242">
          <cell r="B242" t="str">
            <v>ESC80D26RD-P</v>
          </cell>
          <cell r="C242" t="str">
            <v>ESGD26ER-SPN12E</v>
          </cell>
          <cell r="D242">
            <v>1</v>
          </cell>
          <cell r="E242" t="str">
            <v>EX PCKD DC HK-SCGOLD 80D26R +L</v>
          </cell>
        </row>
        <row r="243">
          <cell r="B243" t="str">
            <v>ESC95D31LD-P</v>
          </cell>
          <cell r="C243" t="str">
            <v>ESGD31EL-SPN12E</v>
          </cell>
          <cell r="D243">
            <v>1</v>
          </cell>
          <cell r="E243" t="str">
            <v>EX PCKD DC HK-SCGOLD  95D31L +R</v>
          </cell>
        </row>
        <row r="244">
          <cell r="B244" t="str">
            <v>ESC95D31RD-P</v>
          </cell>
          <cell r="C244" t="str">
            <v>ESGD31ER-SPN12E</v>
          </cell>
          <cell r="D244">
            <v>1</v>
          </cell>
          <cell r="E244" t="str">
            <v>EX PCKD DC HK-SCGOLD  95D31R +L</v>
          </cell>
        </row>
        <row r="245">
          <cell r="B245" t="str">
            <v>ESCD50Z-P</v>
          </cell>
          <cell r="C245" t="str">
            <v>EATD26OF-SPN03E</v>
          </cell>
          <cell r="D245">
            <v>1</v>
          </cell>
          <cell r="E245" t="str">
            <v>EX PCKD DC EX- SUPCHA DEEP CYCLE N50 +R</v>
          </cell>
        </row>
        <row r="246">
          <cell r="B246" t="str">
            <v>ESCD70Z-P</v>
          </cell>
          <cell r="C246" t="str">
            <v>EATD31PF-SPN03E</v>
          </cell>
          <cell r="D246">
            <v>1</v>
          </cell>
          <cell r="E246" t="str">
            <v>EX PCKD DC EX- SUPCHA DEEP CYCLE N70 +R</v>
          </cell>
        </row>
        <row r="247">
          <cell r="B247" t="str">
            <v>ESCE41BRD-P</v>
          </cell>
          <cell r="C247" t="str">
            <v>ESCE41CR-SPN12E</v>
          </cell>
          <cell r="D247">
            <v>1</v>
          </cell>
          <cell r="E247" t="str">
            <v>EX PCKD DC HK-SCCLASSIC N100 +L</v>
          </cell>
        </row>
        <row r="248">
          <cell r="B248" t="str">
            <v>ESCN120P</v>
          </cell>
          <cell r="C248" t="str">
            <v>ESCF518L-SPN03E</v>
          </cell>
          <cell r="D248">
            <v>1</v>
          </cell>
          <cell r="E248" t="str">
            <v>EX PCKD DC EX-SUPCHA N120L (21-PPC)</v>
          </cell>
        </row>
        <row r="249">
          <cell r="B249" t="str">
            <v>ESCN150P</v>
          </cell>
          <cell r="C249" t="str">
            <v>ESCG519L-SPN03E</v>
          </cell>
          <cell r="D249">
            <v>1</v>
          </cell>
          <cell r="E249" t="str">
            <v>EX PCKD DC EX-SUPCHA N150 (25-PPC)</v>
          </cell>
        </row>
        <row r="250">
          <cell r="B250" t="str">
            <v>ESCN200P</v>
          </cell>
          <cell r="C250" t="str">
            <v>ESCH52YL-SPN03E</v>
          </cell>
          <cell r="D250">
            <v>1</v>
          </cell>
          <cell r="E250" t="str">
            <v>EX PCKD DC EX-SUPCHA N200 (27 PPC)</v>
          </cell>
        </row>
        <row r="251">
          <cell r="B251" t="str">
            <v>ESCNZD50Z-P</v>
          </cell>
          <cell r="C251" t="str">
            <v>EATD26OF-SPN04E</v>
          </cell>
          <cell r="D251">
            <v>1</v>
          </cell>
          <cell r="E251" t="str">
            <v>EX PCKD DC NZ AMP-TECH D50Z +L AUTO 80AH</v>
          </cell>
        </row>
        <row r="252">
          <cell r="B252" t="str">
            <v>ESCNZD70Z-P</v>
          </cell>
          <cell r="C252" t="str">
            <v>EATD31PF-SPN04E</v>
          </cell>
          <cell r="D252">
            <v>1</v>
          </cell>
          <cell r="E252" t="str">
            <v>EX PCKD DC NZ AMP-TECH D70Z +L AUTO 100A</v>
          </cell>
        </row>
        <row r="253">
          <cell r="B253" t="str">
            <v>ESCNZN120D-P</v>
          </cell>
          <cell r="C253" t="str">
            <v>ESCF518L-SPN04E</v>
          </cell>
          <cell r="D253">
            <v>1</v>
          </cell>
          <cell r="E253" t="str">
            <v>EX PCKD DC NZ SCCLASSIC EHD N120 AUTO +R</v>
          </cell>
        </row>
        <row r="254">
          <cell r="B254" t="str">
            <v>ESCNZN150D-P</v>
          </cell>
          <cell r="C254" t="str">
            <v>ESCG519L-SPN04E</v>
          </cell>
          <cell r="D254">
            <v>1</v>
          </cell>
          <cell r="E254" t="str">
            <v>EX PCKD DC NZ SCCLASSIC EHD N150 AUTO +R</v>
          </cell>
        </row>
        <row r="255">
          <cell r="B255" t="str">
            <v>ESCNZN200D-P</v>
          </cell>
          <cell r="C255" t="str">
            <v>ESCH52YL-SPN04E</v>
          </cell>
          <cell r="D255">
            <v>1</v>
          </cell>
          <cell r="E255" t="str">
            <v>EX PCKD DC NZ SCCLASSIC EHD N200 AUTO +R</v>
          </cell>
        </row>
        <row r="256">
          <cell r="B256" t="str">
            <v>ESCNZN25D-P</v>
          </cell>
          <cell r="C256" t="str">
            <v>ESCGC29L-SPN04E</v>
          </cell>
          <cell r="D256">
            <v>1</v>
          </cell>
          <cell r="E256" t="str">
            <v>EX PCKD DC NZ SCCLASSIC EHD N25 6V AUTO</v>
          </cell>
        </row>
        <row r="257">
          <cell r="B257" t="str">
            <v>ESSN200D-P</v>
          </cell>
          <cell r="C257" t="str">
            <v>EMTH52BL-SPN14E</v>
          </cell>
          <cell r="D257">
            <v>1</v>
          </cell>
          <cell r="E257" t="str">
            <v>EX PCKD DC SINMA SINGAPORE N200</v>
          </cell>
        </row>
        <row r="258">
          <cell r="B258" t="str">
            <v>ESUNN120P</v>
          </cell>
          <cell r="C258" t="str">
            <v>ESCF51CL-SPN12E</v>
          </cell>
          <cell r="D258">
            <v>1</v>
          </cell>
          <cell r="E258" t="str">
            <v>EX PCKD DC CHINA-SUNNY N120/2D</v>
          </cell>
        </row>
        <row r="259">
          <cell r="B259" t="str">
            <v>ESUNN150P</v>
          </cell>
          <cell r="C259" t="str">
            <v>ESCG51BL-SPN12E</v>
          </cell>
          <cell r="D259">
            <v>1</v>
          </cell>
          <cell r="E259" t="str">
            <v>EX PCKD DC CHINA-SUNNY N150/4D</v>
          </cell>
        </row>
        <row r="260">
          <cell r="B260" t="str">
            <v>ESUNN200P</v>
          </cell>
          <cell r="C260" t="str">
            <v>ESCH52FL-SPN12E</v>
          </cell>
          <cell r="D260">
            <v>1</v>
          </cell>
          <cell r="E260" t="str">
            <v>EX PCKD DC CHINA-SUNNY N200/8D</v>
          </cell>
        </row>
        <row r="261">
          <cell r="B261" t="str">
            <v>EUB4DLT-7</v>
          </cell>
          <cell r="C261" t="str">
            <v>UUB4DT7I-SPN01E</v>
          </cell>
          <cell r="D261">
            <v>1</v>
          </cell>
          <cell r="E261" t="str">
            <v>EX PCKD GP RBI 4DLT-7 W ACCS</v>
          </cell>
        </row>
        <row r="262">
          <cell r="B262" t="str">
            <v>EUB4DP-1000</v>
          </cell>
          <cell r="C262" t="str">
            <v>UUB4DPZI-SPN01E</v>
          </cell>
          <cell r="D262">
            <v>1</v>
          </cell>
          <cell r="E262" t="e">
            <v>#N/A</v>
          </cell>
        </row>
        <row r="263">
          <cell r="B263" t="str">
            <v>EUB4DP-800</v>
          </cell>
          <cell r="C263" t="str">
            <v>UUB4DP8L-SPN01E</v>
          </cell>
          <cell r="D263">
            <v>1</v>
          </cell>
          <cell r="E263" t="str">
            <v>EX PCKD GP RBI 4DP-800</v>
          </cell>
        </row>
        <row r="264">
          <cell r="B264" t="str">
            <v>EUB8DMF-1100</v>
          </cell>
          <cell r="C264" t="str">
            <v>UUBH52YI-CPH01E</v>
          </cell>
          <cell r="D264">
            <v>1</v>
          </cell>
          <cell r="E264" t="str">
            <v>EX PCKD GP RBI 8DMF-1100 W ACCESSORIES</v>
          </cell>
        </row>
        <row r="265">
          <cell r="B265" t="str">
            <v>EUB8DMF-1300</v>
          </cell>
          <cell r="C265" t="str">
            <v>UUBH52WI-CPH01E</v>
          </cell>
          <cell r="D265">
            <v>1</v>
          </cell>
          <cell r="E265" t="str">
            <v>EX PCKD GP RBI 8DMF-1300 W ACCESSORIES</v>
          </cell>
        </row>
        <row r="266">
          <cell r="B266" t="str">
            <v>EUB8DP-1000</v>
          </cell>
          <cell r="C266" t="str">
            <v>UUBH52ZI-CPH01E</v>
          </cell>
          <cell r="D266">
            <v>1</v>
          </cell>
          <cell r="E266" t="str">
            <v>EX PCKD GP RBI 8D-1000 AUTO W ACCS</v>
          </cell>
        </row>
        <row r="267">
          <cell r="B267" t="str">
            <v>EUB8DP-1200</v>
          </cell>
          <cell r="C267" t="str">
            <v>UUBH52XI-CPN01E</v>
          </cell>
          <cell r="D267">
            <v>1</v>
          </cell>
          <cell r="E267" t="str">
            <v>EX PCKD GP RBI 8D-1200 AUTO W ACCS</v>
          </cell>
        </row>
        <row r="268">
          <cell r="B268" t="str">
            <v>EUBG22F-3</v>
          </cell>
          <cell r="C268" t="str">
            <v>UUBG223I-CPH01E</v>
          </cell>
          <cell r="D268">
            <v>1</v>
          </cell>
          <cell r="E268" t="str">
            <v>EX PCKD GP RBI G22F-3 +R W ACCS</v>
          </cell>
        </row>
        <row r="269">
          <cell r="B269" t="str">
            <v>EUBG22F-5</v>
          </cell>
          <cell r="C269" t="str">
            <v>UUBG225I-CPH01E</v>
          </cell>
          <cell r="D269">
            <v>1</v>
          </cell>
          <cell r="E269" t="str">
            <v>EX PCKD GP RBI G22F-5 +R W ACCS</v>
          </cell>
        </row>
        <row r="270">
          <cell r="B270" t="str">
            <v>EUBG22NF-4</v>
          </cell>
          <cell r="C270" t="str">
            <v>UUBC244I-CPH01E</v>
          </cell>
          <cell r="D270">
            <v>1</v>
          </cell>
          <cell r="E270" t="str">
            <v>EX PCKD GP RBI G22NF-4 +R W ACCS</v>
          </cell>
        </row>
        <row r="271">
          <cell r="B271" t="str">
            <v>EUBG22NFC-4</v>
          </cell>
          <cell r="C271" t="str">
            <v>UUBC244E-CPH01E</v>
          </cell>
          <cell r="D271">
            <v>1</v>
          </cell>
          <cell r="E271" t="str">
            <v>EX PCKD GP RBI G22NF-4 +L W ACCS</v>
          </cell>
        </row>
        <row r="272">
          <cell r="B272" t="str">
            <v>EUBG24-4MF</v>
          </cell>
          <cell r="C272" t="str">
            <v>UUBG244E-CPH01E</v>
          </cell>
          <cell r="D272">
            <v>1</v>
          </cell>
          <cell r="E272" t="str">
            <v>EX PCKD GP RBI G24-4MF +L W ACCESORIES</v>
          </cell>
        </row>
        <row r="273">
          <cell r="B273" t="str">
            <v>EUBG24-4SM</v>
          </cell>
          <cell r="C273" t="str">
            <v>UUBG244F-CPH01E</v>
          </cell>
          <cell r="D273">
            <v>1</v>
          </cell>
          <cell r="E273" t="str">
            <v>EX PCKD GP RBI G24-4SM +L W ACCESORIES</v>
          </cell>
        </row>
        <row r="274">
          <cell r="B274" t="str">
            <v>EUBG24-5MF</v>
          </cell>
          <cell r="C274" t="str">
            <v>UUBG245E-CPH01E</v>
          </cell>
          <cell r="D274">
            <v>1</v>
          </cell>
          <cell r="E274" t="str">
            <v>EX PCKD GP RBI G24-5MF +L W ACCESORIES</v>
          </cell>
        </row>
        <row r="275">
          <cell r="B275" t="str">
            <v>EUBG24-5SM</v>
          </cell>
          <cell r="C275" t="str">
            <v>UUBG245F-CPH01E</v>
          </cell>
          <cell r="D275">
            <v>1</v>
          </cell>
          <cell r="E275" t="str">
            <v>EX PCKD GP RBI G24-5SM +L W ACCESORIES</v>
          </cell>
        </row>
        <row r="276">
          <cell r="B276" t="str">
            <v>EUBG24-60MCRD</v>
          </cell>
          <cell r="C276" t="str">
            <v>UUBG24NM-CPN01E</v>
          </cell>
          <cell r="D276">
            <v>1</v>
          </cell>
          <cell r="E276" t="str">
            <v>EX PCKD GP RBI G24-60MCRD +L W ACCS</v>
          </cell>
        </row>
        <row r="277">
          <cell r="B277" t="str">
            <v>EUBG24-6MF</v>
          </cell>
          <cell r="C277" t="str">
            <v>UUBG246E-CPH01E</v>
          </cell>
          <cell r="D277">
            <v>1</v>
          </cell>
          <cell r="E277" t="str">
            <v>EX PCKD GP RBI G24-6MF +L W ACCESORIES</v>
          </cell>
        </row>
        <row r="278">
          <cell r="B278" t="str">
            <v>EUBG24-75MCRD</v>
          </cell>
          <cell r="C278" t="str">
            <v>UUBG24OM-CPN01E</v>
          </cell>
          <cell r="D278">
            <v>1</v>
          </cell>
          <cell r="E278" t="str">
            <v>EX PCKD GP RBI G24-75MCRD +L W ACCS</v>
          </cell>
        </row>
        <row r="279">
          <cell r="B279" t="str">
            <v>EUBG24-7MF</v>
          </cell>
          <cell r="C279" t="str">
            <v>UUBG247E-CPH01E</v>
          </cell>
          <cell r="D279">
            <v>1</v>
          </cell>
          <cell r="E279" t="str">
            <v>EX PCKD GP RBI G24-7MF +L W ACCESORIES</v>
          </cell>
        </row>
        <row r="280">
          <cell r="B280" t="str">
            <v>EUBG24-90MCRD</v>
          </cell>
          <cell r="C280" t="str">
            <v>UUBG24PM-CPN01E</v>
          </cell>
          <cell r="D280">
            <v>1</v>
          </cell>
          <cell r="E280" t="str">
            <v>EX PCKD GP RBI G24-90MCRD +L W ACCS</v>
          </cell>
        </row>
        <row r="281">
          <cell r="B281" t="str">
            <v>EUBG24F-4MF</v>
          </cell>
          <cell r="C281" t="str">
            <v>UUBG244I-CPH01E</v>
          </cell>
          <cell r="D281">
            <v>1</v>
          </cell>
          <cell r="E281" t="str">
            <v>EX PCKD GP RBI G24F-4MF +R W ACCS</v>
          </cell>
        </row>
        <row r="282">
          <cell r="B282" t="str">
            <v>EUBG24F-5MF</v>
          </cell>
          <cell r="C282" t="str">
            <v>UUBG245I-CPH01E</v>
          </cell>
          <cell r="D282">
            <v>1</v>
          </cell>
          <cell r="E282" t="str">
            <v>EX PCKD GP RBI G24F-5MF +R W ACCS</v>
          </cell>
        </row>
        <row r="283">
          <cell r="B283" t="str">
            <v>EUBG24F-6MF</v>
          </cell>
          <cell r="C283" t="str">
            <v>UUBG246I-CPH01E</v>
          </cell>
          <cell r="D283">
            <v>1</v>
          </cell>
          <cell r="E283" t="str">
            <v>EX PCKD GP RBI G24F-6MF +R W ACCS</v>
          </cell>
        </row>
        <row r="284">
          <cell r="B284" t="str">
            <v>EUBG24F-7MF</v>
          </cell>
          <cell r="C284" t="str">
            <v>UUBG247I-CPH01E</v>
          </cell>
          <cell r="D284">
            <v>1</v>
          </cell>
          <cell r="E284" t="str">
            <v>EX PCKD GP RBI G24F-7MF WITH ACCESORIES</v>
          </cell>
        </row>
        <row r="285">
          <cell r="B285" t="str">
            <v>EUBG25/75-4MF</v>
          </cell>
          <cell r="C285" t="str">
            <v>UUBD754D-CPH01E</v>
          </cell>
          <cell r="D285">
            <v>1</v>
          </cell>
          <cell r="E285" t="str">
            <v>EX PCKD GP RBI G25/75-4MF +L W ACCS</v>
          </cell>
        </row>
        <row r="286">
          <cell r="B286" t="str">
            <v>EUBG25/75-5MF</v>
          </cell>
          <cell r="C286" t="str">
            <v>UUBD755D-CPH01E</v>
          </cell>
          <cell r="D286">
            <v>1</v>
          </cell>
          <cell r="E286" t="str">
            <v>EX PCKD GP RBI G25/75-5MF +L W ACCS</v>
          </cell>
        </row>
        <row r="287">
          <cell r="B287" t="str">
            <v>EUBG25/75-6MF</v>
          </cell>
          <cell r="C287" t="str">
            <v>UUBD756D-CPH01E</v>
          </cell>
          <cell r="D287">
            <v>1</v>
          </cell>
          <cell r="E287" t="str">
            <v>EX PCKD GP RBI G25/75-6MF +L W ACCS</v>
          </cell>
        </row>
        <row r="288">
          <cell r="B288" t="str">
            <v>EUBG25-5MF</v>
          </cell>
          <cell r="C288" t="str">
            <v>UUBG255E-CPH01E</v>
          </cell>
          <cell r="D288">
            <v>1</v>
          </cell>
          <cell r="E288" t="str">
            <v>EX PCKD GP RBI G25-5MF +L W ACCS</v>
          </cell>
        </row>
        <row r="289">
          <cell r="B289" t="str">
            <v>EUBG25-6MF</v>
          </cell>
          <cell r="C289" t="str">
            <v>UUBG256E-CPH01E</v>
          </cell>
          <cell r="D289">
            <v>1</v>
          </cell>
          <cell r="E289" t="str">
            <v>EX PCKD GP RBI G25-6MF +L W ACCESORIES</v>
          </cell>
        </row>
        <row r="290">
          <cell r="B290" t="str">
            <v>EUBG27-105MCRD</v>
          </cell>
          <cell r="C290" t="str">
            <v>UUBG27QM-CPN01E</v>
          </cell>
          <cell r="D290">
            <v>1</v>
          </cell>
          <cell r="E290" t="str">
            <v>EX PCKD GP RBI G27-105MCRD +L W ACCS</v>
          </cell>
        </row>
        <row r="291">
          <cell r="B291" t="str">
            <v>EUBG27-6MF</v>
          </cell>
          <cell r="C291" t="str">
            <v>UUBG276E-CPH01E</v>
          </cell>
          <cell r="D291">
            <v>1</v>
          </cell>
          <cell r="E291" t="str">
            <v>EX PCKD GP RBI G27-6MF +L W ACCS</v>
          </cell>
        </row>
        <row r="292">
          <cell r="B292" t="str">
            <v>EUBG27-7MF</v>
          </cell>
          <cell r="C292" t="str">
            <v>UUBG277E-CPH01E</v>
          </cell>
          <cell r="D292">
            <v>1</v>
          </cell>
          <cell r="E292" t="str">
            <v>EX PCKD GP RBI G27-7MF +L W ACCS</v>
          </cell>
        </row>
        <row r="293">
          <cell r="B293" t="str">
            <v>EUBG27-90MCRD</v>
          </cell>
          <cell r="C293" t="str">
            <v>UUBG27PM-CPN01E</v>
          </cell>
          <cell r="D293">
            <v>1</v>
          </cell>
          <cell r="E293" t="str">
            <v>EX PCKD GP RBI G27-90MCRD +L W ACCS</v>
          </cell>
        </row>
        <row r="294">
          <cell r="B294" t="str">
            <v>EUBG27F-6MF</v>
          </cell>
          <cell r="C294" t="str">
            <v>UUBG276I-CPH01E</v>
          </cell>
          <cell r="D294">
            <v>1</v>
          </cell>
          <cell r="E294" t="str">
            <v>EX PCKD GP RBI G27F-6MF +R W ACCS</v>
          </cell>
        </row>
        <row r="295">
          <cell r="B295" t="str">
            <v>EUBG27F-7MF</v>
          </cell>
          <cell r="C295" t="str">
            <v>UUBG277I-CPH01E</v>
          </cell>
          <cell r="D295">
            <v>1</v>
          </cell>
          <cell r="E295" t="str">
            <v>EX PCKD GP RBI G27F-7MF +R W ACCS</v>
          </cell>
        </row>
        <row r="296">
          <cell r="B296" t="str">
            <v>EUBG31A-10MF</v>
          </cell>
          <cell r="C296" t="str">
            <v>UUBB31ZE-CPH01E</v>
          </cell>
          <cell r="D296">
            <v>1</v>
          </cell>
          <cell r="E296" t="str">
            <v>EX PCKD GP RBI UB G31-MF AUTO BLK 1000 C</v>
          </cell>
        </row>
        <row r="297">
          <cell r="B297" t="str">
            <v>EUBG31A-6MF</v>
          </cell>
          <cell r="C297" t="str">
            <v>UUBB316E-CPH01E</v>
          </cell>
          <cell r="D297">
            <v>1</v>
          </cell>
          <cell r="E297" t="str">
            <v>EX PCKD GP RBI G31A-6MF</v>
          </cell>
        </row>
        <row r="298">
          <cell r="B298" t="str">
            <v>EUBG31A-7MF</v>
          </cell>
          <cell r="C298" t="str">
            <v>UUBB317E-CPH01E</v>
          </cell>
          <cell r="D298">
            <v>1</v>
          </cell>
          <cell r="E298" t="str">
            <v>EX PCKD GP RBI G31A-7MF W ACCS</v>
          </cell>
        </row>
        <row r="299">
          <cell r="B299" t="str">
            <v>EUBG31A-8MF</v>
          </cell>
          <cell r="C299" t="str">
            <v>UUBB318E-CPH01E</v>
          </cell>
          <cell r="D299">
            <v>1</v>
          </cell>
          <cell r="E299" t="str">
            <v>EX PCKD GP RBI UB G31-8MF AUTO BLK 800-C</v>
          </cell>
        </row>
        <row r="300">
          <cell r="B300" t="str">
            <v>EUBG31A-9MF</v>
          </cell>
          <cell r="C300" t="str">
            <v>UUBB319E-CPH01E</v>
          </cell>
          <cell r="D300">
            <v>1</v>
          </cell>
          <cell r="E300" t="str">
            <v>EX PCKD GP RBI G31A-9MF W ACCS</v>
          </cell>
        </row>
        <row r="301">
          <cell r="B301" t="str">
            <v>EUBG31AG-10MF</v>
          </cell>
          <cell r="C301" t="str">
            <v>UUBG31ZE-CPH01E</v>
          </cell>
          <cell r="D301">
            <v>1</v>
          </cell>
          <cell r="E301" t="str">
            <v>EX PCKD GP RBI G31AG-10MF +L W ACCS</v>
          </cell>
        </row>
        <row r="302">
          <cell r="B302" t="str">
            <v>EUBG31AG-6MF</v>
          </cell>
          <cell r="C302" t="str">
            <v>UUBG316E-CPH01E</v>
          </cell>
          <cell r="D302">
            <v>1</v>
          </cell>
          <cell r="E302" t="str">
            <v>EX PCKD GP RBI G31AG-6MF</v>
          </cell>
        </row>
        <row r="303">
          <cell r="B303" t="str">
            <v>EUBG31AG-7MF</v>
          </cell>
          <cell r="C303" t="str">
            <v>UUBG317E-CPH01E</v>
          </cell>
          <cell r="D303">
            <v>1</v>
          </cell>
          <cell r="E303" t="str">
            <v>EX PCKD GP RBI G31AG-7MF W ACCESORIES</v>
          </cell>
        </row>
        <row r="304">
          <cell r="B304" t="str">
            <v>EUBG31AG-8MF</v>
          </cell>
          <cell r="C304" t="str">
            <v>UUBG318E-CPH01E</v>
          </cell>
          <cell r="D304">
            <v>1</v>
          </cell>
          <cell r="E304" t="str">
            <v>EX PCKD GP RBI G31AG-8MF +L W ACCS</v>
          </cell>
        </row>
        <row r="305">
          <cell r="B305" t="str">
            <v>EUBG31AG-9MF</v>
          </cell>
          <cell r="C305" t="str">
            <v>UUBG319R-CPH01E</v>
          </cell>
          <cell r="D305">
            <v>1</v>
          </cell>
          <cell r="E305" t="str">
            <v>EX PCKD GP RBI G31AG-9MF W ACCS</v>
          </cell>
        </row>
        <row r="306">
          <cell r="B306" t="str">
            <v>EUBG31S-10MF</v>
          </cell>
          <cell r="C306" t="str">
            <v>UUBB31ZT-CPH01E</v>
          </cell>
          <cell r="D306">
            <v>1</v>
          </cell>
          <cell r="E306" t="str">
            <v>EX PCKD GP RBI G31S-10MF +L W ACCS</v>
          </cell>
        </row>
        <row r="307">
          <cell r="B307" t="str">
            <v>EUBG31S-6MF</v>
          </cell>
          <cell r="C307" t="str">
            <v>UUBB316T-CPH01E</v>
          </cell>
          <cell r="D307">
            <v>1</v>
          </cell>
          <cell r="E307" t="str">
            <v>EX PCKD GP RBI G31S-6MF</v>
          </cell>
        </row>
        <row r="308">
          <cell r="B308" t="str">
            <v>EUBG31S-7MF</v>
          </cell>
          <cell r="C308" t="str">
            <v>UUBB317T-CPH01E</v>
          </cell>
          <cell r="D308">
            <v>1</v>
          </cell>
          <cell r="E308" t="str">
            <v>EX PCKD GP RBI UB G31-7MF STUD 700 CCA</v>
          </cell>
        </row>
        <row r="309">
          <cell r="B309" t="str">
            <v>EUBG31S-8MF</v>
          </cell>
          <cell r="C309" t="str">
            <v>UUBB318T-CPH01E</v>
          </cell>
          <cell r="D309">
            <v>1</v>
          </cell>
          <cell r="E309" t="str">
            <v>EX PCKD GP RBI G31S-8MF +L W ACCS</v>
          </cell>
        </row>
        <row r="310">
          <cell r="B310" t="str">
            <v>EUBG31S-9MF</v>
          </cell>
          <cell r="C310" t="str">
            <v>UUBB319T-CPH01E</v>
          </cell>
          <cell r="D310">
            <v>1</v>
          </cell>
          <cell r="E310" t="str">
            <v>EX PCKD GP RBI G31S-9MF</v>
          </cell>
        </row>
        <row r="311">
          <cell r="B311" t="str">
            <v>EUBG31SG-10MF</v>
          </cell>
          <cell r="C311" t="str">
            <v>UUBG31ZT-CPH01E</v>
          </cell>
          <cell r="D311">
            <v>1</v>
          </cell>
          <cell r="E311" t="str">
            <v>EX PCKD GP RBI G31SG-10MF +L W ACCS</v>
          </cell>
        </row>
        <row r="312">
          <cell r="B312" t="str">
            <v>EUBG31SG-6MF</v>
          </cell>
          <cell r="C312" t="str">
            <v>UUBG316T-CPH01E</v>
          </cell>
          <cell r="D312">
            <v>1</v>
          </cell>
          <cell r="E312" t="str">
            <v>EX PCKD GP RBI G31SG-6MF</v>
          </cell>
        </row>
        <row r="313">
          <cell r="B313" t="str">
            <v>EUBG31SG-7MF</v>
          </cell>
          <cell r="C313" t="str">
            <v>UUBG317T-CPP01E</v>
          </cell>
          <cell r="D313">
            <v>1</v>
          </cell>
          <cell r="E313" t="str">
            <v>EX PCKD GP RBI G31SG-7MF W ACCESORIES</v>
          </cell>
        </row>
        <row r="314">
          <cell r="B314" t="str">
            <v>EUBG31SG-8MF</v>
          </cell>
          <cell r="C314" t="str">
            <v>UUBG318T-CPH01E</v>
          </cell>
          <cell r="D314">
            <v>1</v>
          </cell>
          <cell r="E314" t="str">
            <v>EX PCKD GP RBI G31SG-8MF +L W ACCS</v>
          </cell>
        </row>
        <row r="315">
          <cell r="B315" t="str">
            <v>EUBG31SG-9MF</v>
          </cell>
          <cell r="C315" t="str">
            <v>UUBG319T-CPH01E</v>
          </cell>
          <cell r="D315">
            <v>1</v>
          </cell>
          <cell r="E315" t="str">
            <v>EX PCKD GP RBI G31SG-9MF W ACCS</v>
          </cell>
        </row>
        <row r="316">
          <cell r="B316" t="str">
            <v>EUBG34/78-5MF</v>
          </cell>
          <cell r="C316" t="str">
            <v>UUBD785D-CPH01E</v>
          </cell>
          <cell r="D316">
            <v>1</v>
          </cell>
          <cell r="E316" t="str">
            <v>EX PCKD GP RBI G34/78-5MF +L W ACCS</v>
          </cell>
        </row>
        <row r="317">
          <cell r="B317" t="str">
            <v>EUBG34/78-6MF</v>
          </cell>
          <cell r="C317" t="str">
            <v>UUBD78DD-CPH01E</v>
          </cell>
          <cell r="D317">
            <v>1</v>
          </cell>
          <cell r="E317" t="str">
            <v>EX PCKD GP RBI G34/78-6MF +L W ACCS</v>
          </cell>
        </row>
        <row r="318">
          <cell r="B318" t="str">
            <v>EUBG34/78-8MF</v>
          </cell>
          <cell r="C318" t="str">
            <v>UUBD788D-CPH01E</v>
          </cell>
          <cell r="D318">
            <v>1</v>
          </cell>
          <cell r="E318" t="str">
            <v>EX PCKD GP RBI G34/78-8MF +L W ACCS</v>
          </cell>
        </row>
        <row r="319">
          <cell r="B319" t="str">
            <v>EUBG34-5MF</v>
          </cell>
          <cell r="C319" t="str">
            <v>UUBG345E-CPH01E</v>
          </cell>
          <cell r="D319">
            <v>1</v>
          </cell>
          <cell r="E319" t="str">
            <v>EX PCKD GP RBI G34-5MF +L W ACCS</v>
          </cell>
        </row>
        <row r="320">
          <cell r="B320" t="str">
            <v>EUBG34-6MF</v>
          </cell>
          <cell r="C320" t="str">
            <v>UUBG346E-CPH01E</v>
          </cell>
          <cell r="D320">
            <v>1</v>
          </cell>
          <cell r="E320" t="str">
            <v>EX PCKD GP RBI G34-6MF +L W ACCS</v>
          </cell>
        </row>
        <row r="321">
          <cell r="B321" t="str">
            <v>EUBG34R-5MF</v>
          </cell>
          <cell r="C321" t="str">
            <v>UUBG345I-CPH01E</v>
          </cell>
          <cell r="D321">
            <v>1</v>
          </cell>
          <cell r="E321" t="str">
            <v>EX PCKD GP RBI G34R-5MF</v>
          </cell>
        </row>
        <row r="322">
          <cell r="B322" t="str">
            <v>EUBG34R-6MF</v>
          </cell>
          <cell r="C322" t="str">
            <v>UUBG346I-CPH01E</v>
          </cell>
          <cell r="D322">
            <v>1</v>
          </cell>
          <cell r="E322" t="str">
            <v>EX PCKD GP RBI G34R-6MF +R W ACCS</v>
          </cell>
        </row>
        <row r="323">
          <cell r="B323" t="str">
            <v>EUBG35-5MF</v>
          </cell>
          <cell r="C323" t="str">
            <v>UUBG355I-CPH01E</v>
          </cell>
          <cell r="D323">
            <v>1</v>
          </cell>
          <cell r="E323" t="str">
            <v>EX PCKD GP RBI G35-5MF +R W ACCS</v>
          </cell>
        </row>
        <row r="324">
          <cell r="B324" t="str">
            <v>EUBG35-6MF</v>
          </cell>
          <cell r="C324" t="str">
            <v>UUBG356I-CPH01E</v>
          </cell>
          <cell r="D324">
            <v>1</v>
          </cell>
          <cell r="E324" t="str">
            <v>EX PCKD GP RBI G35-6MF +R W ACCESORIES</v>
          </cell>
        </row>
        <row r="325">
          <cell r="B325" t="str">
            <v>EUBG4-1000</v>
          </cell>
          <cell r="C325" t="str">
            <v>UUBGR4ZI-CPN01E</v>
          </cell>
          <cell r="D325">
            <v>1</v>
          </cell>
          <cell r="E325" t="str">
            <v>EX PCKD GP RBI UB G4-1000</v>
          </cell>
        </row>
        <row r="326">
          <cell r="B326" t="str">
            <v>EUBG4-800</v>
          </cell>
          <cell r="C326" t="str">
            <v>UUBGR48I-SPN02E</v>
          </cell>
          <cell r="D326">
            <v>1</v>
          </cell>
          <cell r="E326" t="str">
            <v>EX PCKD GP RBI UB G4-800</v>
          </cell>
        </row>
        <row r="327">
          <cell r="B327" t="str">
            <v>EUBG51-4</v>
          </cell>
          <cell r="C327" t="str">
            <v>UUBB244E-CPH01E</v>
          </cell>
          <cell r="D327">
            <v>1</v>
          </cell>
          <cell r="E327" t="str">
            <v>EX PCKD GP RBI G51-4 W ACCESORIES</v>
          </cell>
        </row>
        <row r="328">
          <cell r="B328" t="str">
            <v>EUBG51R-4</v>
          </cell>
          <cell r="C328" t="str">
            <v>UUBB244I-CPH01E</v>
          </cell>
          <cell r="D328">
            <v>1</v>
          </cell>
          <cell r="E328" t="str">
            <v>EX PCKD GP RBI G51R-4 W ACCESORIES</v>
          </cell>
        </row>
        <row r="329">
          <cell r="B329" t="str">
            <v>EUBG58-4MF</v>
          </cell>
          <cell r="C329" t="str">
            <v>UUBG584E-CPH01E</v>
          </cell>
          <cell r="D329">
            <v>1</v>
          </cell>
          <cell r="E329" t="str">
            <v>EX PCKD GP RBI G58-4MF +L W ACCS</v>
          </cell>
        </row>
        <row r="330">
          <cell r="B330" t="str">
            <v>EUBG58-5MF</v>
          </cell>
          <cell r="C330" t="str">
            <v>UUBG585E-CPH01E</v>
          </cell>
          <cell r="D330">
            <v>1</v>
          </cell>
          <cell r="E330" t="str">
            <v>EX PCKD GP RBI G58-5MF +L W ACCS</v>
          </cell>
        </row>
        <row r="331">
          <cell r="B331" t="str">
            <v>EUBG58-6MF</v>
          </cell>
          <cell r="C331" t="str">
            <v>UUBG586E-CPH01E</v>
          </cell>
          <cell r="D331">
            <v>1</v>
          </cell>
          <cell r="E331" t="str">
            <v>EX PCKD GP RBI G58-6MF +L W ACCESORIES</v>
          </cell>
        </row>
        <row r="332">
          <cell r="B332" t="str">
            <v>EUBG58R-4MF</v>
          </cell>
          <cell r="C332" t="str">
            <v>UUBG584I-CPH01E</v>
          </cell>
          <cell r="D332">
            <v>1</v>
          </cell>
          <cell r="E332" t="str">
            <v>EX PCKD GP RBI G58-4MF +R W ACCS</v>
          </cell>
        </row>
        <row r="333">
          <cell r="B333" t="str">
            <v>EUBG58R-5MF</v>
          </cell>
          <cell r="C333" t="str">
            <v>UUBG585I-CPH01E</v>
          </cell>
          <cell r="D333">
            <v>1</v>
          </cell>
          <cell r="E333" t="str">
            <v>EX PCKD GP RBI G58-5MF +R W ACCS</v>
          </cell>
        </row>
        <row r="334">
          <cell r="B334" t="str">
            <v>EUBG58R-6MF</v>
          </cell>
          <cell r="C334" t="str">
            <v>UUBG586I-CPH01E</v>
          </cell>
          <cell r="D334">
            <v>1</v>
          </cell>
          <cell r="E334" t="str">
            <v>EX PCKD GP RBI G58-6MF +R W ACCS</v>
          </cell>
        </row>
        <row r="335">
          <cell r="B335" t="str">
            <v>EUBG65-6MF</v>
          </cell>
          <cell r="C335" t="str">
            <v>UUBG656E-CPH01E</v>
          </cell>
          <cell r="D335">
            <v>1</v>
          </cell>
          <cell r="E335" t="str">
            <v>EX PCKD GP RBI G65-6MF +L W ACCS</v>
          </cell>
        </row>
        <row r="336">
          <cell r="B336" t="str">
            <v>EUBG65-8MF</v>
          </cell>
          <cell r="C336" t="str">
            <v>UUBG658E-CPH01E</v>
          </cell>
          <cell r="D336">
            <v>1</v>
          </cell>
          <cell r="E336" t="str">
            <v>EX PCKD GP RBI G65-8MF +L W ACCS</v>
          </cell>
        </row>
        <row r="337">
          <cell r="B337" t="str">
            <v>EUBG75-4MF</v>
          </cell>
          <cell r="C337" t="str">
            <v>UUBG754E-CPH01E</v>
          </cell>
          <cell r="D337">
            <v>1</v>
          </cell>
          <cell r="E337" t="str">
            <v>EX PCKD GP RBI G75-4MF +L W ACCS</v>
          </cell>
        </row>
        <row r="338">
          <cell r="B338" t="str">
            <v>EUBG75-5MF</v>
          </cell>
          <cell r="C338" t="str">
            <v>UUBG755S-CPH01E</v>
          </cell>
          <cell r="D338">
            <v>1</v>
          </cell>
          <cell r="E338" t="str">
            <v>EX PCKD GP RBI G75-5MF +L ST W ACCS</v>
          </cell>
        </row>
        <row r="339">
          <cell r="B339" t="str">
            <v>EUBG75-6MF</v>
          </cell>
          <cell r="C339" t="str">
            <v>UUBG756S-CPH01E</v>
          </cell>
          <cell r="D339">
            <v>1</v>
          </cell>
          <cell r="E339" t="str">
            <v>EX PCKD GP RBI G75-6MF +L ST W ACCS</v>
          </cell>
        </row>
        <row r="340">
          <cell r="B340" t="str">
            <v>EUBG78-5MF</v>
          </cell>
          <cell r="C340" t="str">
            <v>UUBG785S-CPH01E</v>
          </cell>
          <cell r="D340">
            <v>1</v>
          </cell>
          <cell r="E340" t="str">
            <v>EX PCKD GP RBI G78-5MF +L W ACCS</v>
          </cell>
        </row>
        <row r="341">
          <cell r="B341" t="str">
            <v>EUBG78-6MF</v>
          </cell>
          <cell r="C341" t="str">
            <v>UUBG786S-CPH01E</v>
          </cell>
          <cell r="D341">
            <v>1</v>
          </cell>
          <cell r="E341" t="str">
            <v>EX PCKD GP RBI G78-6MF +L ST W ACCS</v>
          </cell>
        </row>
        <row r="342">
          <cell r="B342" t="str">
            <v>EUBG78-8MF</v>
          </cell>
          <cell r="C342" t="str">
            <v>UUBG788S-CPH01E</v>
          </cell>
          <cell r="D342">
            <v>1</v>
          </cell>
          <cell r="E342" t="str">
            <v>EX PCKD GP RBI G78-8MF +L ST W ACCS</v>
          </cell>
        </row>
        <row r="343">
          <cell r="B343" t="str">
            <v>EUBGC2-17S</v>
          </cell>
          <cell r="C343" t="str">
            <v>UUBGC2SF-SPN01E</v>
          </cell>
          <cell r="D343">
            <v>1</v>
          </cell>
          <cell r="E343" t="str">
            <v>EX PCKD GP RBI UB GC2-17 PPC STUD RED/WH</v>
          </cell>
        </row>
        <row r="344">
          <cell r="B344" t="str">
            <v>EUBGC2-6V-20S</v>
          </cell>
          <cell r="C344" t="str">
            <v>UUBGC2UF-SPN01E</v>
          </cell>
          <cell r="D344">
            <v>1</v>
          </cell>
          <cell r="E344" t="str">
            <v>EX PCKD GP RBI GC2-6V 20PPC STUD WHT/BLK</v>
          </cell>
        </row>
        <row r="345">
          <cell r="B345" t="str">
            <v>FPC24ALD-P</v>
          </cell>
          <cell r="C345" t="str">
            <v>EFPC24BL-SPN00L</v>
          </cell>
          <cell r="D345">
            <v>1</v>
          </cell>
          <cell r="E345" t="str">
            <v>AB PP DC FIREPOWER C24 +R</v>
          </cell>
        </row>
        <row r="346">
          <cell r="B346" t="str">
            <v>FPD22ALD-P</v>
          </cell>
          <cell r="C346" t="str">
            <v>EFPD23AL-SPN00L</v>
          </cell>
          <cell r="D346">
            <v>1</v>
          </cell>
          <cell r="E346" t="str">
            <v>AB PP DC FIREPOWER-OMMC D22 +R AUTO</v>
          </cell>
        </row>
        <row r="347">
          <cell r="B347" t="str">
            <v>FPD26ALD-P</v>
          </cell>
          <cell r="C347" t="str">
            <v>EFPD26AL-SPN00L</v>
          </cell>
          <cell r="D347">
            <v>1</v>
          </cell>
          <cell r="E347" t="str">
            <v>AB PP DC FIRE POWER 2SMF/D26 +R</v>
          </cell>
        </row>
        <row r="348">
          <cell r="B348" t="str">
            <v>FPD31ALD-P</v>
          </cell>
          <cell r="C348" t="str">
            <v>EFPD31AL-SPN00L</v>
          </cell>
          <cell r="D348">
            <v>1</v>
          </cell>
          <cell r="E348" t="str">
            <v>AB PP DC FIRE POWER 3SMF/D31 +R</v>
          </cell>
        </row>
        <row r="349">
          <cell r="B349" t="str">
            <v>FPE41ALD-P</v>
          </cell>
          <cell r="C349" t="str">
            <v>EFPE41AL-SPN00L</v>
          </cell>
          <cell r="D349">
            <v>1</v>
          </cell>
          <cell r="E349" t="str">
            <v>AB PP DC FIREPOWER-OMMC N100 +R AUTO</v>
          </cell>
        </row>
        <row r="350">
          <cell r="B350" t="str">
            <v>FPF51ALD-P</v>
          </cell>
          <cell r="C350" t="str">
            <v>EFPF51BL-SPN00L</v>
          </cell>
          <cell r="D350">
            <v>1</v>
          </cell>
          <cell r="E350" t="str">
            <v>AB PP DC FIRE POWER 2D/F51AL (N120)</v>
          </cell>
        </row>
        <row r="351">
          <cell r="B351" t="str">
            <v>FPG51ALD-P</v>
          </cell>
          <cell r="C351" t="str">
            <v>EFPG51AL-SPN00L</v>
          </cell>
          <cell r="D351">
            <v>1</v>
          </cell>
          <cell r="E351" t="str">
            <v>AB PP DC FIREPOWER G51 +R</v>
          </cell>
        </row>
        <row r="352">
          <cell r="B352" t="str">
            <v>FPH52ALD-P</v>
          </cell>
          <cell r="C352" t="str">
            <v>EFPH52BL-SPN00L</v>
          </cell>
          <cell r="D352">
            <v>1</v>
          </cell>
          <cell r="E352" t="str">
            <v>AB PP DC FIREPOWER-OMMC N200 +R AUTO</v>
          </cell>
        </row>
        <row r="353">
          <cell r="B353" t="str">
            <v>FYG49-MF-P</v>
          </cell>
          <cell r="C353" t="str">
            <v>WFJG49AL-CP115E</v>
          </cell>
          <cell r="D353">
            <v>1</v>
          </cell>
          <cell r="E353" t="str">
            <v>AB PP WC ABM-FUJIYA  DIN100/G49 +R</v>
          </cell>
        </row>
        <row r="354">
          <cell r="B354" t="str">
            <v>FYMFN55-P</v>
          </cell>
          <cell r="C354" t="str">
            <v>WFJN55EL-CP115E</v>
          </cell>
          <cell r="D354">
            <v>1</v>
          </cell>
          <cell r="E354" t="str">
            <v>AB PP WC ABM-FUJIYA DIN55 +R</v>
          </cell>
        </row>
        <row r="355">
          <cell r="B355" t="str">
            <v>FYMFN55R-P</v>
          </cell>
          <cell r="C355" t="str">
            <v>WFJN55ER-CP115E</v>
          </cell>
          <cell r="D355">
            <v>1</v>
          </cell>
          <cell r="E355" t="str">
            <v>AB PP WC ABM-FUJIYA DIN55 +L</v>
          </cell>
        </row>
        <row r="356">
          <cell r="B356" t="str">
            <v>FYMFN66-P</v>
          </cell>
          <cell r="C356" t="str">
            <v>WFJN66DL-CP115E</v>
          </cell>
          <cell r="D356">
            <v>1</v>
          </cell>
          <cell r="E356" t="str">
            <v>AB PP WC ABM-FUJIYA DIN66 +R</v>
          </cell>
        </row>
        <row r="357">
          <cell r="B357" t="str">
            <v>FYMFN66R-P</v>
          </cell>
          <cell r="C357" t="str">
            <v>WFJN66DR-CP115E</v>
          </cell>
          <cell r="D357">
            <v>1</v>
          </cell>
          <cell r="E357" t="str">
            <v>AB PP WC ABM-FUJIYA DIN66 +L</v>
          </cell>
        </row>
        <row r="358">
          <cell r="B358" t="str">
            <v>FYMFN88-P</v>
          </cell>
          <cell r="C358" t="str">
            <v>WFJN88BL-CP115E</v>
          </cell>
          <cell r="D358">
            <v>1</v>
          </cell>
          <cell r="E358" t="str">
            <v>AB PP WC ABM-FUJIYA DIN88 +R</v>
          </cell>
        </row>
        <row r="359">
          <cell r="B359" t="str">
            <v>FYN50ZL-MF-P</v>
          </cell>
          <cell r="C359" t="str">
            <v>WFJG24CL-CP315E</v>
          </cell>
          <cell r="D359">
            <v>1</v>
          </cell>
          <cell r="E359" t="str">
            <v>AB PP WC ABM-FUJIYA N50Z +R</v>
          </cell>
        </row>
        <row r="360">
          <cell r="B360" t="str">
            <v>FYN50Z-MF-P</v>
          </cell>
          <cell r="C360" t="str">
            <v>WFJG24CR-CP315E</v>
          </cell>
          <cell r="D360">
            <v>1</v>
          </cell>
          <cell r="E360" t="str">
            <v>AB PP WC ABM-FUJIYA N50Z +L</v>
          </cell>
        </row>
        <row r="361">
          <cell r="B361" t="str">
            <v>FYN70L-MF-P</v>
          </cell>
          <cell r="C361" t="str">
            <v>WFJG27CL-CP315E</v>
          </cell>
          <cell r="D361">
            <v>1</v>
          </cell>
          <cell r="E361" t="str">
            <v>AB PP WC ABM-FUJIYA N70 +R</v>
          </cell>
        </row>
        <row r="362">
          <cell r="B362" t="str">
            <v>FYN70-MF-P</v>
          </cell>
          <cell r="C362" t="str">
            <v>WFJG27CR-CP315E</v>
          </cell>
          <cell r="D362">
            <v>1</v>
          </cell>
          <cell r="E362" t="str">
            <v>AB PP WC ABM-FUJIYA N70 +L</v>
          </cell>
        </row>
        <row r="363">
          <cell r="B363" t="str">
            <v>FYN70ZL-MF-P</v>
          </cell>
          <cell r="C363" t="str">
            <v>WFJG27EL-CP315E</v>
          </cell>
          <cell r="D363">
            <v>1</v>
          </cell>
          <cell r="E363" t="str">
            <v>AB PP WC ABM-FUJIYA N70Z +R</v>
          </cell>
        </row>
        <row r="364">
          <cell r="B364" t="str">
            <v>FYN70Z-MF-P</v>
          </cell>
          <cell r="C364" t="str">
            <v>WFJG27ER-CP315E</v>
          </cell>
          <cell r="D364">
            <v>1</v>
          </cell>
          <cell r="E364" t="str">
            <v>AB PP WC ABM-FUJIYA N70Z +L</v>
          </cell>
        </row>
        <row r="365">
          <cell r="B365" t="str">
            <v>FYNS40L-MF-P</v>
          </cell>
          <cell r="C365" t="str">
            <v>WFJB20BB-CP115E</v>
          </cell>
          <cell r="D365">
            <v>1</v>
          </cell>
          <cell r="E365" t="str">
            <v>AB PP WC ABM-FUJIYA NS40 +R</v>
          </cell>
        </row>
        <row r="366">
          <cell r="B366" t="str">
            <v>FYNS40-MF-P</v>
          </cell>
          <cell r="C366" t="str">
            <v>WFJB20BA-CP115E</v>
          </cell>
          <cell r="D366">
            <v>1</v>
          </cell>
          <cell r="E366" t="str">
            <v>AB PP WC ABM-FUJIYA NS40 +L</v>
          </cell>
        </row>
        <row r="367">
          <cell r="B367" t="str">
            <v>FYNS40ZL-MF-P</v>
          </cell>
          <cell r="C367" t="str">
            <v>WFJB20CB-CP115E</v>
          </cell>
          <cell r="D367">
            <v>1</v>
          </cell>
          <cell r="E367" t="str">
            <v>AB PP WC ABM-FUJIYA NS40Z +R</v>
          </cell>
        </row>
        <row r="368">
          <cell r="B368" t="str">
            <v>FYNS40Z-MF-P</v>
          </cell>
          <cell r="C368" t="str">
            <v>WFJB20CA-CP115E</v>
          </cell>
          <cell r="D368">
            <v>1</v>
          </cell>
          <cell r="E368" t="str">
            <v>AB PP WC ABM-FUJIYA NS40Z +L</v>
          </cell>
        </row>
        <row r="369">
          <cell r="B369" t="str">
            <v>FYNS50L-MF-P</v>
          </cell>
          <cell r="C369" t="str">
            <v>WFJD23BL-CP315E</v>
          </cell>
          <cell r="D369">
            <v>1</v>
          </cell>
          <cell r="E369" t="str">
            <v>AB PP WC ABM-FUJIYA NS50 +R</v>
          </cell>
        </row>
        <row r="370">
          <cell r="B370" t="str">
            <v>FYNS50-MF-P</v>
          </cell>
          <cell r="C370" t="str">
            <v>WFJD23BR-CP315E</v>
          </cell>
          <cell r="D370">
            <v>1</v>
          </cell>
          <cell r="E370" t="str">
            <v>AB PP WC ABM-FUJIYA NS50 +L</v>
          </cell>
        </row>
        <row r="371">
          <cell r="B371" t="str">
            <v>FYNS50ZL-MF-P</v>
          </cell>
          <cell r="C371" t="str">
            <v>WFJD23CL-CP315E</v>
          </cell>
          <cell r="D371">
            <v>1</v>
          </cell>
          <cell r="E371" t="str">
            <v>AB PP WC ABM-FUJIYA NS50Z +R</v>
          </cell>
        </row>
        <row r="372">
          <cell r="B372" t="str">
            <v>FYNS50Z-MF-P</v>
          </cell>
          <cell r="C372" t="str">
            <v>WFJD23CR-CP315E</v>
          </cell>
          <cell r="D372">
            <v>1</v>
          </cell>
          <cell r="E372" t="str">
            <v>AB PP WC ABM-FUJIYA NS50Z +L</v>
          </cell>
        </row>
        <row r="373">
          <cell r="B373" t="str">
            <v>FYNS60L-MF-P</v>
          </cell>
          <cell r="C373" t="str">
            <v>WFJB24BB-CP315E</v>
          </cell>
          <cell r="D373">
            <v>1</v>
          </cell>
          <cell r="E373" t="str">
            <v>AB PP WC ABM-FUJIYA NS60L +R</v>
          </cell>
        </row>
        <row r="374">
          <cell r="B374" t="str">
            <v>FYNS60LS-MF-P</v>
          </cell>
          <cell r="C374" t="str">
            <v>WFJB24BL-CP315E</v>
          </cell>
          <cell r="D374">
            <v>1</v>
          </cell>
          <cell r="E374" t="str">
            <v>AB PP WC ABM-FUJIYA NS60LS +R</v>
          </cell>
        </row>
        <row r="375">
          <cell r="B375" t="str">
            <v>FYNS60-MF-P</v>
          </cell>
          <cell r="C375" t="str">
            <v>WFJB24BA-CP315E</v>
          </cell>
          <cell r="D375">
            <v>1</v>
          </cell>
          <cell r="E375" t="str">
            <v>AB PP WC ABM-FUJIYA NS60 +L</v>
          </cell>
        </row>
        <row r="376">
          <cell r="B376" t="str">
            <v>FYNS60S-MF-P</v>
          </cell>
          <cell r="C376" t="str">
            <v>WFJB24BR-CP315E</v>
          </cell>
          <cell r="D376">
            <v>1</v>
          </cell>
          <cell r="E376" t="str">
            <v>AB PP WC ABM-FUJIYA NS60S +L</v>
          </cell>
        </row>
        <row r="377">
          <cell r="B377" t="str">
            <v>FYNS60ZL-MF-P</v>
          </cell>
          <cell r="C377" t="str">
            <v>WFJB24DB-CP315E</v>
          </cell>
          <cell r="D377">
            <v>1</v>
          </cell>
          <cell r="E377" t="str">
            <v>AB PP WC ABM-FUJIYA NS60ZL +R</v>
          </cell>
        </row>
        <row r="378">
          <cell r="B378" t="str">
            <v>FYNS60ZLS-MF-P</v>
          </cell>
          <cell r="C378" t="str">
            <v>WFJB24DL-CP315E</v>
          </cell>
          <cell r="D378">
            <v>1</v>
          </cell>
          <cell r="E378" t="str">
            <v>AB PP WC ABM-FUJIYA NS60ZLS +R</v>
          </cell>
        </row>
        <row r="379">
          <cell r="B379" t="str">
            <v>FYNS60Z-MF-P</v>
          </cell>
          <cell r="C379" t="str">
            <v>WFJB24DA-CP315E</v>
          </cell>
          <cell r="D379">
            <v>1</v>
          </cell>
          <cell r="E379" t="str">
            <v>AB PP WC ABM-FUJIYA NS60Z +L</v>
          </cell>
        </row>
        <row r="380">
          <cell r="B380" t="str">
            <v>FYNS60ZS-MF-P</v>
          </cell>
          <cell r="C380" t="str">
            <v>WFJB24DR-CP315E</v>
          </cell>
          <cell r="D380">
            <v>1</v>
          </cell>
          <cell r="E380" t="str">
            <v>AB PP WC ABM-FUJIYA NS60ZS +L</v>
          </cell>
        </row>
        <row r="381">
          <cell r="B381" t="str">
            <v>FYNS70L-MF-P</v>
          </cell>
          <cell r="C381" t="str">
            <v>WFJG24DL-CP315E</v>
          </cell>
          <cell r="D381">
            <v>1</v>
          </cell>
          <cell r="E381" t="str">
            <v>AB PP WC ABM-FUJIYA NS70L +R</v>
          </cell>
        </row>
        <row r="382">
          <cell r="B382" t="str">
            <v>FYNS70-MF-P</v>
          </cell>
          <cell r="C382" t="str">
            <v>WFJG24DR-CP315E</v>
          </cell>
          <cell r="D382">
            <v>1</v>
          </cell>
          <cell r="E382" t="str">
            <v>AB PP WC ABM-FUJIYA NS70 +L</v>
          </cell>
        </row>
        <row r="383">
          <cell r="B383" t="str">
            <v>FYNX110L-MF-P</v>
          </cell>
          <cell r="C383" t="str">
            <v>WFJG24EL-CP315E</v>
          </cell>
          <cell r="D383">
            <v>1</v>
          </cell>
          <cell r="E383" t="str">
            <v>AB PP WC ABM-FUJIYA NX110 +R</v>
          </cell>
        </row>
        <row r="384">
          <cell r="B384" t="str">
            <v>FYNX110-MF-P</v>
          </cell>
          <cell r="C384" t="str">
            <v>WFJG24ER-CP315E</v>
          </cell>
          <cell r="D384">
            <v>1</v>
          </cell>
          <cell r="E384" t="str">
            <v>AB PP WC ABM-FUJIYA NX110 +L</v>
          </cell>
        </row>
        <row r="385">
          <cell r="B385" t="str">
            <v>FYNX120L-MF-P</v>
          </cell>
          <cell r="C385" t="str">
            <v>WFJG27GL-CP315E</v>
          </cell>
          <cell r="D385">
            <v>1</v>
          </cell>
          <cell r="E385" t="str">
            <v>AB PP WC ABM-FUJIYA NX120L +R</v>
          </cell>
        </row>
        <row r="386">
          <cell r="B386" t="str">
            <v>FYNX120-MF-P</v>
          </cell>
          <cell r="C386" t="str">
            <v>WFJG27GR-CP315E</v>
          </cell>
          <cell r="D386">
            <v>1</v>
          </cell>
          <cell r="E386" t="str">
            <v>AB PP WC ABM-FUJIYA NX120 +L</v>
          </cell>
        </row>
        <row r="387">
          <cell r="B387" t="str">
            <v>GPG49-MF-P</v>
          </cell>
          <cell r="C387" t="str">
            <v>UUBG49AL-CP117E</v>
          </cell>
          <cell r="D387">
            <v>1</v>
          </cell>
          <cell r="E387" t="str">
            <v>AB PP UB GP AUTO-MALYSIA DIN100/G49 +R</v>
          </cell>
        </row>
        <row r="388">
          <cell r="B388" t="str">
            <v>GPGC2-6VS(220)</v>
          </cell>
          <cell r="C388" t="str">
            <v>DUBGC2UF-SPN17E</v>
          </cell>
          <cell r="D388">
            <v>1</v>
          </cell>
          <cell r="E388" t="str">
            <v>AB PP DC GC2-6V GPAUTO BLK STUD</v>
          </cell>
        </row>
        <row r="389">
          <cell r="B389" t="str">
            <v>GPGC2-8VS(165)</v>
          </cell>
          <cell r="C389" t="str">
            <v>DUBGC8SF-SPN17E</v>
          </cell>
          <cell r="D389">
            <v>1</v>
          </cell>
          <cell r="E389" t="str">
            <v>AB PP DC GC2-8V GPAUTO BLK STUD</v>
          </cell>
        </row>
        <row r="390">
          <cell r="B390" t="str">
            <v>GPMFN45-P</v>
          </cell>
          <cell r="C390" t="str">
            <v>UUBN55CL-CP117E</v>
          </cell>
          <cell r="D390">
            <v>1</v>
          </cell>
          <cell r="E390" t="str">
            <v>AB PP UB GP-AUTO DIN55-MF W/45AH +R</v>
          </cell>
        </row>
        <row r="391">
          <cell r="B391" t="str">
            <v>GPMFN55-P</v>
          </cell>
          <cell r="C391" t="str">
            <v>UUBN55EL-CP117E</v>
          </cell>
          <cell r="D391">
            <v>1</v>
          </cell>
          <cell r="E391" t="str">
            <v>AB PP UB GP-AUTO DIN55-MF +R</v>
          </cell>
        </row>
        <row r="392">
          <cell r="B392" t="str">
            <v>GPMFN66-P</v>
          </cell>
          <cell r="C392" t="str">
            <v>UUBN66DL-CP117E</v>
          </cell>
          <cell r="D392">
            <v>1</v>
          </cell>
          <cell r="E392" t="str">
            <v>AB PP UB GP-AUTO DIN66-MF +R</v>
          </cell>
        </row>
        <row r="393">
          <cell r="B393" t="str">
            <v>GPN40L-MF-P</v>
          </cell>
          <cell r="C393" t="str">
            <v>UUBC24CL-CP117E</v>
          </cell>
          <cell r="D393">
            <v>1</v>
          </cell>
          <cell r="E393" t="str">
            <v>AB PP UB GP-AUTO N40-MFCP BLK +R</v>
          </cell>
        </row>
        <row r="394">
          <cell r="B394" t="str">
            <v>GPN40-MF-P</v>
          </cell>
          <cell r="C394" t="str">
            <v>UUBC24CR-CP117E</v>
          </cell>
          <cell r="D394">
            <v>1</v>
          </cell>
          <cell r="E394" t="str">
            <v>AB PP UB GP-AUTO N40-MFCP BLK +L</v>
          </cell>
        </row>
        <row r="395">
          <cell r="B395" t="str">
            <v>GPN50-MF-P</v>
          </cell>
          <cell r="C395" t="str">
            <v>UUBG24BR-CP317E</v>
          </cell>
          <cell r="D395">
            <v>1</v>
          </cell>
          <cell r="E395" t="str">
            <v>AB PP UNFORMED N50 +L GP-AUTOBATT</v>
          </cell>
        </row>
        <row r="396">
          <cell r="B396" t="str">
            <v>GPN50ZL-MF-P</v>
          </cell>
          <cell r="C396" t="str">
            <v>UUBG24CL-CP317E</v>
          </cell>
          <cell r="D396">
            <v>1</v>
          </cell>
          <cell r="E396" t="str">
            <v>AB PP UB GP-AUTO N50ZL-MF +R</v>
          </cell>
        </row>
        <row r="397">
          <cell r="B397" t="str">
            <v>GPN50Z-MF-P</v>
          </cell>
          <cell r="C397" t="str">
            <v>UUBG24CR-CP317E</v>
          </cell>
          <cell r="D397">
            <v>1</v>
          </cell>
          <cell r="E397" t="str">
            <v>AB PP UB GP-AUTO N50Z-MF +L</v>
          </cell>
        </row>
        <row r="398">
          <cell r="B398" t="str">
            <v>GPN70L-MF-P</v>
          </cell>
          <cell r="C398" t="str">
            <v>UUBG27CL-CP317E</v>
          </cell>
          <cell r="D398">
            <v>1</v>
          </cell>
          <cell r="E398" t="str">
            <v>AB PP UB GP-AUTO N70L-MF +R</v>
          </cell>
        </row>
        <row r="399">
          <cell r="B399" t="str">
            <v>GPN70-MF-P</v>
          </cell>
          <cell r="C399" t="str">
            <v>UUBG27CR-CP317E</v>
          </cell>
          <cell r="D399">
            <v>1</v>
          </cell>
          <cell r="E399" t="str">
            <v>AB PP UB GP-AUTO N70-MF +L</v>
          </cell>
        </row>
        <row r="400">
          <cell r="B400" t="str">
            <v>GPN70ZL-MF-P</v>
          </cell>
          <cell r="C400" t="str">
            <v>UUBG27EL-CP317E</v>
          </cell>
          <cell r="D400">
            <v>1</v>
          </cell>
          <cell r="E400" t="str">
            <v>AB PP UB GP-AUTO N70ZL-MF +R</v>
          </cell>
        </row>
        <row r="401">
          <cell r="B401" t="str">
            <v>GPN70Z-MF-P</v>
          </cell>
          <cell r="C401" t="str">
            <v>UUBG27ER-CP317E</v>
          </cell>
          <cell r="D401">
            <v>1</v>
          </cell>
          <cell r="E401" t="str">
            <v>AB PP UB GP-AUTO N70Z-MF +L</v>
          </cell>
        </row>
        <row r="402">
          <cell r="B402" t="str">
            <v>GPNS40ZL-MF-P</v>
          </cell>
          <cell r="C402" t="str">
            <v>UUBB20CB-CP117E</v>
          </cell>
          <cell r="D402">
            <v>1</v>
          </cell>
          <cell r="E402" t="str">
            <v>AB PP WC GPAUTOBAT MAL NS40ZL-MF +R SML</v>
          </cell>
        </row>
        <row r="403">
          <cell r="B403" t="str">
            <v>GPNS50L-MF-P</v>
          </cell>
          <cell r="C403" t="str">
            <v>UUBD23BL-CP317E</v>
          </cell>
          <cell r="D403">
            <v>1</v>
          </cell>
          <cell r="E403" t="str">
            <v>AB PP UB GP-AUTO NS50L-MF +R</v>
          </cell>
        </row>
        <row r="404">
          <cell r="B404" t="str">
            <v>GPNS50-MF-P</v>
          </cell>
          <cell r="C404" t="str">
            <v>UUBD23BR-CP317E</v>
          </cell>
          <cell r="D404">
            <v>1</v>
          </cell>
          <cell r="E404" t="str">
            <v>AB PP UB GP-AUTO NS50-MF +L</v>
          </cell>
        </row>
        <row r="405">
          <cell r="B405" t="str">
            <v>GPNS50ZL-MF-P</v>
          </cell>
          <cell r="C405" t="str">
            <v>UUBD23CL-CP317E</v>
          </cell>
          <cell r="D405">
            <v>1</v>
          </cell>
          <cell r="E405" t="str">
            <v>AB PP UB GP-AUTO NS50ZL-MF +R</v>
          </cell>
        </row>
        <row r="406">
          <cell r="B406" t="str">
            <v>GPNS50Z-MF-P</v>
          </cell>
          <cell r="C406" t="str">
            <v>UUBD23CR-CP317E</v>
          </cell>
          <cell r="D406">
            <v>1</v>
          </cell>
          <cell r="E406" t="str">
            <v>AB PP UB GP-AUTO NS50Z-MF +L</v>
          </cell>
        </row>
        <row r="407">
          <cell r="B407" t="str">
            <v>GPNS60L-MF-P</v>
          </cell>
          <cell r="C407" t="str">
            <v>UUBB24BB-CP317E</v>
          </cell>
          <cell r="D407">
            <v>1</v>
          </cell>
          <cell r="E407" t="str">
            <v>AB PP UB GP-AUTO NS60L-MF +R</v>
          </cell>
        </row>
        <row r="408">
          <cell r="B408" t="str">
            <v>GPNS60LS-MF-P</v>
          </cell>
          <cell r="C408" t="str">
            <v>UUBB24BL-CP317E</v>
          </cell>
          <cell r="D408">
            <v>1</v>
          </cell>
          <cell r="E408" t="str">
            <v>AB PP UB GP-AUTO NS60LS-MF +R</v>
          </cell>
        </row>
        <row r="409">
          <cell r="B409" t="str">
            <v>GPNS60-MF-P</v>
          </cell>
          <cell r="C409" t="str">
            <v>UUBB24BA-CP317E</v>
          </cell>
          <cell r="D409">
            <v>1</v>
          </cell>
          <cell r="E409" t="str">
            <v>AB PP UB GP-AUTO NS60-MF +L</v>
          </cell>
        </row>
        <row r="410">
          <cell r="B410" t="str">
            <v>GPNS60S-MF-P</v>
          </cell>
          <cell r="C410" t="str">
            <v>UUBB24BR-CP317E</v>
          </cell>
          <cell r="D410">
            <v>1</v>
          </cell>
          <cell r="E410" t="str">
            <v>AB PP UB GP-AUTO NS60S-MF +L</v>
          </cell>
        </row>
        <row r="411">
          <cell r="B411" t="str">
            <v>GPNS60ZL-MF-P</v>
          </cell>
          <cell r="C411" t="str">
            <v>UUBB24DB-CP317E</v>
          </cell>
          <cell r="D411">
            <v>1</v>
          </cell>
          <cell r="E411" t="str">
            <v>AB PP UB GP-AUTO NS60ZL-MF +R</v>
          </cell>
        </row>
        <row r="412">
          <cell r="B412" t="str">
            <v>GPNS60Z-MF-P</v>
          </cell>
          <cell r="C412" t="str">
            <v>UUBB24DA-CP317E</v>
          </cell>
          <cell r="D412">
            <v>1</v>
          </cell>
          <cell r="E412" t="str">
            <v>AB PP UB GP-AUTO NS60Z-MF +L</v>
          </cell>
        </row>
        <row r="413">
          <cell r="B413" t="str">
            <v>GPNS70L-MF-P</v>
          </cell>
          <cell r="C413" t="str">
            <v>UUBG24DL-CP317E</v>
          </cell>
          <cell r="D413">
            <v>1</v>
          </cell>
          <cell r="E413" t="str">
            <v>AB PP UB GP-AUTO NS70L-MF +R</v>
          </cell>
        </row>
        <row r="414">
          <cell r="B414" t="str">
            <v>GPNS70-MF-P</v>
          </cell>
          <cell r="C414" t="str">
            <v>UUBG24DR-CP317E</v>
          </cell>
          <cell r="D414">
            <v>1</v>
          </cell>
          <cell r="E414" t="str">
            <v>AB PP UB GP-AUTO NS70-MF +L</v>
          </cell>
        </row>
        <row r="415">
          <cell r="B415" t="str">
            <v>GPNX110L-MF-P</v>
          </cell>
          <cell r="C415" t="str">
            <v>UUBG24EL-CP317E</v>
          </cell>
          <cell r="D415">
            <v>1</v>
          </cell>
          <cell r="E415" t="str">
            <v>AB PP UB GP-AUTO NX110L-MF +R</v>
          </cell>
        </row>
        <row r="416">
          <cell r="B416" t="str">
            <v>GPNX110-MF-P</v>
          </cell>
          <cell r="C416" t="str">
            <v>UUBG24ER-CP317E</v>
          </cell>
          <cell r="D416">
            <v>1</v>
          </cell>
          <cell r="E416" t="str">
            <v>AB PP UB GP-AUTO NX110-MF +L</v>
          </cell>
        </row>
        <row r="417">
          <cell r="B417" t="str">
            <v>GPNX120L-MF-P</v>
          </cell>
          <cell r="C417" t="str">
            <v>UUBG27GL-CP317E</v>
          </cell>
          <cell r="D417">
            <v>1</v>
          </cell>
          <cell r="E417" t="str">
            <v>AB PP UB GP-AUTO NX120L-MF +R</v>
          </cell>
        </row>
        <row r="418">
          <cell r="B418" t="str">
            <v>GPNX120-MF-P</v>
          </cell>
          <cell r="C418" t="str">
            <v>UUBG27GR-CP317E</v>
          </cell>
          <cell r="D418">
            <v>1</v>
          </cell>
          <cell r="E418" t="str">
            <v>AB PP UB GP-AUTO NX120-MF +L</v>
          </cell>
        </row>
        <row r="419">
          <cell r="B419" t="str">
            <v>HSC24ALD-P</v>
          </cell>
          <cell r="C419" t="str">
            <v>EHSC24BL-SPN00L</v>
          </cell>
          <cell r="D419">
            <v>1</v>
          </cell>
          <cell r="E419" t="str">
            <v>AB PP DC HEADSTART C24 +R</v>
          </cell>
        </row>
        <row r="420">
          <cell r="B420" t="str">
            <v>HSD22ALD-P</v>
          </cell>
          <cell r="C420" t="str">
            <v>EHSD23AL-SPN00L</v>
          </cell>
          <cell r="D420">
            <v>1</v>
          </cell>
          <cell r="E420" t="str">
            <v>AB PP DC HEADSTART-OMMC D22 +R AUTO</v>
          </cell>
        </row>
        <row r="421">
          <cell r="B421" t="str">
            <v>HSD26ALD-P</v>
          </cell>
          <cell r="C421" t="str">
            <v>EHSD26AL-SPN00L</v>
          </cell>
          <cell r="D421">
            <v>1</v>
          </cell>
          <cell r="E421" t="str">
            <v>AB PP DC HEADSTART 2SMF/D26 +R</v>
          </cell>
        </row>
        <row r="422">
          <cell r="B422" t="str">
            <v>HSD31ALD-P</v>
          </cell>
          <cell r="C422" t="str">
            <v>EHSD31AL-SPN00L</v>
          </cell>
          <cell r="D422">
            <v>1</v>
          </cell>
          <cell r="E422" t="str">
            <v>AB PP DC HEADSTART 3SMF/D31 +R</v>
          </cell>
        </row>
        <row r="423">
          <cell r="B423" t="str">
            <v>HSE41ALD-P</v>
          </cell>
          <cell r="C423" t="str">
            <v>EHSE41AL-SPN00L</v>
          </cell>
          <cell r="D423">
            <v>1</v>
          </cell>
          <cell r="E423" t="str">
            <v>AB PP DC HEADSTART-OMMC N100 +R AUTO</v>
          </cell>
        </row>
        <row r="424">
          <cell r="B424" t="str">
            <v>HSF51ALD-P</v>
          </cell>
          <cell r="C424" t="str">
            <v>EHSF51BL-SPN00L</v>
          </cell>
          <cell r="D424">
            <v>1</v>
          </cell>
          <cell r="E424" t="str">
            <v>AB PP DC HEADSTART 2D/F51AL (N120)</v>
          </cell>
        </row>
        <row r="425">
          <cell r="B425" t="str">
            <v>HSG51ALD-P</v>
          </cell>
          <cell r="C425" t="str">
            <v>EHSG51AL-SPN00L</v>
          </cell>
          <cell r="D425">
            <v>1</v>
          </cell>
          <cell r="E425" t="str">
            <v>AB PP DC PVT-HEADSTART G51ALD (N150/4D)</v>
          </cell>
        </row>
        <row r="426">
          <cell r="B426" t="str">
            <v>HSH52ALD-P</v>
          </cell>
          <cell r="C426" t="str">
            <v>EHSH52BL-SPN00L</v>
          </cell>
          <cell r="D426">
            <v>1</v>
          </cell>
          <cell r="E426" t="str">
            <v>AB PP DC HEADSTART-OMMC N200 +R AUTO</v>
          </cell>
        </row>
        <row r="427">
          <cell r="B427" t="str">
            <v>IQDIN66-MF-P</v>
          </cell>
          <cell r="C427" t="str">
            <v>WMGN66DL-CP131E</v>
          </cell>
          <cell r="D427">
            <v>1</v>
          </cell>
          <cell r="E427" t="str">
            <v>AB PP WC MGOLD-IRAQ DIN66 AUTO +R</v>
          </cell>
        </row>
        <row r="428">
          <cell r="B428" t="str">
            <v>IQDIN88-MF-P</v>
          </cell>
          <cell r="C428" t="str">
            <v>WMGN88BL-CP131E</v>
          </cell>
          <cell r="D428">
            <v>1</v>
          </cell>
          <cell r="E428" t="str">
            <v>AB PP WC MGOLD-IRAQ DIN88 AUTO +R</v>
          </cell>
        </row>
        <row r="429">
          <cell r="B429" t="str">
            <v>IQE41BLD-P</v>
          </cell>
          <cell r="C429" t="str">
            <v>DMTE41CL-SPN31E</v>
          </cell>
          <cell r="D429">
            <v>1</v>
          </cell>
          <cell r="E429" t="str">
            <v>AB PP DC TRUCK MSTR-IRAQ N100L AUTO +R</v>
          </cell>
        </row>
        <row r="430">
          <cell r="B430" t="str">
            <v>IQG51ALD-P</v>
          </cell>
          <cell r="C430" t="str">
            <v>DMTG51BL-SPN31E</v>
          </cell>
          <cell r="D430">
            <v>1</v>
          </cell>
          <cell r="E430" t="str">
            <v>DELETED MATERIAL! DO NOT USE! DCN# 13705</v>
          </cell>
        </row>
        <row r="431">
          <cell r="B431" t="str">
            <v>IQN150D-P</v>
          </cell>
          <cell r="C431" t="str">
            <v>DMTG51DL-SPN31E</v>
          </cell>
          <cell r="D431">
            <v>1</v>
          </cell>
          <cell r="E431" t="str">
            <v>AB PP DC TRUCK MSTR-IRAQ N150 AUTO +R</v>
          </cell>
        </row>
        <row r="432">
          <cell r="B432" t="str">
            <v>IQN50ZL-MF-P</v>
          </cell>
          <cell r="C432" t="str">
            <v>WMGG24CL-CP331E</v>
          </cell>
          <cell r="D432">
            <v>1</v>
          </cell>
          <cell r="E432" t="str">
            <v>AB PP WC MGOLD-IRAQ N50ZL  AUTO +R</v>
          </cell>
        </row>
        <row r="433">
          <cell r="B433" t="str">
            <v>IQN70L-MF-P</v>
          </cell>
          <cell r="C433" t="str">
            <v>WMGG27CL-CP331E</v>
          </cell>
          <cell r="D433">
            <v>1</v>
          </cell>
          <cell r="E433" t="str">
            <v>AB PP WC MGOLD-IRAQ N70L  AUTO +R</v>
          </cell>
        </row>
        <row r="434">
          <cell r="B434" t="str">
            <v>IQNS40ZL-MF-P</v>
          </cell>
          <cell r="C434" t="str">
            <v>WMGB20CB-CP131E</v>
          </cell>
          <cell r="D434">
            <v>1</v>
          </cell>
          <cell r="E434" t="str">
            <v>AB PP GP MGOLD-IRAQ NS40ZL OFFSET JIS +R</v>
          </cell>
        </row>
        <row r="435">
          <cell r="B435" t="str">
            <v>IZC24ALD-P</v>
          </cell>
          <cell r="C435" t="str">
            <v>EIZC24BL-SPN00L</v>
          </cell>
          <cell r="D435">
            <v>1</v>
          </cell>
          <cell r="E435" t="str">
            <v>AB PP DC IZU C24 +R</v>
          </cell>
        </row>
        <row r="436">
          <cell r="B436" t="str">
            <v>IZD22ALD-P</v>
          </cell>
          <cell r="C436" t="str">
            <v>EIZD23AL-SPN00L</v>
          </cell>
          <cell r="D436">
            <v>1</v>
          </cell>
          <cell r="E436" t="str">
            <v>AB PP DC IZU 1SMF/D22 +R</v>
          </cell>
        </row>
        <row r="437">
          <cell r="B437" t="str">
            <v>IZD26ALD-P</v>
          </cell>
          <cell r="C437" t="str">
            <v>EIZD26AL-SPN00L</v>
          </cell>
          <cell r="D437">
            <v>1</v>
          </cell>
          <cell r="E437" t="str">
            <v>AB PP DC IZU 2SMF/D26 +R</v>
          </cell>
        </row>
        <row r="438">
          <cell r="B438" t="str">
            <v>IZD31ALD-P</v>
          </cell>
          <cell r="C438" t="str">
            <v>EIZD31AL-SPN00L</v>
          </cell>
          <cell r="D438">
            <v>1</v>
          </cell>
          <cell r="E438" t="str">
            <v>AB PP DC IZU 3SMF/D31 +R</v>
          </cell>
        </row>
        <row r="439">
          <cell r="B439" t="str">
            <v>IZE41ALD-P</v>
          </cell>
          <cell r="C439" t="str">
            <v>EIZE41AL-SPN00L</v>
          </cell>
          <cell r="D439">
            <v>1</v>
          </cell>
          <cell r="E439" t="str">
            <v>AB PP DC IZU-OMMC N100 +R AUTO</v>
          </cell>
        </row>
        <row r="440">
          <cell r="B440" t="str">
            <v>IZF51ALD-P</v>
          </cell>
          <cell r="C440" t="str">
            <v>EIZF51BL-SPN00L</v>
          </cell>
          <cell r="D440">
            <v>1</v>
          </cell>
          <cell r="E440" t="str">
            <v>AB PP DC IZU 2D/F51AL (N120)</v>
          </cell>
        </row>
        <row r="441">
          <cell r="B441" t="str">
            <v>IZG51ALD-P</v>
          </cell>
          <cell r="C441" t="str">
            <v>EIZG51AL-SPN00L</v>
          </cell>
          <cell r="D441">
            <v>1</v>
          </cell>
          <cell r="E441" t="str">
            <v>AB PP DC IZU G51/N150</v>
          </cell>
        </row>
        <row r="442">
          <cell r="B442" t="str">
            <v>IZH52ALD-P</v>
          </cell>
          <cell r="C442" t="str">
            <v>EIZH52BL-SPN00L</v>
          </cell>
          <cell r="D442">
            <v>1</v>
          </cell>
          <cell r="E442" t="str">
            <v>AB PP DC IZU-OMMC N200 +R AUTO</v>
          </cell>
        </row>
        <row r="443">
          <cell r="B443" t="str">
            <v>MAB24AL-MF-P</v>
          </cell>
          <cell r="C443" t="str">
            <v>WMGB24BB-CP313E</v>
          </cell>
          <cell r="D443">
            <v>1</v>
          </cell>
          <cell r="E443" t="str">
            <v>AB PP WC EX-MALAYSIA NS60L MF +R SML</v>
          </cell>
        </row>
        <row r="444">
          <cell r="B444" t="str">
            <v>MAB24AR-MF-P</v>
          </cell>
          <cell r="C444" t="str">
            <v>WMGB24BA-CP313E</v>
          </cell>
          <cell r="D444">
            <v>1</v>
          </cell>
          <cell r="E444" t="str">
            <v>AB PP WC EX-MALAYSIA NS60 MF +L SML</v>
          </cell>
        </row>
        <row r="445">
          <cell r="B445" t="str">
            <v>MAG49-MF-P</v>
          </cell>
          <cell r="C445" t="str">
            <v>WMGG49AL-CP113E</v>
          </cell>
          <cell r="D445">
            <v>1</v>
          </cell>
          <cell r="E445" t="str">
            <v>AB PP UB SYARIKAT-MALYSIA DIN100/G49 +R</v>
          </cell>
        </row>
        <row r="446">
          <cell r="B446" t="str">
            <v>MAMFN55-P</v>
          </cell>
          <cell r="C446" t="str">
            <v>WMGN55EL-CP113E</v>
          </cell>
          <cell r="D446">
            <v>1</v>
          </cell>
          <cell r="E446" t="str">
            <v>AB PP WC SYARIKAT DIN55-MF +R</v>
          </cell>
        </row>
        <row r="447">
          <cell r="B447" t="str">
            <v>MAMFN66-P</v>
          </cell>
          <cell r="C447" t="str">
            <v>WMGN66DL-CP113E</v>
          </cell>
          <cell r="D447">
            <v>1</v>
          </cell>
          <cell r="E447" t="str">
            <v>AB PP WC SYARIKAT DIN66-MF +R</v>
          </cell>
        </row>
        <row r="448">
          <cell r="B448" t="str">
            <v>MAN50ZL-MF-P</v>
          </cell>
          <cell r="C448" t="str">
            <v>WMGG24CL-CP313E</v>
          </cell>
          <cell r="D448">
            <v>1</v>
          </cell>
          <cell r="E448" t="str">
            <v>AB PP UB SYARIKAT N50ZL-MF +R</v>
          </cell>
        </row>
        <row r="449">
          <cell r="B449" t="str">
            <v>MAN50Z-MF-P</v>
          </cell>
          <cell r="C449" t="str">
            <v>UMGG24CR-CP313E</v>
          </cell>
          <cell r="D449">
            <v>1</v>
          </cell>
          <cell r="E449" t="str">
            <v>AB PP UB SYARIKAT N50Z-MF +L</v>
          </cell>
        </row>
        <row r="450">
          <cell r="B450" t="str">
            <v>MAN70L-MF-P</v>
          </cell>
          <cell r="C450" t="str">
            <v>UMGG27CL-CP313E</v>
          </cell>
          <cell r="D450">
            <v>1</v>
          </cell>
          <cell r="E450" t="str">
            <v>AB PP UB SYARIKAT N70L-MF +R</v>
          </cell>
        </row>
        <row r="451">
          <cell r="B451" t="str">
            <v>MAN70-MF-P</v>
          </cell>
          <cell r="C451" t="str">
            <v>UMGG27CR-CP313E</v>
          </cell>
          <cell r="D451">
            <v>1</v>
          </cell>
          <cell r="E451" t="str">
            <v>AB PP UB SYARIKAT N70-MF +L</v>
          </cell>
        </row>
        <row r="452">
          <cell r="B452" t="str">
            <v>MAN70ZL-MF-P</v>
          </cell>
          <cell r="C452" t="str">
            <v>UMGG27EL-CP313E</v>
          </cell>
          <cell r="D452">
            <v>1</v>
          </cell>
          <cell r="E452" t="str">
            <v>AB PP UB SYARIKAT N70ZL-MF +R</v>
          </cell>
        </row>
        <row r="453">
          <cell r="B453" t="str">
            <v>MAN70Z-MF-P</v>
          </cell>
          <cell r="C453" t="str">
            <v>UMGG27ER-CP313E</v>
          </cell>
          <cell r="D453">
            <v>1</v>
          </cell>
          <cell r="E453" t="str">
            <v>AB PP UB SYARIKAT N70Z-MF +L</v>
          </cell>
        </row>
        <row r="454">
          <cell r="B454" t="str">
            <v>MANS40L-P</v>
          </cell>
          <cell r="C454" t="str">
            <v>WMGB20CC-TS113E</v>
          </cell>
          <cell r="D454">
            <v>1</v>
          </cell>
          <cell r="E454" t="str">
            <v>AB PP WC EX-SYARIKAT MAL MF NS40ZL+R SML</v>
          </cell>
        </row>
        <row r="455">
          <cell r="B455" t="str">
            <v>MANS50L-MF-P</v>
          </cell>
          <cell r="C455" t="str">
            <v>UMGD23BL-CP313E</v>
          </cell>
          <cell r="D455">
            <v>1</v>
          </cell>
          <cell r="E455" t="str">
            <v>AB PP UB SYARIKAT NS50L-MF +R</v>
          </cell>
        </row>
        <row r="456">
          <cell r="B456" t="str">
            <v>MANS50-MF-P</v>
          </cell>
          <cell r="C456" t="str">
            <v>UMGD23BR-CP313E</v>
          </cell>
          <cell r="D456">
            <v>1</v>
          </cell>
          <cell r="E456" t="str">
            <v>AB PP UB SYARIKAT NS50-MF +L</v>
          </cell>
        </row>
        <row r="457">
          <cell r="B457" t="str">
            <v>MANS50ZL-MF-P</v>
          </cell>
          <cell r="C457" t="str">
            <v>UMGD23DL-CP313E</v>
          </cell>
          <cell r="D457">
            <v>1</v>
          </cell>
          <cell r="E457" t="str">
            <v>AB PP UB SYARIKAT NS50ZL-MF +R</v>
          </cell>
        </row>
        <row r="458">
          <cell r="B458" t="str">
            <v>MANS50Z-MF-P</v>
          </cell>
          <cell r="C458" t="str">
            <v>UMGD23DR-CP313E</v>
          </cell>
          <cell r="D458">
            <v>1</v>
          </cell>
          <cell r="E458" t="str">
            <v>AB PP UB SYARIKAT NS50Z-MF +L</v>
          </cell>
        </row>
        <row r="459">
          <cell r="B459" t="str">
            <v>MANS60L-MF-P</v>
          </cell>
          <cell r="C459" t="str">
            <v>UMGB24BB-CP313E</v>
          </cell>
          <cell r="D459">
            <v>1</v>
          </cell>
          <cell r="E459" t="str">
            <v>AB PP UB SYARIKAT NS60L-MF +R</v>
          </cell>
        </row>
        <row r="460">
          <cell r="B460" t="str">
            <v>MANS60LS-MF-P</v>
          </cell>
          <cell r="C460" t="str">
            <v>UMGB24BL-CP313E</v>
          </cell>
          <cell r="D460">
            <v>1</v>
          </cell>
          <cell r="E460" t="str">
            <v>AB PP UB SYARIKAT NS60LS-MF +R</v>
          </cell>
        </row>
        <row r="461">
          <cell r="B461" t="str">
            <v>MANS60-MF-P</v>
          </cell>
          <cell r="C461" t="str">
            <v>UMGB24BA-CP313E</v>
          </cell>
          <cell r="D461">
            <v>1</v>
          </cell>
          <cell r="E461" t="str">
            <v>AB PP UB SYARIKAT NS60-MF +L</v>
          </cell>
        </row>
        <row r="462">
          <cell r="B462" t="str">
            <v>MANS60S-MF-P</v>
          </cell>
          <cell r="C462" t="str">
            <v>UMGB24BR-CP313E</v>
          </cell>
          <cell r="D462">
            <v>1</v>
          </cell>
          <cell r="E462" t="str">
            <v>AB PP UB SYARIKAT NS60S-MF +L</v>
          </cell>
        </row>
        <row r="463">
          <cell r="B463" t="str">
            <v>MANS60ZL-MF-P</v>
          </cell>
          <cell r="C463" t="str">
            <v>UMGB24DB-CP313E</v>
          </cell>
          <cell r="D463">
            <v>1</v>
          </cell>
          <cell r="E463" t="str">
            <v>AB PP UB SYARIKAT NS60ZL-MF +R</v>
          </cell>
        </row>
        <row r="464">
          <cell r="B464" t="str">
            <v>MANS60Z-MF-P</v>
          </cell>
          <cell r="C464" t="str">
            <v>UMGB24DA-CP313E</v>
          </cell>
          <cell r="D464">
            <v>1</v>
          </cell>
          <cell r="E464" t="str">
            <v>AB PP UB SYARIKAT NS60Z-MF +L</v>
          </cell>
        </row>
        <row r="465">
          <cell r="B465" t="str">
            <v>MANS70L-MF-P</v>
          </cell>
          <cell r="C465" t="str">
            <v>UMGG24DL-CP313E</v>
          </cell>
          <cell r="D465">
            <v>1</v>
          </cell>
          <cell r="E465" t="str">
            <v>AB PP UB SYARIKAT NS70L-MF +R</v>
          </cell>
        </row>
        <row r="466">
          <cell r="B466" t="str">
            <v>MANS70L-P</v>
          </cell>
          <cell r="C466" t="str">
            <v>WMGG24DL-CP313E</v>
          </cell>
          <cell r="D466">
            <v>1</v>
          </cell>
          <cell r="E466" t="str">
            <v>AB PP WC EX-SYARIKAT MAL NS70L +R MF</v>
          </cell>
        </row>
        <row r="467">
          <cell r="B467" t="str">
            <v>MANS70-MF-P</v>
          </cell>
          <cell r="C467" t="str">
            <v>UMGG24DR-CP313E</v>
          </cell>
          <cell r="D467">
            <v>1</v>
          </cell>
          <cell r="E467" t="str">
            <v>AB PP UB SYARIKAT NS70-MF +L</v>
          </cell>
        </row>
        <row r="468">
          <cell r="B468" t="str">
            <v>MANS70-P</v>
          </cell>
          <cell r="C468" t="str">
            <v>WMGG24DR-CP313E</v>
          </cell>
          <cell r="D468">
            <v>1</v>
          </cell>
          <cell r="E468" t="str">
            <v>AB PP WC EX-SYARIKAT MAL NS70 +L MF</v>
          </cell>
        </row>
        <row r="469">
          <cell r="B469" t="str">
            <v>MANX110L-MF-P</v>
          </cell>
          <cell r="C469" t="str">
            <v>UMGG24EL-CP313E</v>
          </cell>
          <cell r="D469">
            <v>1</v>
          </cell>
          <cell r="E469" t="str">
            <v>AB PP UB SYARIKAT NX110L-MF +R</v>
          </cell>
        </row>
        <row r="470">
          <cell r="B470" t="str">
            <v>MANX110-MF-P</v>
          </cell>
          <cell r="C470" t="str">
            <v>UMGG24ER-CP313E</v>
          </cell>
          <cell r="D470">
            <v>1</v>
          </cell>
          <cell r="E470" t="str">
            <v>AB PP UB SYARIKAT NX110-MF +L</v>
          </cell>
        </row>
        <row r="471">
          <cell r="B471" t="str">
            <v>MANX120-7</v>
          </cell>
          <cell r="C471" t="str">
            <v>WMGG27ER-CP313E</v>
          </cell>
          <cell r="D471">
            <v>1</v>
          </cell>
          <cell r="E471" t="str">
            <v>AB PP WC EX-SYARIKAT NX120/N70Z +L MF</v>
          </cell>
        </row>
        <row r="472">
          <cell r="B472" t="str">
            <v>MANX120L-MF-P</v>
          </cell>
          <cell r="C472" t="str">
            <v>UMGG27GL-CP313E</v>
          </cell>
          <cell r="D472">
            <v>1</v>
          </cell>
          <cell r="E472" t="str">
            <v>AB PP UB SYARIKAT NX120L-MF +R</v>
          </cell>
        </row>
        <row r="473">
          <cell r="B473" t="str">
            <v>MANX120-MF-P</v>
          </cell>
          <cell r="C473" t="str">
            <v>UMGG27GR-CP313E</v>
          </cell>
          <cell r="D473">
            <v>1</v>
          </cell>
          <cell r="E473" t="str">
            <v>AB PP UB SYARIKAT NX120-MF +L</v>
          </cell>
        </row>
        <row r="474">
          <cell r="B474" t="str">
            <v>MB6TND-R</v>
          </cell>
          <cell r="C474" t="str">
            <v>EMB6TNPR-ASN00L</v>
          </cell>
          <cell r="D474">
            <v>1</v>
          </cell>
          <cell r="E474" t="str">
            <v>AB PHR DC MOTOLITE 6TN</v>
          </cell>
        </row>
        <row r="475">
          <cell r="B475" t="str">
            <v>MB6TNZ-R(23PPC)</v>
          </cell>
          <cell r="C475" t="str">
            <v>EMB6TNQR-ASN00L</v>
          </cell>
          <cell r="D475">
            <v>1</v>
          </cell>
          <cell r="E475" t="str">
            <v>AB PHR DC MOTOLITE 6TNZ(23PPC)</v>
          </cell>
        </row>
        <row r="476">
          <cell r="B476" t="str">
            <v>MBD26ALD-H</v>
          </cell>
          <cell r="C476" t="str">
            <v>EMCD26CL-ASN00L</v>
          </cell>
          <cell r="D476">
            <v>1</v>
          </cell>
          <cell r="E476" t="str">
            <v>AB PHR DC MOTOLITE 2SMF/D26AL +R</v>
          </cell>
        </row>
        <row r="477">
          <cell r="B477" t="str">
            <v>MBD31ALD-H</v>
          </cell>
          <cell r="C477" t="str">
            <v>EMCD31CL-ASN00L</v>
          </cell>
          <cell r="D477">
            <v>1</v>
          </cell>
          <cell r="E477" t="str">
            <v>AB PHR DC MOTOLITE 3SMF/D31AL +R</v>
          </cell>
        </row>
        <row r="478">
          <cell r="B478" t="str">
            <v>MBE41ALD-H</v>
          </cell>
          <cell r="C478" t="str">
            <v>EMCE41CL-ASN00L</v>
          </cell>
          <cell r="D478">
            <v>1</v>
          </cell>
          <cell r="E478" t="str">
            <v>AB PHR DC MOTOLITE 6SMF/E41AL +R</v>
          </cell>
        </row>
        <row r="479">
          <cell r="B479" t="str">
            <v>MBF51AD-H</v>
          </cell>
          <cell r="C479" t="str">
            <v>EMCF51CL-ASN00L</v>
          </cell>
          <cell r="D479">
            <v>1</v>
          </cell>
          <cell r="E479" t="str">
            <v>AB PHR DC MOTOLITE 2D/F51A (N120)</v>
          </cell>
        </row>
        <row r="480">
          <cell r="B480" t="str">
            <v>MBG51AD-H</v>
          </cell>
          <cell r="C480" t="str">
            <v>EMCG51CL-ASN00L</v>
          </cell>
          <cell r="D480">
            <v>1</v>
          </cell>
          <cell r="E480" t="str">
            <v>AB PHR DC MOTOLITE 4D/G51A (N150)</v>
          </cell>
        </row>
        <row r="481">
          <cell r="B481" t="str">
            <v>MBH52AD-R</v>
          </cell>
          <cell r="C481" t="str">
            <v>EMCH52CL-ASN00L</v>
          </cell>
          <cell r="D481">
            <v>1</v>
          </cell>
          <cell r="E481" t="str">
            <v>AB PHR DC MOTOLITE 8D/H52AD (N200)</v>
          </cell>
        </row>
        <row r="482">
          <cell r="B482" t="str">
            <v>MC95D31LD-P</v>
          </cell>
          <cell r="C482" t="str">
            <v>DMCD316L-SPN28E</v>
          </cell>
          <cell r="D482">
            <v>1</v>
          </cell>
          <cell r="E482" t="str">
            <v>AB PP DC MCLASSIC CYP 95D31L +R</v>
          </cell>
        </row>
        <row r="483">
          <cell r="B483" t="str">
            <v>MC95D31RD-P</v>
          </cell>
          <cell r="C483" t="str">
            <v>DMCD316R-SPN28E</v>
          </cell>
          <cell r="D483">
            <v>1</v>
          </cell>
          <cell r="E483" t="str">
            <v>AB PP DC MCLASSIC CYP 95D31R +L</v>
          </cell>
        </row>
        <row r="484">
          <cell r="B484" t="str">
            <v>MCB24ALS-P-HD</v>
          </cell>
          <cell r="C484" t="str">
            <v>WMCB24CL-CPNHDL</v>
          </cell>
          <cell r="D484">
            <v>1</v>
          </cell>
          <cell r="E484" t="str">
            <v>AB PP WC MCLASSIC 1SNF/B24ALS - HONDA</v>
          </cell>
        </row>
        <row r="485">
          <cell r="B485" t="str">
            <v>MCN70ZD-P</v>
          </cell>
          <cell r="C485" t="str">
            <v>DMCD317R-SPN28E</v>
          </cell>
          <cell r="D485">
            <v>1</v>
          </cell>
          <cell r="E485" t="str">
            <v>AB PP DC MCLASSIC CYP N70Z +R</v>
          </cell>
        </row>
        <row r="486">
          <cell r="B486" t="str">
            <v>MCN70ZLD-P</v>
          </cell>
          <cell r="C486" t="str">
            <v>DMCD317L-SPN28E</v>
          </cell>
          <cell r="D486">
            <v>1</v>
          </cell>
          <cell r="E486" t="str">
            <v>AB PP DC MCLASSIC CYP N70ZL +R</v>
          </cell>
        </row>
        <row r="487">
          <cell r="B487" t="str">
            <v>MEC24BL-P</v>
          </cell>
          <cell r="C487" t="str">
            <v>WMEC24CL-CPN00L</v>
          </cell>
          <cell r="D487">
            <v>1</v>
          </cell>
          <cell r="E487" t="str">
            <v>AB PP WC MOTO-ENDURO 1SNF/C24BL +R</v>
          </cell>
        </row>
        <row r="488">
          <cell r="B488" t="str">
            <v>MED23BL-P</v>
          </cell>
          <cell r="C488" t="str">
            <v>WMED23CL-CPN00L</v>
          </cell>
          <cell r="D488">
            <v>1</v>
          </cell>
          <cell r="E488" t="str">
            <v>AB PP WC MOTO-ENDURO 1SMF/D23BL +R</v>
          </cell>
        </row>
        <row r="489">
          <cell r="B489" t="str">
            <v>MED26BL-P</v>
          </cell>
          <cell r="C489" t="str">
            <v>WMED26CL-CPN00L</v>
          </cell>
          <cell r="D489">
            <v>1</v>
          </cell>
          <cell r="E489" t="str">
            <v>AB PP WC MOTO-ENDURO 2SMF/D26BL +R</v>
          </cell>
        </row>
        <row r="490">
          <cell r="B490" t="str">
            <v>MED31AL-P</v>
          </cell>
          <cell r="C490" t="str">
            <v>WMED31CL-CPN00L</v>
          </cell>
          <cell r="D490">
            <v>1</v>
          </cell>
          <cell r="E490" t="str">
            <v>AB PP WC MOTO-ENDURO 3SMF/D31AL +R</v>
          </cell>
        </row>
        <row r="491">
          <cell r="B491" t="str">
            <v>MED31AL-PLDT</v>
          </cell>
          <cell r="C491" t="str">
            <v>WMED31CF-CPNPLL</v>
          </cell>
          <cell r="D491">
            <v>1</v>
          </cell>
          <cell r="E491" t="str">
            <v>AB PP WC MOTO ENDURO-PLDT 3SM +R</v>
          </cell>
        </row>
        <row r="492">
          <cell r="B492" t="str">
            <v>MFC24ALD-P</v>
          </cell>
          <cell r="C492" t="str">
            <v>EMFC24BL-SPN00L</v>
          </cell>
          <cell r="D492">
            <v>1</v>
          </cell>
          <cell r="E492" t="str">
            <v>AB PP DC MAGIC FORCE C24 +R</v>
          </cell>
        </row>
        <row r="493">
          <cell r="B493" t="str">
            <v>MFD22ALD-P</v>
          </cell>
          <cell r="C493" t="str">
            <v>EMFD23AL-SPN00L</v>
          </cell>
          <cell r="D493">
            <v>1</v>
          </cell>
          <cell r="E493" t="str">
            <v>AB PP DC MAGIC FORCE 1SMF/D22 +R</v>
          </cell>
        </row>
        <row r="494">
          <cell r="B494" t="str">
            <v>MFD26ALD-P</v>
          </cell>
          <cell r="C494" t="str">
            <v>EMFD26AL-SPN00L</v>
          </cell>
          <cell r="D494">
            <v>1</v>
          </cell>
          <cell r="E494" t="str">
            <v>AB PP DC MAGIC FORCE 2SMF/D26 +R</v>
          </cell>
        </row>
        <row r="495">
          <cell r="B495" t="str">
            <v>MFD31ALD-P</v>
          </cell>
          <cell r="C495" t="str">
            <v>EMFD31AL-SPN00L</v>
          </cell>
          <cell r="D495">
            <v>1</v>
          </cell>
          <cell r="E495" t="str">
            <v>AB PP DC MAGIC FORCE 3SMF/D31 +R</v>
          </cell>
        </row>
        <row r="496">
          <cell r="B496" t="str">
            <v>MFE41ALD-P</v>
          </cell>
          <cell r="C496" t="str">
            <v>EMFE41AL-SPN00L</v>
          </cell>
          <cell r="D496">
            <v>1</v>
          </cell>
          <cell r="E496" t="str">
            <v>AB PP DC MAGICFORCE-OMMC N100 +R AUTO</v>
          </cell>
        </row>
        <row r="497">
          <cell r="B497" t="str">
            <v>MFF51ALD-P</v>
          </cell>
          <cell r="C497" t="str">
            <v>EMFF51BL-SPN00L</v>
          </cell>
          <cell r="D497">
            <v>1</v>
          </cell>
          <cell r="E497" t="str">
            <v>AB PP DC MAGIC FORCE 2D/F51AL (N120)</v>
          </cell>
        </row>
        <row r="498">
          <cell r="B498" t="str">
            <v>MFG51ALD-P</v>
          </cell>
          <cell r="C498" t="str">
            <v>EMFG51AL-SPN00L</v>
          </cell>
          <cell r="D498">
            <v>1</v>
          </cell>
          <cell r="E498" t="str">
            <v>AB PP DC MAGIC FORCE G51 +R</v>
          </cell>
        </row>
        <row r="499">
          <cell r="B499" t="str">
            <v>MFH52ALD-P</v>
          </cell>
          <cell r="C499" t="str">
            <v>EMFH52BL-SPN00L</v>
          </cell>
          <cell r="D499">
            <v>1</v>
          </cell>
          <cell r="E499" t="str">
            <v>AB PP DC MAGICFORCE-OMMC N200 +R AUTO</v>
          </cell>
        </row>
        <row r="500">
          <cell r="B500" t="str">
            <v>MG75D23L-5MF-P</v>
          </cell>
          <cell r="C500" t="str">
            <v>WMGD23EL-CP428E</v>
          </cell>
          <cell r="D500">
            <v>1</v>
          </cell>
          <cell r="E500" t="str">
            <v>AB PP WC MG 75D23MF +R AUTO CP HE MOTCO</v>
          </cell>
        </row>
        <row r="501">
          <cell r="B501" t="str">
            <v>MG95D31R-7MF(TS)</v>
          </cell>
          <cell r="C501" t="str">
            <v>WMGG277R-TS428E</v>
          </cell>
          <cell r="D501">
            <v>1</v>
          </cell>
          <cell r="E501" t="str">
            <v>AB PP WC MG G27MF +L AUTO-HE 850A MOTCO</v>
          </cell>
        </row>
        <row r="502">
          <cell r="B502" t="str">
            <v>MG95D31R-7MF-P</v>
          </cell>
          <cell r="C502" t="str">
            <v>WMGG278R-CP428E</v>
          </cell>
          <cell r="D502">
            <v>1</v>
          </cell>
          <cell r="E502" t="str">
            <v>AB PP WC MG 95D31MF +L AUTO CP HE MOTCO</v>
          </cell>
        </row>
        <row r="503">
          <cell r="B503" t="str">
            <v>MGB20AL-P</v>
          </cell>
          <cell r="C503" t="str">
            <v>WMGB20DB-CPN00L</v>
          </cell>
          <cell r="D503">
            <v>1</v>
          </cell>
          <cell r="E503" t="str">
            <v>AB PP WC MGOLD OMMC B20/NS40 JIS +R</v>
          </cell>
        </row>
        <row r="504">
          <cell r="B504" t="str">
            <v>MGB20AL-P-HD</v>
          </cell>
          <cell r="C504" t="str">
            <v>WMGB20DB-CPNHDL</v>
          </cell>
          <cell r="D504">
            <v>1</v>
          </cell>
          <cell r="E504" t="str">
            <v>AB PP WC MGOLD B20 +R HONDA</v>
          </cell>
        </row>
        <row r="505">
          <cell r="B505" t="str">
            <v>MGB20ALS-P</v>
          </cell>
          <cell r="C505" t="str">
            <v>WMGB20DL-CPN00L</v>
          </cell>
          <cell r="D505">
            <v>1</v>
          </cell>
          <cell r="E505" t="str">
            <v>AB PP WC MGOLD NS40/B20ALS +R</v>
          </cell>
        </row>
        <row r="506">
          <cell r="B506" t="str">
            <v>MGB20BL-MF-P</v>
          </cell>
          <cell r="C506" t="str">
            <v>WMGB20BB-CP125E</v>
          </cell>
          <cell r="D506">
            <v>1</v>
          </cell>
          <cell r="E506" t="str">
            <v>AB PP WC MG VIETNAM B20BL/NS40ZL-MF +R</v>
          </cell>
        </row>
        <row r="507">
          <cell r="B507" t="str">
            <v>MGB20BR-MF-P</v>
          </cell>
          <cell r="C507" t="str">
            <v>WMGB20BA-CP125E</v>
          </cell>
          <cell r="D507">
            <v>1</v>
          </cell>
          <cell r="E507" t="str">
            <v>AB PP WC MG VIETNAM B20B/NS40Z-MF +L</v>
          </cell>
        </row>
        <row r="508">
          <cell r="B508" t="str">
            <v>MGB20LS(O)-3MF-P</v>
          </cell>
          <cell r="C508" t="str">
            <v>WMGB20DL-CP228E</v>
          </cell>
          <cell r="D508">
            <v>1</v>
          </cell>
          <cell r="E508" t="str">
            <v>AB PP WC MG B20MF +R AUTO CP HE MOTCO</v>
          </cell>
        </row>
        <row r="509">
          <cell r="B509" t="str">
            <v>MGB24ALS-P</v>
          </cell>
          <cell r="C509" t="str">
            <v>WMGB24DL-CPN00L</v>
          </cell>
          <cell r="D509">
            <v>1</v>
          </cell>
          <cell r="E509" t="str">
            <v>AB PP WC MGOLD OMMC B24AL AUTO +R</v>
          </cell>
        </row>
        <row r="510">
          <cell r="B510" t="str">
            <v>MGB24ALS-P-HD</v>
          </cell>
          <cell r="C510" t="str">
            <v>WMGB24DL-CPNHDL</v>
          </cell>
          <cell r="D510">
            <v>1</v>
          </cell>
          <cell r="E510" t="str">
            <v>AB PP WC MGOLD NS60/B24ALS +R - HONDA</v>
          </cell>
        </row>
        <row r="511">
          <cell r="B511" t="str">
            <v>MGB24ARS-MF-P</v>
          </cell>
          <cell r="C511" t="str">
            <v>WMGB24DR-CPN00L</v>
          </cell>
          <cell r="D511">
            <v>1</v>
          </cell>
          <cell r="E511" t="str">
            <v>AB PP WC MGOLD NS60/B24ARS MF +L</v>
          </cell>
        </row>
        <row r="512">
          <cell r="B512" t="str">
            <v>MGB24ARS-P-HD</v>
          </cell>
          <cell r="C512" t="str">
            <v>WMGB24BR-CPNHDL</v>
          </cell>
          <cell r="D512">
            <v>1</v>
          </cell>
          <cell r="E512" t="str">
            <v>AB PP WC MGOLD 1SNF/B24ARS - HONDA</v>
          </cell>
        </row>
        <row r="513">
          <cell r="B513" t="str">
            <v>MGC24BL-MF-P</v>
          </cell>
          <cell r="C513" t="str">
            <v>WMGC24DL-CPN00L</v>
          </cell>
          <cell r="D513">
            <v>1</v>
          </cell>
          <cell r="E513" t="str">
            <v>AB PP WC MGOLD 1SNF/C24BL MF +R</v>
          </cell>
        </row>
        <row r="514">
          <cell r="B514" t="str">
            <v>MGC24BL-P</v>
          </cell>
          <cell r="C514" t="str">
            <v>WMGC24BL-CPNMBL</v>
          </cell>
          <cell r="D514">
            <v>1</v>
          </cell>
          <cell r="E514" t="str">
            <v>AB PP WC MGOLD 1SNF/C24BL +R</v>
          </cell>
        </row>
        <row r="515">
          <cell r="B515" t="str">
            <v>MGD22BL-P</v>
          </cell>
          <cell r="C515" t="str">
            <v>WMGD23BL-CPNMBL</v>
          </cell>
          <cell r="D515">
            <v>1</v>
          </cell>
          <cell r="E515" t="str">
            <v>AB PP WC MGOLD 1SMF/D22BL +R</v>
          </cell>
        </row>
        <row r="516">
          <cell r="B516" t="str">
            <v>MGD23AL-P-OE</v>
          </cell>
          <cell r="C516" t="str">
            <v>WMGD23BL-CPNFDL</v>
          </cell>
          <cell r="D516">
            <v>1</v>
          </cell>
          <cell r="E516" t="str">
            <v>AB PP WC MGOLD 1SMF/D23AL +R - OE</v>
          </cell>
        </row>
        <row r="517">
          <cell r="B517" t="str">
            <v>MGD23BL-MF-P</v>
          </cell>
          <cell r="C517" t="str">
            <v>WMGD23DL-CPN00L</v>
          </cell>
          <cell r="D517">
            <v>1</v>
          </cell>
          <cell r="E517" t="str">
            <v>AB PP WC MGOLD 1SMF/D23BL MF +R</v>
          </cell>
        </row>
        <row r="518">
          <cell r="B518" t="str">
            <v>MGD23BL-P-FD</v>
          </cell>
          <cell r="C518" t="str">
            <v>WMGD23DL-CPNFDL</v>
          </cell>
          <cell r="D518">
            <v>1</v>
          </cell>
          <cell r="E518" t="str">
            <v>AB PP WC MGOLD 1SMF/D23BL +R - FORD</v>
          </cell>
        </row>
        <row r="519">
          <cell r="B519" t="str">
            <v>MGD23BL-P-HD</v>
          </cell>
          <cell r="C519" t="str">
            <v>WMGD23CL-CPNHDL</v>
          </cell>
          <cell r="D519">
            <v>1</v>
          </cell>
          <cell r="E519" t="str">
            <v>AB PP WC MGOLD 1SMF/D23BL +R - HONDA</v>
          </cell>
        </row>
        <row r="520">
          <cell r="B520" t="str">
            <v>MGD23BL-P-OE</v>
          </cell>
          <cell r="C520" t="str">
            <v>WMGD23DL-CPNMBL</v>
          </cell>
          <cell r="D520">
            <v>1</v>
          </cell>
          <cell r="E520" t="str">
            <v>AB PP WC MGOLD 1SMF/D23BL +R - OE</v>
          </cell>
        </row>
        <row r="521">
          <cell r="B521" t="str">
            <v>MGD23BR-MF-P</v>
          </cell>
          <cell r="C521" t="str">
            <v>WMGD23DR-CPN00L</v>
          </cell>
          <cell r="D521">
            <v>1</v>
          </cell>
          <cell r="E521" t="str">
            <v>AB PP WC MGOLD 1SMF/D23BR MF +L</v>
          </cell>
        </row>
        <row r="522">
          <cell r="B522" t="str">
            <v>MGD23DR-P-OE</v>
          </cell>
          <cell r="C522" t="str">
            <v>WMGD23ER-CPNIZL</v>
          </cell>
          <cell r="D522">
            <v>1</v>
          </cell>
          <cell r="E522" t="str">
            <v>AB PP WC MGOLD 1SMF/D23DR - OE</v>
          </cell>
        </row>
        <row r="523">
          <cell r="B523" t="str">
            <v>MGD23DR-P-OE</v>
          </cell>
          <cell r="C523" t="str">
            <v>WMGD23ER-CPNUML</v>
          </cell>
          <cell r="D523">
            <v>1</v>
          </cell>
          <cell r="E523" t="str">
            <v>AB PP WC MGOLD 1SMF/D23DR - OE</v>
          </cell>
        </row>
        <row r="524">
          <cell r="B524" t="str">
            <v>MGD26BL-MF-P</v>
          </cell>
          <cell r="C524" t="str">
            <v>WMGD26DL-CPN00L</v>
          </cell>
          <cell r="D524">
            <v>1</v>
          </cell>
          <cell r="E524" t="str">
            <v>AB PP WC MGOLD 2SMF/D26BL MF +R</v>
          </cell>
        </row>
        <row r="525">
          <cell r="B525" t="str">
            <v>MGD26BR-MF-P</v>
          </cell>
          <cell r="C525" t="str">
            <v>WMGD26DR-CPN00L</v>
          </cell>
          <cell r="D525">
            <v>1</v>
          </cell>
          <cell r="E525" t="str">
            <v>AB PP WC MGOLD 2SMF/D26BR MF +L</v>
          </cell>
        </row>
        <row r="526">
          <cell r="B526" t="str">
            <v>MGD26CL-P-IZ</v>
          </cell>
          <cell r="C526" t="str">
            <v>WMGD26ZL-CPNIZL</v>
          </cell>
          <cell r="D526">
            <v>1</v>
          </cell>
          <cell r="E526" t="str">
            <v>AB PP WC MGOLD 2SMF/D26CL +R - IZUSU</v>
          </cell>
        </row>
        <row r="527">
          <cell r="B527" t="str">
            <v>MGD31BL-MF-P</v>
          </cell>
          <cell r="C527" t="str">
            <v>WMGD31DL-CPN00L</v>
          </cell>
          <cell r="D527">
            <v>1</v>
          </cell>
          <cell r="E527" t="str">
            <v>AB PP WC MGOLD 3SMF/D31BL MF +R</v>
          </cell>
        </row>
        <row r="528">
          <cell r="B528" t="str">
            <v>MGD31BL-P</v>
          </cell>
          <cell r="C528" t="str">
            <v>WMGD31EL-CPNMBL</v>
          </cell>
          <cell r="D528">
            <v>1</v>
          </cell>
          <cell r="E528" t="str">
            <v>AB PP WC MGOLD 3SMF/D31BL +R</v>
          </cell>
        </row>
        <row r="529">
          <cell r="B529" t="str">
            <v>MGD31CR-MF-P</v>
          </cell>
          <cell r="C529" t="str">
            <v>WMGD31DR-CPN00L</v>
          </cell>
          <cell r="D529">
            <v>1</v>
          </cell>
          <cell r="E529" t="str">
            <v>AB PP WC MGOLD 3SMF/D31CR MF +L</v>
          </cell>
        </row>
        <row r="530">
          <cell r="B530" t="str">
            <v>MGD31DL-P-NS</v>
          </cell>
          <cell r="C530" t="str">
            <v>WMGD31GL-SPNIZL</v>
          </cell>
          <cell r="D530">
            <v>1</v>
          </cell>
          <cell r="E530" t="str">
            <v>AB PP WC MGOLD 3SMF/D31 +R NISSAN URVAN</v>
          </cell>
        </row>
        <row r="531">
          <cell r="B531" t="str">
            <v>MGD31DL-P-NS</v>
          </cell>
          <cell r="C531" t="str">
            <v>WMGD31GL-SPNUML</v>
          </cell>
          <cell r="D531">
            <v>1</v>
          </cell>
          <cell r="E531" t="str">
            <v>AB PP WC MGOLD 3SMF/D31 +R NISSAN URVAN</v>
          </cell>
        </row>
        <row r="532">
          <cell r="B532" t="str">
            <v>MGD31DR-P</v>
          </cell>
          <cell r="C532" t="str">
            <v>WMGD31GR-SPNIZL</v>
          </cell>
          <cell r="D532">
            <v>1</v>
          </cell>
          <cell r="E532" t="str">
            <v>AB PP WC MGOLD 3SMF/D31DR +L</v>
          </cell>
        </row>
        <row r="533">
          <cell r="B533" t="str">
            <v>MGDIN44-P-FD</v>
          </cell>
          <cell r="C533" t="str">
            <v>WMGN44DL-CPNFDL</v>
          </cell>
          <cell r="D533">
            <v>1</v>
          </cell>
          <cell r="E533" t="str">
            <v>AB PP WC FORD DIN44 +R ACCESIBLE</v>
          </cell>
        </row>
        <row r="534">
          <cell r="B534" t="str">
            <v>MGDIN55-MF-P</v>
          </cell>
          <cell r="C534" t="str">
            <v>WMGN55DL-CPN00L</v>
          </cell>
          <cell r="D534">
            <v>1</v>
          </cell>
          <cell r="E534" t="str">
            <v>AB PP WC MGOLD DIN55 MF B3 +R</v>
          </cell>
        </row>
        <row r="535">
          <cell r="B535" t="str">
            <v>MGDIN66-MF-P</v>
          </cell>
          <cell r="C535" t="str">
            <v>WMGN66CL-CPN00L</v>
          </cell>
          <cell r="D535">
            <v>1</v>
          </cell>
          <cell r="E535" t="str">
            <v>AB PP WC MGOLD DIN66 MF B3 +R</v>
          </cell>
        </row>
        <row r="536">
          <cell r="B536" t="str">
            <v>MGDIN88-MF-P</v>
          </cell>
          <cell r="C536" t="str">
            <v>WMGN88DL-CPN00L</v>
          </cell>
          <cell r="D536">
            <v>1</v>
          </cell>
          <cell r="E536" t="str">
            <v>AB PP WC MGOLD DIN88 MF B3 +R</v>
          </cell>
        </row>
        <row r="537">
          <cell r="B537" t="str">
            <v>MGG24-4MF-P</v>
          </cell>
          <cell r="C537" t="str">
            <v>WMGG24BR-CP325E</v>
          </cell>
          <cell r="D537">
            <v>1</v>
          </cell>
          <cell r="E537" t="str">
            <v>AB PP WC MG VIETNAM G24-4MF +L</v>
          </cell>
        </row>
        <row r="538">
          <cell r="B538" t="str">
            <v>MGG24F-4MF-P</v>
          </cell>
          <cell r="C538" t="str">
            <v>WMGG24BL-CP325E</v>
          </cell>
          <cell r="D538">
            <v>1</v>
          </cell>
          <cell r="E538" t="str">
            <v>AB PP WC MG VIETNAM G24F-4MF +R</v>
          </cell>
        </row>
        <row r="539">
          <cell r="B539" t="str">
            <v>MGG24L-4MF-P</v>
          </cell>
          <cell r="C539" t="str">
            <v>WMGG246L-TS429E</v>
          </cell>
          <cell r="D539">
            <v>1</v>
          </cell>
          <cell r="E539" t="str">
            <v>AB PP WC MG G24MF +R AUTO SLD HE MOTOBA</v>
          </cell>
        </row>
        <row r="540">
          <cell r="B540" t="str">
            <v>MGG24R-4MF-P</v>
          </cell>
          <cell r="C540" t="str">
            <v>WMGG246R-TS429E</v>
          </cell>
          <cell r="D540">
            <v>1</v>
          </cell>
          <cell r="E540" t="str">
            <v>AB PP WC MG G24MF +L AUTO SLD HE MOTOBA</v>
          </cell>
        </row>
        <row r="541">
          <cell r="B541" t="str">
            <v>MGG27FLTV-MF-P</v>
          </cell>
          <cell r="C541" t="str">
            <v>WMGG27GL-CP325E</v>
          </cell>
          <cell r="D541">
            <v>1</v>
          </cell>
          <cell r="E541" t="str">
            <v>AB PP WC MG VIETNAM G27FLTV-7MF +R</v>
          </cell>
        </row>
        <row r="542">
          <cell r="B542" t="str">
            <v>MGG27LTV-MF-P</v>
          </cell>
          <cell r="C542" t="str">
            <v>WMGG27GR-CP325E</v>
          </cell>
          <cell r="D542">
            <v>1</v>
          </cell>
          <cell r="E542" t="str">
            <v>AB PP WC MG VIETNAM G27LTV-7MF +L</v>
          </cell>
        </row>
        <row r="543">
          <cell r="B543" t="str">
            <v>MGG31A-800</v>
          </cell>
          <cell r="C543" t="str">
            <v>WMGB318R-CP228E</v>
          </cell>
          <cell r="D543">
            <v>1</v>
          </cell>
          <cell r="E543" t="str">
            <v>AB PP WC MG G31MF +L AUTO CP HE MOTCO</v>
          </cell>
        </row>
        <row r="544">
          <cell r="B544" t="str">
            <v>MGG31A-8MF</v>
          </cell>
          <cell r="C544" t="str">
            <v>WMGB318R-TS229E</v>
          </cell>
          <cell r="D544">
            <v>1</v>
          </cell>
          <cell r="E544" t="str">
            <v>AB PP WC MG G31 +L AUTO MOTOBA GREECE</v>
          </cell>
        </row>
        <row r="545">
          <cell r="B545" t="str">
            <v>MGG31A-8MF-P</v>
          </cell>
          <cell r="C545" t="str">
            <v>WMGB31CR-TS125E</v>
          </cell>
          <cell r="D545">
            <v>1</v>
          </cell>
          <cell r="E545" t="str">
            <v>AB PP WC MG VIETNAM G31A-8MF T-SLD +L</v>
          </cell>
        </row>
        <row r="546">
          <cell r="B546" t="str">
            <v>MGG34/78-6</v>
          </cell>
          <cell r="C546" t="str">
            <v>WMGD78DD-CPP00L</v>
          </cell>
          <cell r="D546">
            <v>1</v>
          </cell>
          <cell r="E546" t="str">
            <v>AB PP WC MGOLD G34/78-6</v>
          </cell>
        </row>
        <row r="547">
          <cell r="B547" t="str">
            <v>MGG51L-3MF-P</v>
          </cell>
          <cell r="C547" t="str">
            <v>WMGB244B-TS429E</v>
          </cell>
          <cell r="D547">
            <v>1</v>
          </cell>
          <cell r="E547" t="str">
            <v>AB PP WC MG B24MF +R SML SLD HE MOTOBA</v>
          </cell>
        </row>
        <row r="548">
          <cell r="B548" t="str">
            <v>MGG51R-3MF-P</v>
          </cell>
          <cell r="C548" t="str">
            <v>WMGB244A-TS429E</v>
          </cell>
          <cell r="D548">
            <v>1</v>
          </cell>
          <cell r="E548" t="str">
            <v>AB PP WC MG B24MF +L SML SLD HE MOTOBA</v>
          </cell>
        </row>
        <row r="549">
          <cell r="B549" t="str">
            <v>MGG58-5</v>
          </cell>
          <cell r="C549" t="str">
            <v>WMGG585E-CPP00L</v>
          </cell>
          <cell r="D549">
            <v>1</v>
          </cell>
          <cell r="E549" t="str">
            <v>AB PP WC MGOLD G58-5</v>
          </cell>
        </row>
        <row r="550">
          <cell r="B550" t="str">
            <v>MGG65-6</v>
          </cell>
          <cell r="C550" t="str">
            <v>WMGG656E-CPP00L</v>
          </cell>
          <cell r="D550">
            <v>1</v>
          </cell>
          <cell r="E550" t="str">
            <v>AB PP WC MGOLD G65-6</v>
          </cell>
        </row>
        <row r="551">
          <cell r="B551" t="str">
            <v>MGGC2AS-8V-P</v>
          </cell>
          <cell r="C551" t="str">
            <v>WMMGC8RF-SPN00L</v>
          </cell>
          <cell r="D551">
            <v>1</v>
          </cell>
          <cell r="E551" t="str">
            <v>AB PP WC MGOLD GC2 13PPC STUD 8V LOC</v>
          </cell>
        </row>
        <row r="552">
          <cell r="B552" t="str">
            <v>MGGC2B-8V</v>
          </cell>
          <cell r="C552" t="str">
            <v>EMMGC8SL-SPN00L</v>
          </cell>
          <cell r="D552">
            <v>1</v>
          </cell>
          <cell r="E552" t="str">
            <v>AB PP DC LOCAL GC2-8V (15PPC)</v>
          </cell>
        </row>
        <row r="553">
          <cell r="B553" t="str">
            <v>MGMFG48-P</v>
          </cell>
          <cell r="C553" t="str">
            <v>WMGG48BL-TS112E</v>
          </cell>
          <cell r="D553">
            <v>1</v>
          </cell>
          <cell r="E553" t="e">
            <v>#N/A</v>
          </cell>
        </row>
        <row r="554">
          <cell r="B554" t="str">
            <v>MGMFG48R-P</v>
          </cell>
          <cell r="C554" t="str">
            <v>WMGG48BR-TS112E</v>
          </cell>
          <cell r="D554">
            <v>1</v>
          </cell>
          <cell r="E554" t="e">
            <v>#N/A</v>
          </cell>
        </row>
        <row r="555">
          <cell r="B555" t="str">
            <v>MGMFG49-P</v>
          </cell>
          <cell r="C555" t="str">
            <v>WMGG49AL-TS112E</v>
          </cell>
          <cell r="D555">
            <v>1</v>
          </cell>
          <cell r="E555" t="str">
            <v>AB PP WC SUNNY-CHINA G49/DIN100 MF BLK+R</v>
          </cell>
        </row>
        <row r="556">
          <cell r="B556" t="str">
            <v>MGMFN200-P</v>
          </cell>
          <cell r="C556" t="str">
            <v>WMGH52EL-TS312E</v>
          </cell>
          <cell r="D556">
            <v>1</v>
          </cell>
          <cell r="E556" t="str">
            <v>AB PP WC SUNNY CHINA TOT-SEALED N200</v>
          </cell>
        </row>
        <row r="557">
          <cell r="B557" t="str">
            <v>MGMFN44-P</v>
          </cell>
          <cell r="C557" t="str">
            <v>WMGN44DL-TS112E</v>
          </cell>
          <cell r="D557">
            <v>1</v>
          </cell>
          <cell r="E557" t="str">
            <v>AB PP WC SUNNY CHINA DIN44-MF +R</v>
          </cell>
        </row>
        <row r="558">
          <cell r="B558" t="str">
            <v>MGMFN55-P</v>
          </cell>
          <cell r="C558" t="str">
            <v>WMGN55EL-TS112E</v>
          </cell>
          <cell r="D558">
            <v>1</v>
          </cell>
          <cell r="E558" t="str">
            <v>AB PP WC MG-SUNNY DIN55-MF B3 +R</v>
          </cell>
        </row>
        <row r="559">
          <cell r="B559" t="str">
            <v>MGMFN55R-P</v>
          </cell>
          <cell r="C559" t="str">
            <v>WMGN55ER-TS112E</v>
          </cell>
          <cell r="D559">
            <v>1</v>
          </cell>
          <cell r="E559" t="str">
            <v>AB PP WC MG-SUNNY DIN55-MF +L</v>
          </cell>
        </row>
        <row r="560">
          <cell r="B560" t="str">
            <v>MGMFN66-P</v>
          </cell>
          <cell r="C560" t="str">
            <v>WMGN66DL-TS112E</v>
          </cell>
          <cell r="D560">
            <v>1</v>
          </cell>
          <cell r="E560" t="str">
            <v>AB PP WC MG-SUNNY DIN66-MF B3 +R</v>
          </cell>
        </row>
        <row r="561">
          <cell r="B561" t="str">
            <v>MGMFN66R-P</v>
          </cell>
          <cell r="C561" t="str">
            <v>WMGN66DR-TS112E</v>
          </cell>
          <cell r="D561">
            <v>1</v>
          </cell>
          <cell r="E561" t="str">
            <v>AB PP WC MG-SUNNY DIN66-MF +L</v>
          </cell>
        </row>
        <row r="562">
          <cell r="B562" t="str">
            <v>MGMFN88-P</v>
          </cell>
          <cell r="C562" t="str">
            <v>WMGN88BL-TS112E</v>
          </cell>
          <cell r="D562">
            <v>1</v>
          </cell>
          <cell r="E562" t="str">
            <v>AB PP WC MG SUNNY DIN88-MF +R</v>
          </cell>
        </row>
        <row r="563">
          <cell r="B563" t="str">
            <v>MGMFN88R-P</v>
          </cell>
          <cell r="C563" t="str">
            <v>WMGN88BR-TS112E</v>
          </cell>
          <cell r="D563">
            <v>1</v>
          </cell>
          <cell r="E563" t="str">
            <v>AB PP WC MG SUNNY DIN88-MF +R</v>
          </cell>
        </row>
        <row r="564">
          <cell r="B564" t="str">
            <v>MGN44-3MF-P</v>
          </cell>
          <cell r="C564" t="str">
            <v>WMGN44DL-TS229E</v>
          </cell>
          <cell r="D564">
            <v>1</v>
          </cell>
          <cell r="E564" t="str">
            <v>AB PP WC MG N44-3MF TLY-SLD +R CYP</v>
          </cell>
        </row>
        <row r="565">
          <cell r="B565" t="str">
            <v>MGN44-4MF-P</v>
          </cell>
          <cell r="C565" t="str">
            <v>WMGN44DL-CP228E</v>
          </cell>
          <cell r="D565">
            <v>1</v>
          </cell>
          <cell r="E565" t="str">
            <v>AB PP WC MG MFN44 +R AUTO CP HE MOTCO</v>
          </cell>
        </row>
        <row r="566">
          <cell r="B566" t="str">
            <v>MGN50Z-5MF-P</v>
          </cell>
          <cell r="C566" t="str">
            <v>WUBG246R-TS428E</v>
          </cell>
          <cell r="D566">
            <v>1</v>
          </cell>
          <cell r="E566" t="str">
            <v>AB PP WC MG N50ZMF +L AUTO SLD HE MOTCO</v>
          </cell>
        </row>
        <row r="567">
          <cell r="B567" t="str">
            <v>MGN55-4MF-P</v>
          </cell>
          <cell r="C567" t="str">
            <v>WMGN55EL-TS230E</v>
          </cell>
          <cell r="D567">
            <v>1</v>
          </cell>
          <cell r="E567" t="str">
            <v>AB PP WC MG N55-4MF TLY-SLD +R CYP</v>
          </cell>
        </row>
        <row r="568">
          <cell r="B568" t="str">
            <v>MGN55-5MF-P</v>
          </cell>
          <cell r="C568" t="str">
            <v>WMGN55EL-CP228E</v>
          </cell>
          <cell r="D568">
            <v>1</v>
          </cell>
          <cell r="E568" t="str">
            <v>AB PP WC MG MFN55 +R AUTO CP HE MOTCO</v>
          </cell>
        </row>
        <row r="569">
          <cell r="B569" t="str">
            <v>MGN55R-4MF-P</v>
          </cell>
          <cell r="C569" t="str">
            <v>WMGN55ER-TS228E</v>
          </cell>
          <cell r="D569">
            <v>1</v>
          </cell>
          <cell r="E569" t="str">
            <v>AB PP WC MG N55R-4MF T-SLD +L CYP</v>
          </cell>
        </row>
        <row r="570">
          <cell r="B570" t="str">
            <v>MGN66-5MF-P</v>
          </cell>
          <cell r="C570" t="str">
            <v>WMGN66DL-TS229E</v>
          </cell>
          <cell r="D570">
            <v>1</v>
          </cell>
          <cell r="E570" t="str">
            <v>AB PP WC MG N66-5MF T-SLD +R CYP</v>
          </cell>
        </row>
        <row r="571">
          <cell r="B571" t="str">
            <v>MGN66-6MF-P</v>
          </cell>
          <cell r="C571" t="str">
            <v>WMGN66DL-TS228E</v>
          </cell>
          <cell r="D571">
            <v>1</v>
          </cell>
          <cell r="E571" t="str">
            <v xml:space="preserve"> AB PP WC MG MFN66 +R STD MOTCO CYPRUS</v>
          </cell>
        </row>
        <row r="572">
          <cell r="B572" t="str">
            <v>MGN66-7MF-P</v>
          </cell>
          <cell r="C572" t="str">
            <v>WMGN66DL-CP228E</v>
          </cell>
          <cell r="D572">
            <v>1</v>
          </cell>
          <cell r="E572" t="str">
            <v>AB PP WC MG MFN66 +R AUTO CP HE MOTCO</v>
          </cell>
        </row>
        <row r="573">
          <cell r="B573" t="str">
            <v>MGN66R-6MF-P</v>
          </cell>
          <cell r="C573" t="str">
            <v>WMGN66DR-TS228E</v>
          </cell>
          <cell r="D573">
            <v>1</v>
          </cell>
          <cell r="E573" t="str">
            <v>AB PP WC MG N66R-6MF T-SLD +L CYP</v>
          </cell>
        </row>
        <row r="574">
          <cell r="B574" t="str">
            <v>MGN70Z-6MF-P</v>
          </cell>
          <cell r="C574" t="str">
            <v>WMGD316R-CP428E</v>
          </cell>
          <cell r="D574">
            <v>1</v>
          </cell>
          <cell r="E574" t="str">
            <v>AB PP WC MG N70ZMF +L AUTO CP HE MOTCO</v>
          </cell>
        </row>
        <row r="575">
          <cell r="B575" t="str">
            <v>MGN88-6MF-P</v>
          </cell>
          <cell r="C575" t="str">
            <v>WMGN88CL-TS229E</v>
          </cell>
          <cell r="D575">
            <v>1</v>
          </cell>
          <cell r="E575" t="str">
            <v>AB PP WC MG N88-6MF T-SLD +R CYP</v>
          </cell>
        </row>
        <row r="576">
          <cell r="B576" t="str">
            <v>MGN88-7MF-P</v>
          </cell>
          <cell r="C576" t="str">
            <v>WMGN88CL-CP228E</v>
          </cell>
          <cell r="D576">
            <v>1</v>
          </cell>
          <cell r="E576" t="str">
            <v>AB PP WC MG MFN88 +R AUTO CP HE MOTCO</v>
          </cell>
        </row>
        <row r="577">
          <cell r="B577" t="str">
            <v>MGNS40ZL-3MF-P</v>
          </cell>
          <cell r="C577" t="str">
            <v>WMGB203B-TS228E</v>
          </cell>
          <cell r="D577">
            <v>1</v>
          </cell>
          <cell r="E577" t="str">
            <v>AB PP WC MG NS40ZL +R JIS MOTCO CYPRUS</v>
          </cell>
        </row>
        <row r="578">
          <cell r="B578" t="str">
            <v>MGNS50-5MF-P</v>
          </cell>
          <cell r="C578" t="str">
            <v>WMGD236I-TS428E</v>
          </cell>
          <cell r="D578">
            <v>1</v>
          </cell>
          <cell r="E578" t="str">
            <v>AB PP WC MG MF75D23R +L STD MOTCO CYPRUS</v>
          </cell>
        </row>
        <row r="579">
          <cell r="B579" t="str">
            <v>MGNS50L-5MF-P</v>
          </cell>
          <cell r="C579" t="str">
            <v>WMGD236E-TS428E</v>
          </cell>
          <cell r="D579">
            <v>1</v>
          </cell>
          <cell r="E579" t="str">
            <v>AB PP WC MG MF75D23L +R STD MOTCO CYPRUS</v>
          </cell>
        </row>
        <row r="580">
          <cell r="B580" t="str">
            <v>MGNS60-4MF-P</v>
          </cell>
          <cell r="C580" t="str">
            <v>WMGB244A-TS428E</v>
          </cell>
          <cell r="D580">
            <v>1</v>
          </cell>
          <cell r="E580" t="str">
            <v>AB PP WC MG NS60-MF +L JIS MOTOBA GREECE</v>
          </cell>
        </row>
        <row r="581">
          <cell r="B581" t="str">
            <v>MGNS60L-4MF-P</v>
          </cell>
          <cell r="C581" t="str">
            <v>WMGB244B-TS428E</v>
          </cell>
          <cell r="D581">
            <v>1</v>
          </cell>
          <cell r="E581" t="str">
            <v>AB PP WC MG NS60L-4MF JIS MOTOBA GREECE</v>
          </cell>
        </row>
        <row r="582">
          <cell r="B582" t="str">
            <v>MGNS60LS-4MF-P</v>
          </cell>
          <cell r="C582" t="str">
            <v>WMGB244I-TS430E</v>
          </cell>
          <cell r="D582">
            <v>1</v>
          </cell>
          <cell r="E582" t="str">
            <v>AB PP WC MG NS60LS-4MF T-SLD +R STD CYP</v>
          </cell>
        </row>
        <row r="583">
          <cell r="B583" t="str">
            <v>MGNS60S-4MF-P</v>
          </cell>
          <cell r="C583" t="str">
            <v>WMGB244E-TS430E</v>
          </cell>
          <cell r="D583">
            <v>1</v>
          </cell>
          <cell r="E583" t="str">
            <v>AB PP WC MG NS60S-4MF T-SLD +L STD CYP</v>
          </cell>
        </row>
        <row r="584">
          <cell r="B584" t="str">
            <v>MGNS60ZL-MF-P</v>
          </cell>
          <cell r="C584" t="str">
            <v>WMGB24DB-CP321E</v>
          </cell>
          <cell r="D584">
            <v>1</v>
          </cell>
          <cell r="E584" t="str">
            <v>AB PP WC MGOLD NS60ZL TRI TOB +R JIS</v>
          </cell>
        </row>
        <row r="585">
          <cell r="B585" t="str">
            <v>MGNS60ZLS-MF-P</v>
          </cell>
          <cell r="C585" t="str">
            <v>WMGB24DL-CP321E</v>
          </cell>
          <cell r="D585">
            <v>1</v>
          </cell>
          <cell r="E585" t="str">
            <v>AB PP WC MGOLD NS60ZLS TRI TOB +R AUTO</v>
          </cell>
        </row>
        <row r="586">
          <cell r="B586" t="str">
            <v>MGNS60Z-MF-P</v>
          </cell>
          <cell r="C586" t="str">
            <v>WMGB24DA-CP321E</v>
          </cell>
          <cell r="D586">
            <v>1</v>
          </cell>
          <cell r="E586" t="str">
            <v>AB PP WC MGOLD NS60Z TRI TOB +L JIS</v>
          </cell>
        </row>
        <row r="587">
          <cell r="B587" t="str">
            <v>MGNS60ZS-MF-P</v>
          </cell>
          <cell r="C587" t="str">
            <v>WMGB24DR-CP321E</v>
          </cell>
          <cell r="D587">
            <v>1</v>
          </cell>
          <cell r="E587" t="str">
            <v>AB PP WC MGOLD NS60ZS TRI TOB +L AUTO</v>
          </cell>
        </row>
        <row r="588">
          <cell r="B588" t="str">
            <v>MGNS70L-MF-P</v>
          </cell>
          <cell r="C588" t="str">
            <v>WMGG24EL-CP325E</v>
          </cell>
          <cell r="D588">
            <v>1</v>
          </cell>
          <cell r="E588" t="str">
            <v>AB PP WC MG VIETNAM NS70L-MF (G24) +R</v>
          </cell>
        </row>
        <row r="589">
          <cell r="B589" t="str">
            <v>MGNS70-MF-P</v>
          </cell>
          <cell r="C589" t="str">
            <v>WMGG24ER-CP325E</v>
          </cell>
          <cell r="D589">
            <v>1</v>
          </cell>
          <cell r="E589" t="str">
            <v>AB PP WC MG VIETNAM NS70-MF (G24) +L</v>
          </cell>
        </row>
        <row r="590">
          <cell r="B590" t="str">
            <v>MGNX110-5MF-P</v>
          </cell>
          <cell r="C590" t="str">
            <v>WMGG247E-TS428E</v>
          </cell>
          <cell r="D590">
            <v>1</v>
          </cell>
          <cell r="E590" t="str">
            <v>AB PP WC MG NX110-5 +L STD MOTCO CYPRUS</v>
          </cell>
        </row>
        <row r="591">
          <cell r="B591" t="str">
            <v>MGNX110L-5MF-P</v>
          </cell>
          <cell r="C591" t="str">
            <v>WMGG247I-TS428E</v>
          </cell>
          <cell r="D591">
            <v>1</v>
          </cell>
          <cell r="E591" t="str">
            <v>AB PP WC MG NX110L-5MF T-SLD +R CYP</v>
          </cell>
        </row>
        <row r="592">
          <cell r="B592" t="str">
            <v>MGNX120-7MF-P</v>
          </cell>
          <cell r="C592" t="str">
            <v>WMGG277E-TS428E</v>
          </cell>
          <cell r="D592">
            <v>1</v>
          </cell>
          <cell r="E592" t="str">
            <v>AB PP WC MG NX120-7 +L STD MOTCO CYPRUS</v>
          </cell>
        </row>
        <row r="593">
          <cell r="B593" t="str">
            <v>MGNX120L-7MF-P</v>
          </cell>
          <cell r="C593" t="str">
            <v>WMGG277I-TS428E</v>
          </cell>
          <cell r="D593">
            <v>1</v>
          </cell>
          <cell r="E593" t="str">
            <v>AB PP WC MG NX120L-7MF T-SLD +R CYP</v>
          </cell>
        </row>
        <row r="594">
          <cell r="B594" t="str">
            <v>MSD26BLD-P</v>
          </cell>
          <cell r="C594" t="str">
            <v>EMSD26DL-SPN00L</v>
          </cell>
          <cell r="D594">
            <v>1</v>
          </cell>
          <cell r="E594" t="str">
            <v>AB PP DC 2SMF/D26 MOTO SUPER PREM +R</v>
          </cell>
        </row>
        <row r="595">
          <cell r="B595" t="str">
            <v>MSD31CLD-P</v>
          </cell>
          <cell r="C595" t="str">
            <v>EMSD31DL-SPN00L</v>
          </cell>
          <cell r="D595">
            <v>1</v>
          </cell>
          <cell r="E595" t="str">
            <v>AB PP DC 3SMF/D31 MOTO SUPER PREM +R</v>
          </cell>
        </row>
        <row r="596">
          <cell r="B596" t="str">
            <v>MTD26ALD-P</v>
          </cell>
          <cell r="C596" t="str">
            <v>EMTD26CL-SPN00L</v>
          </cell>
          <cell r="D596">
            <v>1</v>
          </cell>
          <cell r="E596" t="str">
            <v>AB PP DC TRUCKMASTER D26 +R</v>
          </cell>
        </row>
        <row r="597">
          <cell r="B597" t="str">
            <v>MTD31ALD-P</v>
          </cell>
          <cell r="C597" t="str">
            <v>EMTD31CL-SPN00L</v>
          </cell>
          <cell r="D597">
            <v>1</v>
          </cell>
          <cell r="E597" t="str">
            <v>AB PP DC TRUCKMASTER D31 +R</v>
          </cell>
        </row>
        <row r="598">
          <cell r="B598" t="str">
            <v>MTE41BLD-P</v>
          </cell>
          <cell r="C598" t="str">
            <v>EMTE41CL-SPN00L</v>
          </cell>
          <cell r="D598">
            <v>1</v>
          </cell>
          <cell r="E598" t="str">
            <v>AB PP DC TRUCKMASTER 6SMF/E41BL +R</v>
          </cell>
        </row>
        <row r="599">
          <cell r="B599" t="str">
            <v>MTF51BLD-P</v>
          </cell>
          <cell r="C599" t="str">
            <v>EMTF51CL-SPN00L</v>
          </cell>
          <cell r="D599">
            <v>1</v>
          </cell>
          <cell r="E599" t="str">
            <v>AB PP DC TRUCKMASTER 2D/F51BL (N120)</v>
          </cell>
        </row>
        <row r="600">
          <cell r="B600" t="str">
            <v>MTG51BLD-P</v>
          </cell>
          <cell r="C600" t="str">
            <v>EMTG51CL-SPN00L</v>
          </cell>
          <cell r="D600">
            <v>1</v>
          </cell>
          <cell r="E600" t="str">
            <v>AB PP DC TRUCKMASTER 4D/G51BL (N150)</v>
          </cell>
        </row>
        <row r="601">
          <cell r="B601" t="str">
            <v>MTH52ALD-P</v>
          </cell>
          <cell r="C601" t="str">
            <v>EMTH52CL-SPN00L</v>
          </cell>
          <cell r="D601">
            <v>1</v>
          </cell>
          <cell r="E601" t="str">
            <v>AB PP DC TRUCKMASTER 8D/H52AL (N200)</v>
          </cell>
        </row>
        <row r="602">
          <cell r="B602" t="str">
            <v>MVC24ALD-P</v>
          </cell>
          <cell r="C602" t="str">
            <v>EMVC24BL-SPN00L</v>
          </cell>
          <cell r="D602">
            <v>1</v>
          </cell>
          <cell r="E602" t="str">
            <v>AB PP DC MEGAVOLT C24 +R</v>
          </cell>
        </row>
        <row r="603">
          <cell r="B603" t="str">
            <v>MVD22ALD-P</v>
          </cell>
          <cell r="C603" t="str">
            <v>EMVD23AL-SPN00L</v>
          </cell>
          <cell r="D603">
            <v>1</v>
          </cell>
          <cell r="E603" t="str">
            <v>AB PP DC MEGAVOLT-OMMC D22 +R AUTO</v>
          </cell>
        </row>
        <row r="604">
          <cell r="B604" t="str">
            <v>MVD26ALD-P</v>
          </cell>
          <cell r="C604" t="str">
            <v>EMVD26AL-SPN00L</v>
          </cell>
          <cell r="D604">
            <v>1</v>
          </cell>
          <cell r="E604" t="str">
            <v>AB PP DC MEGA VOLT 2SMF/D26 +R</v>
          </cell>
        </row>
        <row r="605">
          <cell r="B605" t="str">
            <v>MVD31ALD-P</v>
          </cell>
          <cell r="C605" t="str">
            <v>EMVD31AL-SPN00L</v>
          </cell>
          <cell r="D605">
            <v>1</v>
          </cell>
          <cell r="E605" t="str">
            <v>AB PP DC MEGA VOLT 3SMF/D31 +R</v>
          </cell>
        </row>
        <row r="606">
          <cell r="B606" t="str">
            <v>MVE41ALD-P</v>
          </cell>
          <cell r="C606" t="str">
            <v>EMVE41AL-SPN00L</v>
          </cell>
          <cell r="D606">
            <v>1</v>
          </cell>
          <cell r="E606" t="str">
            <v>AB PP DC MEGAVOLT-OMMC N100 +R AUTO</v>
          </cell>
        </row>
        <row r="607">
          <cell r="B607" t="str">
            <v>MVF51ALD-P</v>
          </cell>
          <cell r="C607" t="str">
            <v>EMVF51BL-SPN00L</v>
          </cell>
          <cell r="D607">
            <v>1</v>
          </cell>
          <cell r="E607" t="str">
            <v>AB PP DC MEGAVOLT 2D/F51AL (N120)</v>
          </cell>
        </row>
        <row r="608">
          <cell r="B608" t="str">
            <v>MVG51ALD-P</v>
          </cell>
          <cell r="C608" t="str">
            <v>EMVG51AL-SPN00L</v>
          </cell>
          <cell r="D608">
            <v>1</v>
          </cell>
          <cell r="E608" t="str">
            <v>AB PP DC MEGAVOLT G51 +R</v>
          </cell>
        </row>
        <row r="609">
          <cell r="B609" t="str">
            <v>MVH52ALD-P</v>
          </cell>
          <cell r="C609" t="str">
            <v>EMVH52BL-SPN00L</v>
          </cell>
          <cell r="D609">
            <v>1</v>
          </cell>
          <cell r="E609" t="str">
            <v>AB PP DC MEGAVOLT-OMMC N200 +R AUTO</v>
          </cell>
        </row>
        <row r="610">
          <cell r="B610" t="str">
            <v>MX80D26L-P-IZ</v>
          </cell>
          <cell r="C610" t="str">
            <v>WMXD26FL-SPNIZL</v>
          </cell>
          <cell r="D610">
            <v>1</v>
          </cell>
          <cell r="E610" t="str">
            <v>WET-CHARGED M-EXCEL D26 ISUZU TF190</v>
          </cell>
        </row>
        <row r="611">
          <cell r="B611" t="str">
            <v>MX95D31L-P-IZ</v>
          </cell>
          <cell r="C611" t="str">
            <v>WMXD31GL-SPNIZL</v>
          </cell>
          <cell r="D611">
            <v>1</v>
          </cell>
          <cell r="E611" t="str">
            <v>WET-CHARGED M-EXCEL D31 ISUZU TF190</v>
          </cell>
        </row>
        <row r="612">
          <cell r="B612" t="str">
            <v>MXB24BLS-P-HD</v>
          </cell>
          <cell r="C612" t="str">
            <v>WMXB24EL-CPNHDL</v>
          </cell>
          <cell r="D612">
            <v>1</v>
          </cell>
          <cell r="E612" t="str">
            <v>AB PP WC MOTO-EXCEL 1SMF/B24BLS +R-HONDA</v>
          </cell>
        </row>
        <row r="613">
          <cell r="B613" t="str">
            <v>MXC24CL-MF-P</v>
          </cell>
          <cell r="C613" t="str">
            <v>WMXC24EL-CPN00L</v>
          </cell>
          <cell r="D613">
            <v>1</v>
          </cell>
          <cell r="E613" t="str">
            <v>AB PP WC MOTO-EXCEL 1SNF/C24CL MF +R</v>
          </cell>
        </row>
        <row r="614">
          <cell r="B614" t="str">
            <v>MXD23BL-MF-P</v>
          </cell>
          <cell r="C614" t="str">
            <v>WMXD23EL-CPN00L</v>
          </cell>
          <cell r="D614">
            <v>1</v>
          </cell>
          <cell r="E614" t="str">
            <v>AB PP WC MOTO-EXCEL 1SMF/D23BL MF +R</v>
          </cell>
        </row>
        <row r="615">
          <cell r="B615" t="str">
            <v>MXD23CL-P-OE</v>
          </cell>
          <cell r="C615" t="str">
            <v>WMXD235L-CPNIZL</v>
          </cell>
          <cell r="D615">
            <v>1</v>
          </cell>
          <cell r="E615" t="str">
            <v>AB PP WC MOTO-EXCEL 1SMF/D23CL - OE</v>
          </cell>
        </row>
        <row r="616">
          <cell r="B616" t="str">
            <v>MXD23CL-P-OE</v>
          </cell>
          <cell r="C616" t="str">
            <v>WMXD235L-CPNUML</v>
          </cell>
          <cell r="D616">
            <v>1</v>
          </cell>
          <cell r="E616" t="str">
            <v>AB PP WC MOTO-EXCEL 1SMF/D23CL - OE</v>
          </cell>
        </row>
        <row r="617">
          <cell r="B617" t="str">
            <v>MXD26CL-MF-FD</v>
          </cell>
          <cell r="C617" t="str">
            <v>WMXD26EL-CPNFDL</v>
          </cell>
          <cell r="D617">
            <v>1</v>
          </cell>
          <cell r="E617" t="str">
            <v>AB PP WC MOTO-EXCEL 2SMF/D26CL MF -FORD</v>
          </cell>
        </row>
        <row r="618">
          <cell r="B618" t="str">
            <v>MXD26CL-MF-P</v>
          </cell>
          <cell r="C618" t="str">
            <v>WMXD26EL-CPN00L</v>
          </cell>
          <cell r="D618">
            <v>1</v>
          </cell>
          <cell r="E618" t="str">
            <v>AB PP WC MOTO-EXCEL 2SMF/D26CL MF +R</v>
          </cell>
        </row>
        <row r="619">
          <cell r="B619" t="str">
            <v>MXD31CL-MF-P</v>
          </cell>
          <cell r="C619" t="str">
            <v>WMXD31EL-CPN00L</v>
          </cell>
          <cell r="D619">
            <v>1</v>
          </cell>
          <cell r="E619" t="str">
            <v>AB PP WC MOTO-EXCEL 3SMF/D31CL MF +R</v>
          </cell>
        </row>
        <row r="620">
          <cell r="B620" t="str">
            <v>MXD31CL-P</v>
          </cell>
          <cell r="C620" t="str">
            <v>WMXD31HL-CPNMBL</v>
          </cell>
          <cell r="D620">
            <v>1</v>
          </cell>
          <cell r="E620" t="str">
            <v>AB PP WC MOTO-EXCEL 3SMF/D31CL +R</v>
          </cell>
        </row>
        <row r="621">
          <cell r="B621" t="str">
            <v>MXD31CL-P-IZ</v>
          </cell>
          <cell r="C621" t="str">
            <v>WMXD31HL-CPNIZL</v>
          </cell>
          <cell r="D621">
            <v>1</v>
          </cell>
          <cell r="E621" t="str">
            <v>AB PP WC MOTO-EXCEL 3SMF/D31CL +R -IZUSU</v>
          </cell>
        </row>
        <row r="622">
          <cell r="B622" t="str">
            <v>MXD31CL-P-OE</v>
          </cell>
          <cell r="C622" t="str">
            <v>WMXD31HL-CPNUML</v>
          </cell>
          <cell r="D622">
            <v>1</v>
          </cell>
          <cell r="E622" t="str">
            <v>AB PP WC MOTO-EXCEL 3SMF/D31CL - OE</v>
          </cell>
        </row>
        <row r="623">
          <cell r="B623" t="str">
            <v>MXD31CRH-P-OE</v>
          </cell>
          <cell r="C623" t="str">
            <v>WMXD31GR-CPNFDL</v>
          </cell>
          <cell r="D623">
            <v>1</v>
          </cell>
          <cell r="E623" t="str">
            <v>AB PP WC MOTO-EXCEL 3SMF/D31CRH +L - OE</v>
          </cell>
        </row>
        <row r="624">
          <cell r="B624" t="str">
            <v>N40L-TY</v>
          </cell>
          <cell r="C624" t="str">
            <v>WORC24CL-SPNTYL</v>
          </cell>
          <cell r="D624">
            <v>1</v>
          </cell>
          <cell r="E624" t="str">
            <v>AB PP WC TURBO 1SNF/N40L -TOYOTA</v>
          </cell>
        </row>
        <row r="625">
          <cell r="B625" t="str">
            <v>NZM50-P</v>
          </cell>
          <cell r="C625" t="str">
            <v>WAAD265F-SPN16E</v>
          </cell>
          <cell r="D625">
            <v>1</v>
          </cell>
          <cell r="E625" t="str">
            <v>AB PP WC NZ AA M50 +L (7501)</v>
          </cell>
        </row>
        <row r="626">
          <cell r="B626" t="str">
            <v>NZM70-P</v>
          </cell>
          <cell r="C626" t="str">
            <v>WAAD316F-SPN16E</v>
          </cell>
          <cell r="D626">
            <v>1</v>
          </cell>
          <cell r="E626" t="str">
            <v>AB PP WC NZ AA M70 +L (7601)</v>
          </cell>
        </row>
        <row r="627">
          <cell r="B627" t="str">
            <v>NZMF50-P</v>
          </cell>
          <cell r="C627" t="str">
            <v>WAAA466R-TS216E</v>
          </cell>
          <cell r="D627">
            <v>1</v>
          </cell>
          <cell r="E627" t="str">
            <v>AB PP WC NZ AA MF50 +L STD (2541)</v>
          </cell>
        </row>
        <row r="628">
          <cell r="B628" t="str">
            <v>NZMF51-P</v>
          </cell>
          <cell r="C628" t="str">
            <v>WAAA4661-TS216E</v>
          </cell>
          <cell r="D628">
            <v>1</v>
          </cell>
          <cell r="E628" t="str">
            <v>AB PP WC NZ AA MF51 +R DFA (2504)</v>
          </cell>
        </row>
        <row r="629">
          <cell r="B629" t="str">
            <v>NZMF52-P</v>
          </cell>
          <cell r="C629" t="str">
            <v>WAAA4662-TS216E</v>
          </cell>
          <cell r="D629">
            <v>1</v>
          </cell>
          <cell r="E629" t="str">
            <v>AB PP WC NZ AA MF52 +R DFP (2542)</v>
          </cell>
        </row>
        <row r="630">
          <cell r="B630" t="str">
            <v>NZMF55B24L-P</v>
          </cell>
          <cell r="C630" t="str">
            <v>WAAB245B-TS416E</v>
          </cell>
          <cell r="D630">
            <v>1</v>
          </cell>
          <cell r="E630" t="str">
            <v>AB PP WC NZ AA 55B24L +R SML (2136)</v>
          </cell>
        </row>
        <row r="631">
          <cell r="B631" t="str">
            <v>NZMF55B24R-P</v>
          </cell>
          <cell r="C631" t="str">
            <v>WAAB245A-TS416E</v>
          </cell>
          <cell r="D631">
            <v>1</v>
          </cell>
          <cell r="E631" t="str">
            <v>AB PP WC NZ AA 55B24R +L SML (2135)</v>
          </cell>
        </row>
        <row r="632">
          <cell r="B632" t="str">
            <v>NZMF80D26L-P</v>
          </cell>
          <cell r="C632" t="str">
            <v>WAAG246L-TS416E</v>
          </cell>
          <cell r="D632">
            <v>1</v>
          </cell>
          <cell r="E632" t="str">
            <v>AB PP WC NZ AA 80D26L +R (4504)</v>
          </cell>
        </row>
        <row r="633">
          <cell r="B633" t="str">
            <v>NZMF80D26R-P</v>
          </cell>
          <cell r="C633" t="str">
            <v>WAAG246R-TS416E</v>
          </cell>
          <cell r="D633">
            <v>1</v>
          </cell>
          <cell r="E633" t="str">
            <v>AB PP WC NZ AA 80D26R +L (4503)</v>
          </cell>
        </row>
        <row r="634">
          <cell r="B634" t="str">
            <v>NZMFB20DFL-P</v>
          </cell>
          <cell r="C634" t="str">
            <v>WAAB203Z-TS216E</v>
          </cell>
          <cell r="D634">
            <v>1</v>
          </cell>
          <cell r="E634" t="str">
            <v>AB PP WC NZ AA B20L-MF +R DFP (2311)</v>
          </cell>
        </row>
        <row r="635">
          <cell r="B635" t="str">
            <v>NZMFB20L-P</v>
          </cell>
          <cell r="C635" t="str">
            <v>WAAB203L-TS216E</v>
          </cell>
          <cell r="D635">
            <v>1</v>
          </cell>
          <cell r="E635" t="str">
            <v>AB PP WC NZ AA B20L-MF +R SML (2312)</v>
          </cell>
        </row>
        <row r="636">
          <cell r="B636" t="str">
            <v>NZMFM48-P</v>
          </cell>
          <cell r="C636" t="str">
            <v>WAAA465F-TS216E</v>
          </cell>
          <cell r="D636">
            <v>1</v>
          </cell>
          <cell r="E636" t="str">
            <v>AB PP WC NZ AA MFM48 +L (7401)</v>
          </cell>
        </row>
        <row r="637">
          <cell r="B637" t="str">
            <v>NZMFN43-P</v>
          </cell>
          <cell r="C637" t="str">
            <v>WAAN433Z-TS216E</v>
          </cell>
          <cell r="D637">
            <v>1</v>
          </cell>
          <cell r="E637" t="str">
            <v>AB PP WC NZ AA N43-MF +R DFP (2114)</v>
          </cell>
        </row>
        <row r="638">
          <cell r="B638" t="str">
            <v>NZMFN44-P</v>
          </cell>
          <cell r="C638" t="str">
            <v>WAAN44DL-TS216E</v>
          </cell>
          <cell r="D638">
            <v>1</v>
          </cell>
          <cell r="E638" t="str">
            <v>AB PP WC NZ AA DIN44-MF +R</v>
          </cell>
        </row>
        <row r="639">
          <cell r="B639" t="str">
            <v>NZMFN55-P</v>
          </cell>
          <cell r="C639" t="str">
            <v>WAAN55EL-TS216E</v>
          </cell>
          <cell r="D639">
            <v>1</v>
          </cell>
          <cell r="E639" t="str">
            <v>AB PP WC NZ AA DIN55-MF +R (3552)</v>
          </cell>
        </row>
        <row r="640">
          <cell r="B640" t="str">
            <v>NZMFN66-P</v>
          </cell>
          <cell r="C640" t="str">
            <v>WAAN66DL-TS216E</v>
          </cell>
          <cell r="D640">
            <v>1</v>
          </cell>
          <cell r="E640" t="str">
            <v>AB PP WC NZ AA DIN66-MF +R (3662)</v>
          </cell>
        </row>
        <row r="641">
          <cell r="B641" t="str">
            <v>NZMFN88-P</v>
          </cell>
          <cell r="C641" t="str">
            <v>WAAN88CL-TS216E</v>
          </cell>
          <cell r="D641">
            <v>1</v>
          </cell>
          <cell r="E641" t="str">
            <v>AB PP WC NZ AA DIN88-MF +R</v>
          </cell>
        </row>
        <row r="642">
          <cell r="B642" t="str">
            <v>NZN43-P</v>
          </cell>
          <cell r="C642" t="str">
            <v>WAAN432Z-CPN16E</v>
          </cell>
          <cell r="D642">
            <v>1</v>
          </cell>
          <cell r="E642" t="str">
            <v>AB PP WC NZ AA N43 +R DFP (2113)</v>
          </cell>
        </row>
        <row r="643">
          <cell r="B643" t="str">
            <v>NZN70ZZL-P</v>
          </cell>
          <cell r="C643" t="str">
            <v>WAAA536L-CPN16E</v>
          </cell>
          <cell r="D643">
            <v>1</v>
          </cell>
          <cell r="E643" t="str">
            <v>AB PP WC NZ AA N70ZZL +R (4704)</v>
          </cell>
        </row>
        <row r="644">
          <cell r="B644" t="str">
            <v>NZN70ZZ-P</v>
          </cell>
          <cell r="C644" t="str">
            <v>WAAA536R-CPN16E</v>
          </cell>
          <cell r="D644">
            <v>1</v>
          </cell>
          <cell r="E644" t="str">
            <v>AB PP WC NZ AA N70ZZ +L (4703)</v>
          </cell>
        </row>
        <row r="645">
          <cell r="B645" t="str">
            <v>NZNS40ZAL-P</v>
          </cell>
          <cell r="C645" t="str">
            <v>WAAB203Z-CPN16E</v>
          </cell>
          <cell r="D645">
            <v>1</v>
          </cell>
          <cell r="E645" t="str">
            <v>AB PP WC NZ AA NS40ZAL +R DFP (2111)</v>
          </cell>
        </row>
        <row r="646">
          <cell r="B646" t="str">
            <v>NZNS40ZL-P</v>
          </cell>
          <cell r="C646" t="str">
            <v>WAAB203L-CPN16E</v>
          </cell>
          <cell r="D646">
            <v>1</v>
          </cell>
          <cell r="E646" t="str">
            <v>AB PP WC NZ AA NS40ZL +R SML (2112)</v>
          </cell>
        </row>
        <row r="647">
          <cell r="B647" t="str">
            <v>NZNS50PL-P</v>
          </cell>
          <cell r="C647" t="str">
            <v>WAAA465Z-CPN16E</v>
          </cell>
          <cell r="D647">
            <v>1</v>
          </cell>
          <cell r="E647" t="str">
            <v>AB PP WC NZ AA NS50PL +R DFP (2176)</v>
          </cell>
        </row>
        <row r="648">
          <cell r="B648" t="str">
            <v>NZNS50P-P</v>
          </cell>
          <cell r="C648" t="str">
            <v>WAAD235R-CPN16E</v>
          </cell>
          <cell r="D648">
            <v>1</v>
          </cell>
          <cell r="E648" t="str">
            <v>AB PP WC NZ AA NS50P +L STD (2175)</v>
          </cell>
        </row>
        <row r="649">
          <cell r="B649" t="str">
            <v>NZNS50ZL-P</v>
          </cell>
          <cell r="C649" t="str">
            <v>WAAA464Z-CPN16E</v>
          </cell>
          <cell r="D649">
            <v>1</v>
          </cell>
          <cell r="E649" t="str">
            <v>AB PP WC NZ AA NS50ZL +R DFP (2172)</v>
          </cell>
        </row>
        <row r="650">
          <cell r="B650" t="str">
            <v>NZNS50Z-P</v>
          </cell>
          <cell r="C650" t="str">
            <v>WAAA464R-CPN16E</v>
          </cell>
          <cell r="D650">
            <v>1</v>
          </cell>
          <cell r="E650" t="str">
            <v>AB PP WC NZ AA NS50Z +L STD (2171)</v>
          </cell>
        </row>
        <row r="651">
          <cell r="B651" t="str">
            <v>OPC24AL-P</v>
          </cell>
          <cell r="C651" t="str">
            <v>WOPC24BL-CPN00L</v>
          </cell>
          <cell r="D651">
            <v>1</v>
          </cell>
          <cell r="E651" t="str">
            <v>AB PP WC OPTIMUM GOLD C24/N40 +R</v>
          </cell>
        </row>
        <row r="652">
          <cell r="B652" t="str">
            <v>OPD23BL-P</v>
          </cell>
          <cell r="C652" t="str">
            <v>WOPD23BL-CPN00L</v>
          </cell>
          <cell r="D652">
            <v>1</v>
          </cell>
          <cell r="E652" t="str">
            <v>AB PP WC OPTIMUM GOLD D23/NS50 +R</v>
          </cell>
        </row>
        <row r="653">
          <cell r="B653" t="str">
            <v>OPD26BL-P</v>
          </cell>
          <cell r="C653" t="str">
            <v>WOPD26BL-CPN00L</v>
          </cell>
          <cell r="D653">
            <v>1</v>
          </cell>
          <cell r="E653" t="str">
            <v>AB PP WC OPTIMUM GOLD D26/N50 +R</v>
          </cell>
        </row>
        <row r="654">
          <cell r="B654" t="str">
            <v>OPD31AL-P</v>
          </cell>
          <cell r="C654" t="str">
            <v>WOPD31BL-CPN00L</v>
          </cell>
          <cell r="D654">
            <v>1</v>
          </cell>
          <cell r="E654" t="str">
            <v>AB PP WC OPTIMUM GOLD D31/N70 +R</v>
          </cell>
        </row>
        <row r="655">
          <cell r="B655" t="str">
            <v>OPDIN44-MF-P</v>
          </cell>
          <cell r="C655" t="str">
            <v>WOUN44DL-CP123E</v>
          </cell>
          <cell r="D655">
            <v>1</v>
          </cell>
          <cell r="E655" t="str">
            <v>AB PP WC OPTUS-INDIA DIN44-MF CPBK +R</v>
          </cell>
        </row>
        <row r="656">
          <cell r="B656" t="str">
            <v>OPDIN55-MF-P</v>
          </cell>
          <cell r="C656" t="str">
            <v>WOUN55EL-CP123E</v>
          </cell>
          <cell r="D656">
            <v>1</v>
          </cell>
          <cell r="E656" t="str">
            <v>AB PP WC OPTUS-INDIA DIN55-MF CPBK +R</v>
          </cell>
        </row>
        <row r="657">
          <cell r="B657" t="str">
            <v>OPDIN66-MF-P</v>
          </cell>
          <cell r="C657" t="str">
            <v>WOUN66DL-CP123E</v>
          </cell>
          <cell r="D657">
            <v>1</v>
          </cell>
          <cell r="E657" t="str">
            <v>AB PP WC OPTUS-INDIA DIN66-MF CPBK +R</v>
          </cell>
        </row>
        <row r="658">
          <cell r="B658" t="str">
            <v>OPDIN88-MF-P</v>
          </cell>
          <cell r="C658" t="str">
            <v>WOUN88BL-CP123E</v>
          </cell>
          <cell r="D658">
            <v>1</v>
          </cell>
          <cell r="E658" t="str">
            <v>AB PP WC OPTUS-INDIA DIN88-MF CPBK +R</v>
          </cell>
        </row>
        <row r="659">
          <cell r="B659" t="str">
            <v>OPN50Z-MF-P</v>
          </cell>
          <cell r="C659" t="str">
            <v>WOUG24CR-CP323E</v>
          </cell>
          <cell r="D659">
            <v>1</v>
          </cell>
          <cell r="E659" t="str">
            <v>AB PP WC OPTUS N50Z +L</v>
          </cell>
        </row>
        <row r="660">
          <cell r="B660" t="str">
            <v>OPN70Z-MF-P</v>
          </cell>
          <cell r="C660" t="str">
            <v>WOUG27ER-CP323E</v>
          </cell>
          <cell r="D660">
            <v>1</v>
          </cell>
          <cell r="E660" t="str">
            <v>AB PP WC OPTUS N70Z +L</v>
          </cell>
        </row>
        <row r="661">
          <cell r="B661" t="str">
            <v>OPNS40L-MF-P</v>
          </cell>
          <cell r="C661" t="str">
            <v>WOUB20BB-CP123E</v>
          </cell>
          <cell r="D661">
            <v>1</v>
          </cell>
          <cell r="E661" t="str">
            <v>AB PP WC OPTUS NS40 +R</v>
          </cell>
        </row>
        <row r="662">
          <cell r="B662" t="str">
            <v>OPNS40ZL-MF-P</v>
          </cell>
          <cell r="C662" t="str">
            <v>WOUB20CB-CP123E</v>
          </cell>
          <cell r="D662">
            <v>1</v>
          </cell>
          <cell r="E662" t="str">
            <v>AB PP WC OPTUS NS40Z +R</v>
          </cell>
        </row>
        <row r="663">
          <cell r="B663" t="str">
            <v>OPNS70-MF-P</v>
          </cell>
          <cell r="C663" t="str">
            <v>WOUG24DR-CP323E</v>
          </cell>
          <cell r="D663">
            <v>1</v>
          </cell>
          <cell r="E663" t="str">
            <v>AB PP WC OPTUS-INDIA NS70 MF CPBK +L</v>
          </cell>
        </row>
        <row r="664">
          <cell r="B664" t="str">
            <v>OSP80D26L-P-TY</v>
          </cell>
          <cell r="C664" t="str">
            <v>WOSD26FL-CPNTYL</v>
          </cell>
          <cell r="D664">
            <v>1</v>
          </cell>
          <cell r="E664" t="str">
            <v>AB PP WC TOYOTA 80D26L-MF BLK +R</v>
          </cell>
        </row>
        <row r="665">
          <cell r="B665" t="str">
            <v>PLC24ALD-P</v>
          </cell>
          <cell r="C665" t="str">
            <v>EPLC24BL-SPN00L</v>
          </cell>
          <cell r="D665">
            <v>1</v>
          </cell>
          <cell r="E665" t="str">
            <v>AB PP DC POWERLAST C24 +R</v>
          </cell>
        </row>
        <row r="666">
          <cell r="B666" t="str">
            <v>PLD22ALD-P</v>
          </cell>
          <cell r="C666" t="str">
            <v>EPLD23AL-SPN00L</v>
          </cell>
          <cell r="D666">
            <v>1</v>
          </cell>
          <cell r="E666" t="str">
            <v>AB PP DC POWERLAST 1SMF/D22 +R</v>
          </cell>
        </row>
        <row r="667">
          <cell r="B667" t="str">
            <v>PLD26ALD-P</v>
          </cell>
          <cell r="C667" t="str">
            <v>EPLD26AL-SPN00L</v>
          </cell>
          <cell r="D667">
            <v>1</v>
          </cell>
          <cell r="E667" t="str">
            <v>AB PP DC POWERLAST 2SMF/D26 +R</v>
          </cell>
        </row>
        <row r="668">
          <cell r="B668" t="str">
            <v>PLD31ALD-P</v>
          </cell>
          <cell r="C668" t="str">
            <v>EPLD31AL-SPN00L</v>
          </cell>
          <cell r="D668">
            <v>1</v>
          </cell>
          <cell r="E668" t="str">
            <v>AB PP DC POWERLAST 3SMF/D31 +R</v>
          </cell>
        </row>
        <row r="669">
          <cell r="B669" t="str">
            <v>PLE41ALD-P</v>
          </cell>
          <cell r="C669" t="str">
            <v>EPLE41AL-SPN00L</v>
          </cell>
          <cell r="D669">
            <v>1</v>
          </cell>
          <cell r="E669" t="str">
            <v>AB PP DC POWERLAST-OMMC N100 +R AUTO</v>
          </cell>
        </row>
        <row r="670">
          <cell r="B670" t="str">
            <v>PLF51ALD-P</v>
          </cell>
          <cell r="C670" t="str">
            <v>EPLF51BL-SPN00L</v>
          </cell>
          <cell r="D670">
            <v>1</v>
          </cell>
          <cell r="E670" t="str">
            <v>AB PP DC POWERLAST 2D/F51AL (N120)</v>
          </cell>
        </row>
        <row r="671">
          <cell r="B671" t="str">
            <v>PLG51ALD-P</v>
          </cell>
          <cell r="C671" t="str">
            <v>EPLG51AL-SPN00L</v>
          </cell>
          <cell r="D671">
            <v>1</v>
          </cell>
          <cell r="E671" t="str">
            <v>AB PP DC POWERLAST G51 +R</v>
          </cell>
        </row>
        <row r="672">
          <cell r="B672" t="str">
            <v>PLH52ALD-P</v>
          </cell>
          <cell r="C672" t="str">
            <v>EPLH52BL-SPN00L</v>
          </cell>
          <cell r="D672">
            <v>1</v>
          </cell>
          <cell r="E672" t="str">
            <v>AB PP DC POWERLAST-OMMC N200 +R AUTO</v>
          </cell>
        </row>
        <row r="673">
          <cell r="B673" t="str">
            <v>PMD31BLD-P</v>
          </cell>
          <cell r="C673" t="str">
            <v>EPMD31NL-SPN00L</v>
          </cell>
          <cell r="D673">
            <v>1</v>
          </cell>
          <cell r="E673" t="str">
            <v>3SMF DEEP CYCLE PMD31BLD-P</v>
          </cell>
        </row>
        <row r="674">
          <cell r="B674" t="str">
            <v>PPC24ALD-P</v>
          </cell>
          <cell r="C674" t="str">
            <v>EPKC24BL-SPN00L</v>
          </cell>
          <cell r="D674">
            <v>1</v>
          </cell>
          <cell r="E674" t="str">
            <v>AB PP DC POWERPACK C24 +R</v>
          </cell>
        </row>
        <row r="675">
          <cell r="B675" t="str">
            <v>PPD22ALD-P</v>
          </cell>
          <cell r="C675" t="str">
            <v>EPKD23AL-SPN00L</v>
          </cell>
          <cell r="D675">
            <v>1</v>
          </cell>
          <cell r="E675" t="str">
            <v>AB PP DC POWER PACK 1SMF/D22 +R</v>
          </cell>
        </row>
        <row r="676">
          <cell r="B676" t="str">
            <v>PPD26ALD-P</v>
          </cell>
          <cell r="C676" t="str">
            <v>EPKD26AL-SPN00L</v>
          </cell>
          <cell r="D676">
            <v>1</v>
          </cell>
          <cell r="E676" t="str">
            <v>AB PP DC POWER PACK 2SMF/D26 +R</v>
          </cell>
        </row>
        <row r="677">
          <cell r="B677" t="str">
            <v>PPD31ALD-P</v>
          </cell>
          <cell r="C677" t="str">
            <v>EPKD31AL-SPN00L</v>
          </cell>
          <cell r="D677">
            <v>1</v>
          </cell>
          <cell r="E677" t="str">
            <v>AB PP DC POWER PACK 3SMF/D31 +R</v>
          </cell>
        </row>
        <row r="678">
          <cell r="B678" t="str">
            <v>PPE41ALD-P</v>
          </cell>
          <cell r="C678" t="str">
            <v>EPKE41AL-SPN00L</v>
          </cell>
          <cell r="D678">
            <v>1</v>
          </cell>
          <cell r="E678" t="str">
            <v>AB PP DC POWERPACK-OMMC N100 +R AUTO</v>
          </cell>
        </row>
        <row r="679">
          <cell r="B679" t="str">
            <v>PPF51ALD-P</v>
          </cell>
          <cell r="C679" t="str">
            <v>EPKF51BL-SPN00L</v>
          </cell>
          <cell r="D679">
            <v>1</v>
          </cell>
          <cell r="E679" t="str">
            <v>AB PP DC POWERPACK 2D/F51AL (N120)</v>
          </cell>
        </row>
        <row r="680">
          <cell r="B680" t="str">
            <v>PPG51ALD-P</v>
          </cell>
          <cell r="C680" t="str">
            <v>EPKG51AL-SPN00L</v>
          </cell>
          <cell r="D680">
            <v>1</v>
          </cell>
          <cell r="E680" t="str">
            <v>AB PP DC POWERPACK G51 +R</v>
          </cell>
        </row>
        <row r="681">
          <cell r="B681" t="str">
            <v>PPH52ALD-P</v>
          </cell>
          <cell r="C681" t="str">
            <v>EPKH52BL-SPN00L</v>
          </cell>
          <cell r="D681">
            <v>1</v>
          </cell>
          <cell r="E681" t="str">
            <v>AB PP DC POWERPACK-OMMC N200 +R AUTO</v>
          </cell>
        </row>
        <row r="682">
          <cell r="B682" t="str">
            <v>PTMFN55-P</v>
          </cell>
          <cell r="C682" t="str">
            <v>WSGN55DL-TS124E</v>
          </cell>
          <cell r="D682">
            <v>1</v>
          </cell>
          <cell r="E682" t="str">
            <v>AB PP WC P.T.GRAM-INDNESIA TS-DIN55</v>
          </cell>
        </row>
        <row r="683">
          <cell r="B683" t="str">
            <v>PTMFN55Z-P</v>
          </cell>
          <cell r="C683" t="str">
            <v>WSGN55EL-TS124E</v>
          </cell>
          <cell r="D683">
            <v>1</v>
          </cell>
          <cell r="E683" t="str">
            <v>AB PP WC P.T.GRAM-INDNESIA TS-DIN55Z</v>
          </cell>
        </row>
        <row r="684">
          <cell r="B684" t="str">
            <v>PTMFN66-P</v>
          </cell>
          <cell r="C684" t="str">
            <v>WSGN66DL-TS124E</v>
          </cell>
          <cell r="D684">
            <v>1</v>
          </cell>
          <cell r="E684" t="str">
            <v>AB PP WC P.T.GRAM-INDNESIA TS-DIN66</v>
          </cell>
        </row>
        <row r="685">
          <cell r="B685" t="str">
            <v>PTMFN88-P</v>
          </cell>
          <cell r="C685" t="str">
            <v>WSGN88BL-TS124E</v>
          </cell>
          <cell r="D685">
            <v>1</v>
          </cell>
          <cell r="E685" t="str">
            <v>AB PP WC P.T.GRAM-INDNESIA TS-DIN88</v>
          </cell>
        </row>
        <row r="686">
          <cell r="B686" t="str">
            <v>PTN50ZL-P</v>
          </cell>
          <cell r="C686" t="str">
            <v>WSGG24CL-TS324E</v>
          </cell>
          <cell r="D686">
            <v>1</v>
          </cell>
          <cell r="E686" t="str">
            <v>AB PP WC P.T.GRAM-INDNESIA TS-G24 +R</v>
          </cell>
        </row>
        <row r="687">
          <cell r="B687" t="str">
            <v>PTN50Z-P</v>
          </cell>
          <cell r="C687" t="str">
            <v>WSGG24CR-TS324E</v>
          </cell>
          <cell r="D687">
            <v>1</v>
          </cell>
          <cell r="E687" t="str">
            <v>AB PP WC P.T.GRAM-INDNESIA TS-G24 +L</v>
          </cell>
        </row>
        <row r="688">
          <cell r="B688" t="str">
            <v>PTN70ZL-P</v>
          </cell>
          <cell r="C688" t="str">
            <v>WSGG27EL-TS324E</v>
          </cell>
          <cell r="D688">
            <v>1</v>
          </cell>
          <cell r="E688" t="str">
            <v>AB PP WC P.T.GRAM-INDNESIA TS-G27+R</v>
          </cell>
        </row>
        <row r="689">
          <cell r="B689" t="str">
            <v>PTN70Z-P</v>
          </cell>
          <cell r="C689" t="str">
            <v>WSGG27ER-TS324E</v>
          </cell>
          <cell r="D689">
            <v>1</v>
          </cell>
          <cell r="E689" t="str">
            <v>AB PP WC P.T.GRAM-INDNESIA TS-G27 +L</v>
          </cell>
        </row>
        <row r="690">
          <cell r="B690" t="str">
            <v>PTNS40ZLS(O)-P</v>
          </cell>
          <cell r="C690" t="str">
            <v>WSGB20CL-TS124E</v>
          </cell>
          <cell r="D690">
            <v>1</v>
          </cell>
          <cell r="E690" t="str">
            <v>AB PP WC P.T.GRAM-INDNESIA TS-NS40ZL +R</v>
          </cell>
        </row>
        <row r="691">
          <cell r="B691" t="str">
            <v>PTNS40ZS(O)-P</v>
          </cell>
          <cell r="C691" t="str">
            <v>WSGB20CR-TS124E</v>
          </cell>
          <cell r="D691">
            <v>1</v>
          </cell>
          <cell r="E691" t="str">
            <v>AB PP WC P.T.GRAM-INDNESIA TS-NS40ZS +L</v>
          </cell>
        </row>
        <row r="692">
          <cell r="B692" t="str">
            <v>PTNS60L-P</v>
          </cell>
          <cell r="C692" t="str">
            <v>WSGB24BB-TS324E</v>
          </cell>
          <cell r="D692">
            <v>1</v>
          </cell>
          <cell r="E692" t="str">
            <v>AB PP WC P.T.GRAM-INDNESIA TS-B24 JIS +R</v>
          </cell>
        </row>
        <row r="693">
          <cell r="B693" t="str">
            <v>PTNS60LS-P</v>
          </cell>
          <cell r="C693" t="str">
            <v>WSGB24BL-TS324E</v>
          </cell>
          <cell r="D693">
            <v>1</v>
          </cell>
          <cell r="E693" t="str">
            <v>AB PP WC P.T.GRAM-INDNESIA TS-B24 +R</v>
          </cell>
        </row>
        <row r="694">
          <cell r="B694" t="str">
            <v>PTNS60-P</v>
          </cell>
          <cell r="C694" t="str">
            <v>WSGB24BA-TS324E</v>
          </cell>
          <cell r="D694">
            <v>1</v>
          </cell>
          <cell r="E694" t="str">
            <v>AB PP WC P.T.GRAM-INDNESIA TS-B24 JIS +L</v>
          </cell>
        </row>
        <row r="695">
          <cell r="B695" t="str">
            <v>PTNS60S-P</v>
          </cell>
          <cell r="C695" t="str">
            <v>WSGB24BR-TS324E</v>
          </cell>
          <cell r="D695">
            <v>1</v>
          </cell>
          <cell r="E695" t="str">
            <v>AB PP WC P.T.GRAM-INDNESIA TS-B24 +L</v>
          </cell>
        </row>
        <row r="696">
          <cell r="B696" t="str">
            <v>PTNS60ZZL-P</v>
          </cell>
          <cell r="C696" t="str">
            <v>WSGB24FB-TS324E</v>
          </cell>
          <cell r="D696">
            <v>1</v>
          </cell>
          <cell r="E696" t="str">
            <v>AB PP WC P.T.GRAM-INDNESIA TS-B24 JIS +R</v>
          </cell>
        </row>
        <row r="697">
          <cell r="B697" t="str">
            <v>PTNS60ZZ-P</v>
          </cell>
          <cell r="C697" t="str">
            <v>WSGB24FA-TS324E</v>
          </cell>
          <cell r="D697">
            <v>1</v>
          </cell>
          <cell r="E697" t="str">
            <v>AB PP WC P.T.GRAM-INDNESIA TS-JIS +L</v>
          </cell>
        </row>
        <row r="698">
          <cell r="B698" t="str">
            <v>PTNS70L-P</v>
          </cell>
          <cell r="C698" t="str">
            <v>WSGG24DL-TS324E</v>
          </cell>
          <cell r="D698">
            <v>1</v>
          </cell>
          <cell r="E698" t="str">
            <v>AB PP WC P.T.GRAM-INDNESIA TS-NS70L+R</v>
          </cell>
        </row>
        <row r="699">
          <cell r="B699" t="str">
            <v>PTNS70-P</v>
          </cell>
          <cell r="C699" t="str">
            <v>WSGG24DR-TS324E</v>
          </cell>
          <cell r="D699">
            <v>1</v>
          </cell>
          <cell r="E699" t="str">
            <v>AB PP WC P.T.GRAM-INDNESIA TS-NS70 +L</v>
          </cell>
        </row>
        <row r="700">
          <cell r="B700" t="str">
            <v>PTNX110L-P</v>
          </cell>
          <cell r="C700" t="str">
            <v>WSGG24EL-TS324E</v>
          </cell>
          <cell r="D700">
            <v>1</v>
          </cell>
          <cell r="E700" t="str">
            <v>AB PP WC P.T.GRAM-INDNESIA TS-NX110L</v>
          </cell>
        </row>
        <row r="701">
          <cell r="B701" t="str">
            <v>PTNX110-P</v>
          </cell>
          <cell r="C701" t="str">
            <v>WSGG24ER-TS324E</v>
          </cell>
          <cell r="D701">
            <v>1</v>
          </cell>
          <cell r="E701" t="str">
            <v>AB PP WC P.T.GRAM-INDNESIA TS-NX110</v>
          </cell>
        </row>
        <row r="702">
          <cell r="B702" t="str">
            <v>PTNX120ZL-P</v>
          </cell>
          <cell r="C702" t="str">
            <v>WSGG27FL-TS324E</v>
          </cell>
          <cell r="D702">
            <v>1</v>
          </cell>
          <cell r="E702" t="str">
            <v>AB PP WC P.T.GRAM-INDNESIA TS-NX120ZL</v>
          </cell>
        </row>
        <row r="703">
          <cell r="B703" t="str">
            <v>PTNX120Z-P</v>
          </cell>
          <cell r="C703" t="str">
            <v>WSGG27FR-TS324E</v>
          </cell>
          <cell r="D703">
            <v>1</v>
          </cell>
          <cell r="E703" t="str">
            <v>AB PP WC P.T.GRAM-INDNESIA TS-NX120Z</v>
          </cell>
        </row>
        <row r="704">
          <cell r="B704" t="str">
            <v>RMC24ALD-P</v>
          </cell>
          <cell r="C704" t="str">
            <v>ERMC24BL-SPN00L</v>
          </cell>
          <cell r="D704">
            <v>1</v>
          </cell>
          <cell r="E704" t="str">
            <v>AB PP DC ROADMASTER C24 +R</v>
          </cell>
        </row>
        <row r="705">
          <cell r="B705" t="str">
            <v>RMD22ALD-P</v>
          </cell>
          <cell r="C705" t="str">
            <v>ERMD23AL-SPN00L</v>
          </cell>
          <cell r="D705">
            <v>1</v>
          </cell>
          <cell r="E705" t="str">
            <v>AB PP DC ROAD MASTER 1SMF/D22 +R</v>
          </cell>
        </row>
        <row r="706">
          <cell r="B706" t="str">
            <v>RMD26ALD-P</v>
          </cell>
          <cell r="C706" t="str">
            <v>ERMD26AL-SPN00L</v>
          </cell>
          <cell r="D706">
            <v>1</v>
          </cell>
          <cell r="E706" t="str">
            <v>AB PP DC ROAD MASTER 2SMF/D26 +R</v>
          </cell>
        </row>
        <row r="707">
          <cell r="B707" t="str">
            <v>RMD31ALD-P</v>
          </cell>
          <cell r="C707" t="str">
            <v>ERMD31AL-SPN00L</v>
          </cell>
          <cell r="D707">
            <v>1</v>
          </cell>
          <cell r="E707" t="str">
            <v>AB PP DC ROAD MASTER 3SMF/D31 +R</v>
          </cell>
        </row>
        <row r="708">
          <cell r="B708" t="str">
            <v>RME41ALD-P</v>
          </cell>
          <cell r="C708" t="str">
            <v>ERME41AL-SPN00L</v>
          </cell>
          <cell r="D708">
            <v>1</v>
          </cell>
          <cell r="E708" t="str">
            <v>AB PP DC ROADMASTER-OMMC N100 +R AUTO</v>
          </cell>
        </row>
        <row r="709">
          <cell r="B709" t="str">
            <v>RMF51ALD-P</v>
          </cell>
          <cell r="C709" t="str">
            <v>ERMF51BL-SPN00L</v>
          </cell>
          <cell r="D709">
            <v>1</v>
          </cell>
          <cell r="E709" t="str">
            <v>AB PP DC ROADMASTER 2D/F51AL</v>
          </cell>
        </row>
        <row r="710">
          <cell r="B710" t="str">
            <v>RMG51ALD-P</v>
          </cell>
          <cell r="C710" t="str">
            <v>ERMG51AL-SPN00L</v>
          </cell>
          <cell r="D710">
            <v>1</v>
          </cell>
          <cell r="E710" t="str">
            <v>AB PP DC ROADMASTER G51 +R</v>
          </cell>
        </row>
        <row r="711">
          <cell r="B711" t="str">
            <v>RMH52ALD-P</v>
          </cell>
          <cell r="C711" t="str">
            <v>ERMH52BL-SPN00L</v>
          </cell>
          <cell r="D711">
            <v>1</v>
          </cell>
          <cell r="E711" t="str">
            <v>AB PP DC ROADMASTER-OMMC N200 +R AUTO</v>
          </cell>
        </row>
        <row r="712">
          <cell r="B712" t="str">
            <v>SC65D26LD-P</v>
          </cell>
          <cell r="C712" t="str">
            <v>DSGD26CL-SPN12E</v>
          </cell>
          <cell r="D712">
            <v>1</v>
          </cell>
          <cell r="E712" t="str">
            <v>AB PP SUNNY CHINA 65D26L +R</v>
          </cell>
        </row>
        <row r="713">
          <cell r="B713" t="str">
            <v>SC65D26RD-P</v>
          </cell>
          <cell r="C713" t="str">
            <v>DSGD26CR-SPN12E</v>
          </cell>
          <cell r="D713">
            <v>1</v>
          </cell>
          <cell r="E713" t="str">
            <v>AB PP SUNNY CHINA 65D26R +L</v>
          </cell>
        </row>
        <row r="714">
          <cell r="B714" t="str">
            <v>SC75D26LD-P</v>
          </cell>
          <cell r="C714" t="str">
            <v>DSGD26DL-SPN12E</v>
          </cell>
          <cell r="D714">
            <v>1</v>
          </cell>
          <cell r="E714" t="str">
            <v>AB PP DC HK-SCGOLD 75D26L +R</v>
          </cell>
        </row>
        <row r="715">
          <cell r="B715" t="str">
            <v>SC75D26RD-P</v>
          </cell>
          <cell r="C715" t="str">
            <v>DSGD26DR-SPN12E</v>
          </cell>
          <cell r="D715">
            <v>1</v>
          </cell>
          <cell r="E715" t="str">
            <v>AB PP DC HK-SCGOLD 75D26R +L</v>
          </cell>
        </row>
        <row r="716">
          <cell r="B716" t="str">
            <v>SC80D26LD-P</v>
          </cell>
          <cell r="C716" t="str">
            <v>DSGD26EL-SPN12E</v>
          </cell>
          <cell r="D716">
            <v>1</v>
          </cell>
          <cell r="E716" t="str">
            <v>AB PP DC HK-SCGOLD 80D26L +R</v>
          </cell>
        </row>
        <row r="717">
          <cell r="B717" t="str">
            <v>SC80D26RD-P</v>
          </cell>
          <cell r="C717" t="str">
            <v>DSGD26ER-SPN12E</v>
          </cell>
          <cell r="D717">
            <v>1</v>
          </cell>
          <cell r="E717" t="str">
            <v>AB PP DC HK-SCGOLD 80D26R +L</v>
          </cell>
        </row>
        <row r="718">
          <cell r="B718" t="str">
            <v>SC95D31RD-P</v>
          </cell>
          <cell r="C718" t="str">
            <v>DSGD31ER-SPN12E</v>
          </cell>
          <cell r="D718">
            <v>1</v>
          </cell>
          <cell r="E718" t="str">
            <v>AB PP DC HK-SCGOLD 95D31R +L</v>
          </cell>
        </row>
        <row r="719">
          <cell r="B719" t="str">
            <v>SCD23CL-P</v>
          </cell>
          <cell r="C719" t="str">
            <v>WSCD235L-CPN03E</v>
          </cell>
          <cell r="D719">
            <v>1</v>
          </cell>
          <cell r="E719" t="str">
            <v>AB PP WC EX-SUPCHA D23CL +R</v>
          </cell>
        </row>
        <row r="720">
          <cell r="B720" t="str">
            <v>SCD23CR-P</v>
          </cell>
          <cell r="C720" t="str">
            <v>WSCD235R-CPN03E</v>
          </cell>
          <cell r="D720">
            <v>1</v>
          </cell>
          <cell r="E720" t="str">
            <v>AB PP WC EX-SUPCHA D23CR +L</v>
          </cell>
        </row>
        <row r="721">
          <cell r="B721" t="str">
            <v>SCD48-P</v>
          </cell>
          <cell r="C721" t="str">
            <v>WATA46NM-SPN03E</v>
          </cell>
          <cell r="D721">
            <v>1</v>
          </cell>
          <cell r="E721" t="str">
            <v>AB PP DC SC AMP-TECH D48 +L</v>
          </cell>
        </row>
        <row r="722">
          <cell r="B722" t="str">
            <v>SCD50Z-P</v>
          </cell>
          <cell r="C722" t="str">
            <v>DATD26OF-SPN03E</v>
          </cell>
          <cell r="D722">
            <v>1</v>
          </cell>
          <cell r="E722" t="str">
            <v>AB PP DC EX-SUPCHA DEEP-CYCLE N50 +R</v>
          </cell>
        </row>
        <row r="723">
          <cell r="B723" t="str">
            <v>SCD70Z-P</v>
          </cell>
          <cell r="C723" t="str">
            <v>DATD31PF-SPN03E</v>
          </cell>
          <cell r="D723">
            <v>1</v>
          </cell>
          <cell r="E723" t="str">
            <v>AB PP DC EX-SUPCHA DEEP-CYCLE N70 +R</v>
          </cell>
        </row>
        <row r="724">
          <cell r="B724" t="str">
            <v>SCD87L-P</v>
          </cell>
          <cell r="C724" t="str">
            <v>WATB31QR-CPP03E</v>
          </cell>
          <cell r="D724">
            <v>1</v>
          </cell>
          <cell r="E724" t="str">
            <v>AB PP WC EX-SUPCHA D87L DEEP CYC +L AUTO</v>
          </cell>
        </row>
        <row r="725">
          <cell r="B725" t="str">
            <v>SCDIN55-MF-P</v>
          </cell>
          <cell r="C725" t="str">
            <v>WSGN55EL-CP111E</v>
          </cell>
          <cell r="D725">
            <v>1</v>
          </cell>
          <cell r="E725" t="str">
            <v>AB PP WC SCGOLD WATTA DIN55 MF +R</v>
          </cell>
        </row>
        <row r="726">
          <cell r="B726" t="str">
            <v>SCDIN55R-MF-P</v>
          </cell>
          <cell r="C726" t="str">
            <v>WSGN55ER-CP111E</v>
          </cell>
          <cell r="D726">
            <v>1</v>
          </cell>
          <cell r="E726" t="str">
            <v>AB PP WC SCGOLD WATTA DIN55 MF +L</v>
          </cell>
        </row>
        <row r="727">
          <cell r="B727" t="str">
            <v>SCDIN66-MF-P</v>
          </cell>
          <cell r="C727" t="str">
            <v>WSGN66DL-CP111E</v>
          </cell>
          <cell r="D727">
            <v>1</v>
          </cell>
          <cell r="E727" t="str">
            <v>AB PP WC SCGOLD WATTA DIN66 MF +R</v>
          </cell>
        </row>
        <row r="728">
          <cell r="B728" t="str">
            <v>SCDIN66R-MF-P</v>
          </cell>
          <cell r="C728" t="str">
            <v>WSGN66DR-CP111E</v>
          </cell>
          <cell r="D728">
            <v>1</v>
          </cell>
          <cell r="E728" t="str">
            <v>AB PP WC SCGOLD WATTA DIN66 MF +L</v>
          </cell>
        </row>
        <row r="729">
          <cell r="B729" t="str">
            <v>SCG34/78-8MF</v>
          </cell>
          <cell r="C729" t="str">
            <v>WSGD788D-TS403E</v>
          </cell>
          <cell r="D729">
            <v>1</v>
          </cell>
          <cell r="E729" t="str">
            <v>AB PP WC SC G34/78-8 SEALED-MF +L</v>
          </cell>
        </row>
        <row r="730">
          <cell r="B730" t="str">
            <v>SCG49L-8MF</v>
          </cell>
          <cell r="C730" t="str">
            <v>WSGG49DL-TS203E</v>
          </cell>
          <cell r="D730">
            <v>1</v>
          </cell>
          <cell r="E730" t="str">
            <v>AB PP WC SUPCHA TLY-SLD G49-8MF +R</v>
          </cell>
        </row>
        <row r="731">
          <cell r="B731" t="str">
            <v>SCG49-MF-P</v>
          </cell>
          <cell r="C731" t="str">
            <v>USGG49AL-CP111E</v>
          </cell>
          <cell r="D731">
            <v>1</v>
          </cell>
          <cell r="E731" t="str">
            <v>AB PP UB WATTA-MALYSIA DIN100/G49 +R</v>
          </cell>
        </row>
        <row r="732">
          <cell r="B732" t="str">
            <v>SCG58-5MF</v>
          </cell>
          <cell r="C732" t="str">
            <v>WSGG585L-TS303E</v>
          </cell>
          <cell r="D732">
            <v>1</v>
          </cell>
          <cell r="E732" t="str">
            <v>AB PP WC SC G58-5 SEALED MF +L</v>
          </cell>
        </row>
        <row r="733">
          <cell r="B733" t="str">
            <v>SCG58R-5MF</v>
          </cell>
          <cell r="C733" t="str">
            <v>WSGG585R-TS303E</v>
          </cell>
          <cell r="D733">
            <v>1</v>
          </cell>
          <cell r="E733" t="str">
            <v>AB PP WC SC G58-5 SEALED-MF +R</v>
          </cell>
        </row>
        <row r="734">
          <cell r="B734" t="str">
            <v>SCG65-8MF</v>
          </cell>
          <cell r="C734" t="str">
            <v>WSGG658E-TS303E</v>
          </cell>
          <cell r="D734">
            <v>1</v>
          </cell>
          <cell r="E734" t="str">
            <v>AB PP WC SC G65-8 SEALED-MF +L</v>
          </cell>
        </row>
        <row r="735">
          <cell r="B735" t="str">
            <v>SCG78-8MF</v>
          </cell>
          <cell r="C735" t="str">
            <v>WSGG788S-TS403E</v>
          </cell>
          <cell r="D735">
            <v>1</v>
          </cell>
          <cell r="E735" t="str">
            <v>AB PP WC SC G78-8 FLATTOP SLD-MF +L</v>
          </cell>
        </row>
        <row r="736">
          <cell r="B736" t="str">
            <v>SCGC2-19S</v>
          </cell>
          <cell r="C736" t="str">
            <v>DATGC2UF-SPN03E</v>
          </cell>
          <cell r="D736">
            <v>1</v>
          </cell>
          <cell r="E736" t="str">
            <v>AB PP DC SC-AMPTECH GC2 DC 220AH STUD</v>
          </cell>
        </row>
        <row r="737">
          <cell r="B737" t="str">
            <v>SCM50-P</v>
          </cell>
          <cell r="C737" t="str">
            <v>WSOD265F-SPN03E</v>
          </cell>
          <cell r="D737">
            <v>1</v>
          </cell>
          <cell r="E737" t="str">
            <v>AB PP WC EX-SUPCHA M50 (MARINE)</v>
          </cell>
        </row>
        <row r="738">
          <cell r="B738" t="str">
            <v>SCM70-P</v>
          </cell>
          <cell r="C738" t="str">
            <v>WSMD316M-SPN03E</v>
          </cell>
          <cell r="D738">
            <v>1</v>
          </cell>
          <cell r="E738" t="str">
            <v>AB PP WC EX-SUPCHA M70 (MARINE)</v>
          </cell>
        </row>
        <row r="739">
          <cell r="B739" t="str">
            <v>SCM87LZ-P</v>
          </cell>
          <cell r="C739" t="str">
            <v>WSMN877F-SPN03E</v>
          </cell>
          <cell r="D739">
            <v>1</v>
          </cell>
          <cell r="E739" t="str">
            <v>AB PP WC EX-SUPCHA M87LZ MARINE</v>
          </cell>
        </row>
        <row r="740">
          <cell r="B740" t="str">
            <v>SCMF31-930</v>
          </cell>
          <cell r="C740" t="str">
            <v>WSGB319T-TS203E</v>
          </cell>
          <cell r="D740">
            <v>1</v>
          </cell>
          <cell r="E740" t="str">
            <v>AB PP WC EX-SCGOLD MF31-930 G31 STUD</v>
          </cell>
        </row>
        <row r="741">
          <cell r="B741" t="str">
            <v>SCMF31-931</v>
          </cell>
          <cell r="C741" t="str">
            <v>WSGB319R-TS203E</v>
          </cell>
          <cell r="D741">
            <v>1</v>
          </cell>
          <cell r="E741" t="str">
            <v>AB PP EX SCGOLD MF31-931 G31 AUTO POST</v>
          </cell>
        </row>
        <row r="742">
          <cell r="B742" t="str">
            <v>SCMF50-P</v>
          </cell>
          <cell r="C742" t="str">
            <v>WSGA466R-TS203E</v>
          </cell>
          <cell r="D742">
            <v>1</v>
          </cell>
          <cell r="E742" t="str">
            <v>AB PP WC EX-SCGOLD MF50 AUTO POST</v>
          </cell>
        </row>
        <row r="743">
          <cell r="B743" t="str">
            <v>SCMF51-P</v>
          </cell>
          <cell r="C743" t="str">
            <v>WSGA4661-TS203E</v>
          </cell>
          <cell r="D743">
            <v>1</v>
          </cell>
          <cell r="E743" t="str">
            <v>AB PP WC EX-SCGOLD MF51 +R DF</v>
          </cell>
        </row>
        <row r="744">
          <cell r="B744" t="str">
            <v>SCMF52-P</v>
          </cell>
          <cell r="C744" t="str">
            <v>WSGA4662-TS203E</v>
          </cell>
          <cell r="D744">
            <v>1</v>
          </cell>
          <cell r="E744" t="str">
            <v>AB PP WC EX-SCGOLD MF52 +R</v>
          </cell>
        </row>
        <row r="745">
          <cell r="B745" t="str">
            <v>SCMF53-P</v>
          </cell>
          <cell r="C745" t="str">
            <v>WSGA4663-TS203E</v>
          </cell>
          <cell r="D745">
            <v>1</v>
          </cell>
          <cell r="E745" t="str">
            <v>AB PP WC EX-SCGOLD MF53 AUTO+R AU46</v>
          </cell>
        </row>
        <row r="746">
          <cell r="B746" t="str">
            <v>SCMF54-P</v>
          </cell>
          <cell r="C746" t="str">
            <v>WSGA4664-TS203E</v>
          </cell>
          <cell r="D746">
            <v>1</v>
          </cell>
          <cell r="E746" t="str">
            <v>AB PP WC EX-SCGOLD MF54 AUTO+L AU46</v>
          </cell>
        </row>
        <row r="747">
          <cell r="B747" t="str">
            <v>SCMF55B24L-P</v>
          </cell>
          <cell r="C747" t="str">
            <v>WSGB245B-TS403E</v>
          </cell>
          <cell r="D747">
            <v>1</v>
          </cell>
          <cell r="E747" t="str">
            <v>AB PP WC EX-SCGOLD MF55B24L</v>
          </cell>
        </row>
        <row r="748">
          <cell r="B748" t="str">
            <v>SCMF55B24LS-P</v>
          </cell>
          <cell r="C748" t="str">
            <v>WSGB244L-TS403E</v>
          </cell>
          <cell r="D748">
            <v>1</v>
          </cell>
          <cell r="E748" t="str">
            <v>AB PP WC EX-SCGOLD MF55B24LS REG POST</v>
          </cell>
        </row>
        <row r="749">
          <cell r="B749" t="str">
            <v>SCMF55B24R-P</v>
          </cell>
          <cell r="C749" t="str">
            <v>WSGB245A-TS403E</v>
          </cell>
          <cell r="D749">
            <v>1</v>
          </cell>
          <cell r="E749" t="str">
            <v>AB PP WC EX-SCGOLD MF55B24R SML POST</v>
          </cell>
        </row>
        <row r="750">
          <cell r="B750" t="str">
            <v>SCMF55B24RS-P</v>
          </cell>
          <cell r="C750" t="str">
            <v>WSGB244R-TS403E</v>
          </cell>
          <cell r="D750">
            <v>1</v>
          </cell>
          <cell r="E750" t="str">
            <v>AB PP WC EX-SCGOLD MF55B24RS REG POST</v>
          </cell>
        </row>
        <row r="751">
          <cell r="B751" t="str">
            <v>SCMF75D23L-P</v>
          </cell>
          <cell r="C751" t="str">
            <v>WSGD236L-TS403E</v>
          </cell>
          <cell r="D751">
            <v>1</v>
          </cell>
          <cell r="E751" t="str">
            <v>AB PP WC EX-SCGOLD MF75D23L +L REG POST</v>
          </cell>
        </row>
        <row r="752">
          <cell r="B752" t="str">
            <v>SCMF75D23R-P</v>
          </cell>
          <cell r="C752" t="str">
            <v>WSGD236R-TS403E</v>
          </cell>
          <cell r="D752">
            <v>1</v>
          </cell>
          <cell r="E752" t="str">
            <v>AB PP WC EX-SCGOLD MF75D23R REG POST</v>
          </cell>
        </row>
        <row r="753">
          <cell r="B753" t="str">
            <v>SCMF80D26L-P</v>
          </cell>
          <cell r="C753" t="str">
            <v>WSGG246L-TS403E</v>
          </cell>
          <cell r="D753">
            <v>1</v>
          </cell>
          <cell r="E753" t="str">
            <v>AB PP WC SC GOLD MF80D26L</v>
          </cell>
        </row>
        <row r="754">
          <cell r="B754" t="str">
            <v>SCMF80D26R-P</v>
          </cell>
          <cell r="C754" t="str">
            <v>WSGG246R-TS403E</v>
          </cell>
          <cell r="D754">
            <v>1</v>
          </cell>
          <cell r="E754" t="str">
            <v>AB PP WC SCGOLD MF80D26R</v>
          </cell>
        </row>
        <row r="755">
          <cell r="B755" t="str">
            <v>SCMF95D31L-P</v>
          </cell>
          <cell r="C755" t="str">
            <v>WSGA537L-TS203E</v>
          </cell>
          <cell r="D755">
            <v>1</v>
          </cell>
          <cell r="E755" t="str">
            <v>AB PP WC SCGOLD SCMF95D31L</v>
          </cell>
        </row>
        <row r="756">
          <cell r="B756" t="str">
            <v>SCMF95D31R-P</v>
          </cell>
          <cell r="C756" t="str">
            <v>WSGA537R-TS203E</v>
          </cell>
          <cell r="D756">
            <v>1</v>
          </cell>
          <cell r="E756" t="str">
            <v>AB PP WC SCGOLD MF95D31R GRP27</v>
          </cell>
        </row>
        <row r="757">
          <cell r="B757" t="str">
            <v>SCMFB20DFL-P</v>
          </cell>
          <cell r="C757" t="str">
            <v>WSGB203Z-TS203E</v>
          </cell>
          <cell r="D757">
            <v>1</v>
          </cell>
          <cell r="E757" t="str">
            <v>AB PP WC EX-SCGOLD B20DF SLD-MF +R</v>
          </cell>
        </row>
        <row r="758">
          <cell r="B758" t="str">
            <v>SCMFB20L-P</v>
          </cell>
          <cell r="C758" t="str">
            <v>WSGB203L-TS203E</v>
          </cell>
          <cell r="D758">
            <v>1</v>
          </cell>
          <cell r="E758" t="str">
            <v>AB PP WC EX-SCGOLD B20L MF +R SML</v>
          </cell>
        </row>
        <row r="759">
          <cell r="B759" t="str">
            <v>SCMFM48-P</v>
          </cell>
          <cell r="C759" t="str">
            <v>WSMA465F-TS203E</v>
          </cell>
          <cell r="D759">
            <v>1</v>
          </cell>
          <cell r="E759" t="str">
            <v>AB PP WC EX-SUPCHA MFM48 MARINE +L</v>
          </cell>
        </row>
        <row r="760">
          <cell r="B760" t="str">
            <v>SCMFM50-P</v>
          </cell>
          <cell r="C760" t="str">
            <v>WSOD266F-CP403E</v>
          </cell>
          <cell r="D760">
            <v>1</v>
          </cell>
          <cell r="E760" t="str">
            <v>AB PP WC EX-SCGOLD M50-MF +L SPCL BUSH</v>
          </cell>
        </row>
        <row r="761">
          <cell r="B761" t="str">
            <v>SCMFM70-P</v>
          </cell>
          <cell r="C761" t="str">
            <v>WSMD317F-CP403E</v>
          </cell>
          <cell r="D761">
            <v>1</v>
          </cell>
          <cell r="E761" t="str">
            <v>AB PP WC EX-SCGOLD M70-MF +L SPCL BUSH</v>
          </cell>
        </row>
        <row r="762">
          <cell r="B762" t="str">
            <v>SCMFM70-P</v>
          </cell>
          <cell r="C762" t="str">
            <v>WSOD317F-CP403E</v>
          </cell>
          <cell r="D762">
            <v>1</v>
          </cell>
          <cell r="E762" t="str">
            <v>AB PP WC EX-SCGOLD M70-MF +L SPCL BUSH</v>
          </cell>
        </row>
        <row r="763">
          <cell r="B763" t="str">
            <v>SCMFN200-P</v>
          </cell>
          <cell r="C763" t="str">
            <v>WSGH52WL-TS403E</v>
          </cell>
          <cell r="D763">
            <v>1</v>
          </cell>
          <cell r="E763" t="str">
            <v>WC N200-MF SC GOLD SC-AUSTRALIA</v>
          </cell>
        </row>
        <row r="764">
          <cell r="B764" t="str">
            <v>SCMFN43-P</v>
          </cell>
          <cell r="C764" t="str">
            <v>WSMN433Z-TS203E</v>
          </cell>
          <cell r="D764">
            <v>1</v>
          </cell>
          <cell r="E764" t="str">
            <v>AB PP WC EX-SCGOLD N43-MF +R DFP</v>
          </cell>
        </row>
        <row r="765">
          <cell r="B765" t="str">
            <v>SCMFN44-P</v>
          </cell>
          <cell r="C765" t="str">
            <v>WSGN44DL-TS203E</v>
          </cell>
          <cell r="D765">
            <v>1</v>
          </cell>
          <cell r="E765" t="str">
            <v>AB PP WC SC-GOLD DIN44-MF +R</v>
          </cell>
        </row>
        <row r="766">
          <cell r="B766" t="str">
            <v>SCMFN55-P</v>
          </cell>
          <cell r="C766" t="str">
            <v>WSGN55EL-TS203E</v>
          </cell>
          <cell r="D766">
            <v>1</v>
          </cell>
          <cell r="E766" t="str">
            <v>AB PP WC SC DIN55 SEALED-MF +R</v>
          </cell>
        </row>
        <row r="767">
          <cell r="B767" t="str">
            <v>SCMFN55R-P</v>
          </cell>
          <cell r="C767" t="str">
            <v>WSGN55ER-TS203E</v>
          </cell>
          <cell r="D767">
            <v>1</v>
          </cell>
          <cell r="E767" t="str">
            <v>AB PP WC SC DIN55 SEALED-MF +L</v>
          </cell>
        </row>
        <row r="768">
          <cell r="B768" t="str">
            <v>SCMFN66-P</v>
          </cell>
          <cell r="C768" t="str">
            <v>WSGN66DL-TS203E</v>
          </cell>
          <cell r="D768">
            <v>1</v>
          </cell>
          <cell r="E768" t="str">
            <v>AB PP WC SC DIN66 SEALED-MF +R</v>
          </cell>
        </row>
        <row r="769">
          <cell r="B769" t="str">
            <v>SCMFN66R-P</v>
          </cell>
          <cell r="C769" t="str">
            <v>WSGN66DR-TS203E</v>
          </cell>
          <cell r="D769">
            <v>1</v>
          </cell>
          <cell r="E769" t="str">
            <v>AB PP WC SC DIN66 SEALED-MF +L</v>
          </cell>
        </row>
        <row r="770">
          <cell r="B770" t="str">
            <v>SCMFN88-P</v>
          </cell>
          <cell r="C770" t="str">
            <v>WSGN88CL-TS203E</v>
          </cell>
          <cell r="D770">
            <v>1</v>
          </cell>
          <cell r="E770" t="str">
            <v>AB PP WC SC DIN88 SEALED-MF +R</v>
          </cell>
        </row>
        <row r="771">
          <cell r="B771" t="str">
            <v>SCMFN88-P</v>
          </cell>
          <cell r="C771" t="str">
            <v>WSMN88CL-TS203E</v>
          </cell>
          <cell r="D771">
            <v>1</v>
          </cell>
          <cell r="E771" t="str">
            <v>AB PP WC SC DIN88 SEALED-MF +R</v>
          </cell>
        </row>
        <row r="772">
          <cell r="B772" t="str">
            <v>SCMRV87-P</v>
          </cell>
          <cell r="C772" t="str">
            <v>WATB31QT-TS203E</v>
          </cell>
          <cell r="D772">
            <v>1</v>
          </cell>
          <cell r="E772" t="str">
            <v>AB PP WC SC AMP-TECH MRV87 +L</v>
          </cell>
        </row>
        <row r="773">
          <cell r="B773" t="str">
            <v>SCN100P</v>
          </cell>
          <cell r="C773" t="str">
            <v>WSCE417L-SPN03E</v>
          </cell>
          <cell r="D773">
            <v>1</v>
          </cell>
          <cell r="E773" t="str">
            <v>AB PP WC EX-SUPCHA N100 +L EXP/EXP</v>
          </cell>
        </row>
        <row r="774">
          <cell r="B774" t="str">
            <v>SCN120P</v>
          </cell>
          <cell r="C774" t="str">
            <v>DSCF518L-SPN03E</v>
          </cell>
          <cell r="D774">
            <v>1</v>
          </cell>
          <cell r="E774" t="str">
            <v>AB PP DC EX-SUPCHA N120L (21-PPC)</v>
          </cell>
        </row>
        <row r="775">
          <cell r="B775" t="str">
            <v>SCN150P</v>
          </cell>
          <cell r="C775" t="str">
            <v>DSCG519L-SPN03E</v>
          </cell>
          <cell r="D775">
            <v>1</v>
          </cell>
          <cell r="E775" t="str">
            <v>AB PP DC EX-SUPCHA N150 (25-PPC)</v>
          </cell>
        </row>
        <row r="776">
          <cell r="B776" t="str">
            <v>SCN200P</v>
          </cell>
          <cell r="C776" t="str">
            <v>DSCH52YL-SPN03E</v>
          </cell>
          <cell r="D776">
            <v>1</v>
          </cell>
          <cell r="E776" t="str">
            <v>AB PP DC EX-SUPCHA N200 (27PPC)</v>
          </cell>
        </row>
        <row r="777">
          <cell r="B777" t="str">
            <v>SCN25D-P</v>
          </cell>
          <cell r="C777" t="str">
            <v>DSCN259L-SPN03E</v>
          </cell>
          <cell r="D777">
            <v>1</v>
          </cell>
          <cell r="E777" t="str">
            <v>AB PP DC EX-SUPCHA N25D</v>
          </cell>
        </row>
        <row r="778">
          <cell r="B778" t="str">
            <v>SCN43-P</v>
          </cell>
          <cell r="C778" t="str">
            <v>WSCN432Z-CPN03E</v>
          </cell>
          <cell r="D778">
            <v>1</v>
          </cell>
          <cell r="E778" t="str">
            <v>AB PP WC EX-SUPCHA MFN43-DFP</v>
          </cell>
        </row>
        <row r="779">
          <cell r="B779" t="str">
            <v>SCN44-P</v>
          </cell>
          <cell r="C779" t="str">
            <v>WSCN44AL-CPN03E</v>
          </cell>
          <cell r="D779">
            <v>1</v>
          </cell>
          <cell r="E779" t="str">
            <v>AB PP WC SC-GOLD DIN44 +R</v>
          </cell>
        </row>
        <row r="780">
          <cell r="B780" t="str">
            <v>SCN50ZL-MF-P</v>
          </cell>
          <cell r="C780" t="str">
            <v>USGG24CL-CP311E</v>
          </cell>
          <cell r="D780">
            <v>1</v>
          </cell>
          <cell r="E780" t="str">
            <v>AB PP WC SCGOLD WATTA N50ZL-MF +R</v>
          </cell>
        </row>
        <row r="781">
          <cell r="B781" t="str">
            <v>SCN50Z-MF-P</v>
          </cell>
          <cell r="C781" t="str">
            <v>USGG24CR-CP311E</v>
          </cell>
          <cell r="D781">
            <v>1</v>
          </cell>
          <cell r="E781" t="str">
            <v>AB PP WC SCGOLD WATTA N50Z-MF +L</v>
          </cell>
        </row>
        <row r="782">
          <cell r="B782" t="str">
            <v>SCN55-P</v>
          </cell>
          <cell r="C782" t="str">
            <v>WSCN55DL-CPN03E</v>
          </cell>
          <cell r="D782">
            <v>1</v>
          </cell>
          <cell r="E782" t="str">
            <v>AB PP WC SUPCHA DIN55 +R</v>
          </cell>
        </row>
        <row r="783">
          <cell r="B783" t="str">
            <v>SCN66-P</v>
          </cell>
          <cell r="C783" t="str">
            <v>WSCN66CL-CPN03E</v>
          </cell>
          <cell r="D783">
            <v>1</v>
          </cell>
          <cell r="E783" t="str">
            <v>AB PP WC SUPCHA DIN66 +R</v>
          </cell>
        </row>
        <row r="784">
          <cell r="B784" t="str">
            <v>SCN70L-MF-P</v>
          </cell>
          <cell r="C784" t="str">
            <v>USGG27CL-CP311E</v>
          </cell>
          <cell r="D784">
            <v>1</v>
          </cell>
          <cell r="E784" t="str">
            <v>AB PP UB SUPCHA WATTA N70L-MF +R</v>
          </cell>
        </row>
        <row r="785">
          <cell r="B785" t="str">
            <v>SCN70-MF-P</v>
          </cell>
          <cell r="C785" t="str">
            <v>USGG27CR-CP311E</v>
          </cell>
          <cell r="D785">
            <v>1</v>
          </cell>
          <cell r="E785" t="str">
            <v>AB PP WC SCGOLD WATTA N70-MF +L</v>
          </cell>
        </row>
        <row r="786">
          <cell r="B786" t="str">
            <v>SCN70-P</v>
          </cell>
          <cell r="C786" t="str">
            <v>WFMD316R-SPN03E</v>
          </cell>
          <cell r="D786">
            <v>1</v>
          </cell>
          <cell r="E786" t="str">
            <v>AB PP WC SC-FARMASTER N70 +L</v>
          </cell>
        </row>
        <row r="787">
          <cell r="B787" t="str">
            <v>SCN70ZL-MF-P</v>
          </cell>
          <cell r="C787" t="str">
            <v>USGG27EL-CP311E</v>
          </cell>
          <cell r="D787">
            <v>1</v>
          </cell>
          <cell r="E787" t="str">
            <v>AB PP WC SCGOLD WATTA N70ZL-MF +R</v>
          </cell>
        </row>
        <row r="788">
          <cell r="B788" t="str">
            <v>SCN70Z-MF-P</v>
          </cell>
          <cell r="C788" t="str">
            <v>USGG27ER-CP311E</v>
          </cell>
          <cell r="D788">
            <v>1</v>
          </cell>
          <cell r="E788" t="str">
            <v>AB PP WC SCGOLD WATTA N70Z-MF +L</v>
          </cell>
        </row>
        <row r="789">
          <cell r="B789" t="str">
            <v>SCN70ZZL-P</v>
          </cell>
          <cell r="C789" t="str">
            <v>WSCA536L-SPN03E</v>
          </cell>
          <cell r="D789">
            <v>1</v>
          </cell>
          <cell r="E789" t="str">
            <v>AB PP WC EX-SUPCHA N70ZZL +R</v>
          </cell>
        </row>
        <row r="790">
          <cell r="B790" t="str">
            <v>SCN70ZZ-P</v>
          </cell>
          <cell r="C790" t="str">
            <v>WSCA536R-SPN03E</v>
          </cell>
          <cell r="D790">
            <v>1</v>
          </cell>
          <cell r="E790" t="str">
            <v>AB PP WC EX-SUPCHA N70ZZ +L</v>
          </cell>
        </row>
        <row r="791">
          <cell r="B791" t="str">
            <v>SCN87LZ-P</v>
          </cell>
          <cell r="C791" t="str">
            <v>WSCN878L-SPN03E</v>
          </cell>
          <cell r="D791">
            <v>1</v>
          </cell>
          <cell r="E791" t="str">
            <v>AB PP WC EX-SUPCHA N87LZ +R</v>
          </cell>
        </row>
        <row r="792">
          <cell r="B792" t="str">
            <v>SCN87Z-P</v>
          </cell>
          <cell r="C792" t="str">
            <v>WSCN878R-SPN03E</v>
          </cell>
          <cell r="D792">
            <v>1</v>
          </cell>
          <cell r="E792" t="str">
            <v>AB PP WC EX-SUPCHA N87Z +L</v>
          </cell>
        </row>
        <row r="793">
          <cell r="B793" t="str">
            <v>SCN88-P</v>
          </cell>
          <cell r="C793" t="str">
            <v>WSCN88AL-CPN03E</v>
          </cell>
          <cell r="D793">
            <v>1</v>
          </cell>
          <cell r="E793" t="str">
            <v>AB PP WC SUPCHA DIN88 +R</v>
          </cell>
        </row>
        <row r="794">
          <cell r="B794" t="str">
            <v>SCN94P-P</v>
          </cell>
          <cell r="C794" t="str">
            <v>WSC4DT8L-CPN03E</v>
          </cell>
          <cell r="D794">
            <v>1</v>
          </cell>
          <cell r="E794" t="str">
            <v>AB PP WC SC CLASSIC 4DLT +L 800CCA ACCS</v>
          </cell>
        </row>
        <row r="795">
          <cell r="B795" t="str">
            <v>SCNS40L-MF-P</v>
          </cell>
          <cell r="C795" t="str">
            <v>WSGB20BB-TS111E</v>
          </cell>
          <cell r="D795">
            <v>1</v>
          </cell>
          <cell r="E795" t="str">
            <v>AB PP WC SC-WATTA ACSBLE NS40L +R SML</v>
          </cell>
        </row>
        <row r="796">
          <cell r="B796" t="str">
            <v>SCNS40ZAL-P</v>
          </cell>
          <cell r="C796" t="str">
            <v>WSCB203Z-CPN03E</v>
          </cell>
          <cell r="D796">
            <v>1</v>
          </cell>
          <cell r="E796" t="str">
            <v>AB PP WC EX-SUPCHA B20L DFP +R</v>
          </cell>
        </row>
        <row r="797">
          <cell r="B797" t="str">
            <v>SCNS40ZL-MF-P</v>
          </cell>
          <cell r="C797" t="str">
            <v>WSGB20CC-TS111E</v>
          </cell>
          <cell r="D797">
            <v>1</v>
          </cell>
          <cell r="E797" t="str">
            <v>AB PP WC SUPCHA WATTA NS40ZL +R SML</v>
          </cell>
        </row>
        <row r="798">
          <cell r="B798" t="str">
            <v>SCNS40ZL-P</v>
          </cell>
          <cell r="C798" t="str">
            <v>WSCB203L-CPN03E</v>
          </cell>
          <cell r="D798">
            <v>1</v>
          </cell>
          <cell r="E798" t="str">
            <v>AB PP WC EX-SUPCHA B20L-SP +R</v>
          </cell>
        </row>
        <row r="799">
          <cell r="B799" t="str">
            <v>SCNS50L-MF-P</v>
          </cell>
          <cell r="C799" t="str">
            <v>USGD23BL-CP311E</v>
          </cell>
          <cell r="D799">
            <v>1</v>
          </cell>
          <cell r="E799" t="str">
            <v>AB PP WC SUPCHA WATTA NS50L-MF +R</v>
          </cell>
        </row>
        <row r="800">
          <cell r="B800" t="str">
            <v>SCNS50-MF-P</v>
          </cell>
          <cell r="C800" t="str">
            <v>USGD23BR-CP311E</v>
          </cell>
          <cell r="D800">
            <v>1</v>
          </cell>
          <cell r="E800" t="str">
            <v>AB PP WC SUPCHA WATTA NS50-MF +L</v>
          </cell>
        </row>
        <row r="801">
          <cell r="B801" t="str">
            <v>SCNS50-P</v>
          </cell>
          <cell r="C801" t="str">
            <v>WRMD232R-SPN03E</v>
          </cell>
          <cell r="D801">
            <v>1</v>
          </cell>
          <cell r="E801" t="str">
            <v>AB PP WC EX-SUPCHA NS50 +L</v>
          </cell>
        </row>
        <row r="802">
          <cell r="B802" t="str">
            <v>SCNS50P-P</v>
          </cell>
          <cell r="C802" t="str">
            <v>WSCD235R-SPN03E</v>
          </cell>
          <cell r="D802">
            <v>1</v>
          </cell>
          <cell r="E802" t="str">
            <v>AB PP WC EX-SUPCHA NS50P +L</v>
          </cell>
        </row>
        <row r="803">
          <cell r="B803" t="str">
            <v>SCNS50ZL-MF-P</v>
          </cell>
          <cell r="C803" t="str">
            <v>USGD23DL-CP311E</v>
          </cell>
          <cell r="D803">
            <v>1</v>
          </cell>
          <cell r="E803" t="str">
            <v>AB PP WC SUPCHA WATTA NS50ZL-MF +R</v>
          </cell>
        </row>
        <row r="804">
          <cell r="B804" t="str">
            <v>SCNS50Z-MF-P</v>
          </cell>
          <cell r="C804" t="str">
            <v>USGD23DR-CP311E</v>
          </cell>
          <cell r="D804">
            <v>1</v>
          </cell>
          <cell r="E804" t="str">
            <v>AB PP WC SUPCHA WATTA NS50Z-MF +L</v>
          </cell>
        </row>
        <row r="805">
          <cell r="B805" t="str">
            <v>SCNS50Z-P</v>
          </cell>
          <cell r="C805" t="str">
            <v>WSCA464R-SPN03E</v>
          </cell>
          <cell r="D805">
            <v>1</v>
          </cell>
          <cell r="E805" t="str">
            <v>AB PP WC EX-SUPCHA NS50Z +L</v>
          </cell>
        </row>
        <row r="806">
          <cell r="B806" t="str">
            <v>SCNS51L-P</v>
          </cell>
          <cell r="C806" t="str">
            <v>WSCD232X-SPN03E</v>
          </cell>
          <cell r="D806">
            <v>1</v>
          </cell>
          <cell r="E806" t="str">
            <v>AB PP WC EX-SUPCHA NS51L +R</v>
          </cell>
        </row>
        <row r="807">
          <cell r="B807" t="str">
            <v>SCNS51PL-P</v>
          </cell>
          <cell r="C807" t="str">
            <v>WSCA465X-SPN03E</v>
          </cell>
          <cell r="D807">
            <v>1</v>
          </cell>
          <cell r="E807" t="str">
            <v>AB PP WC EX-SUPCHA NS51PL +R</v>
          </cell>
        </row>
        <row r="808">
          <cell r="B808" t="str">
            <v>SCNS51ZL-P</v>
          </cell>
          <cell r="C808" t="str">
            <v>WSCA464X-SPN03E</v>
          </cell>
          <cell r="D808">
            <v>1</v>
          </cell>
          <cell r="E808" t="str">
            <v>AB PP WC EX-SUPCHA NS51ZL +R</v>
          </cell>
        </row>
        <row r="809">
          <cell r="B809" t="str">
            <v>SCNS52L-P</v>
          </cell>
          <cell r="C809" t="str">
            <v>WRMD233Z-SPN03E</v>
          </cell>
          <cell r="D809">
            <v>1</v>
          </cell>
          <cell r="E809" t="str">
            <v>AB PP WC EX-SUPCHA NS52L +R</v>
          </cell>
        </row>
        <row r="810">
          <cell r="B810" t="str">
            <v>SCNS52PL-P</v>
          </cell>
          <cell r="C810" t="str">
            <v>WSCA465Z-SPN03E</v>
          </cell>
          <cell r="D810">
            <v>1</v>
          </cell>
          <cell r="E810" t="str">
            <v>AB PP WC EX-SUPCHA NS52PL +R</v>
          </cell>
        </row>
        <row r="811">
          <cell r="B811" t="str">
            <v>SCNS52ZL-P</v>
          </cell>
          <cell r="C811" t="str">
            <v>WSCA464Z-SPN03E</v>
          </cell>
          <cell r="D811">
            <v>1</v>
          </cell>
          <cell r="E811" t="str">
            <v>AB PP WC EX-SUPCHA NS52ZL +R</v>
          </cell>
        </row>
        <row r="812">
          <cell r="B812" t="str">
            <v>SCNS60L-MF-P</v>
          </cell>
          <cell r="C812" t="str">
            <v>USGB24BB-CP311E</v>
          </cell>
          <cell r="D812">
            <v>1</v>
          </cell>
          <cell r="E812" t="str">
            <v>AB PP WC SUPCHA WATTA NS60L-MF +R SMLPST</v>
          </cell>
        </row>
        <row r="813">
          <cell r="B813" t="str">
            <v>SCNS60LS-MF-P</v>
          </cell>
          <cell r="C813" t="str">
            <v>USGB24BL-CP311E</v>
          </cell>
          <cell r="D813">
            <v>1</v>
          </cell>
          <cell r="E813" t="str">
            <v>AB PP WC SUPCHA WATTA NS60LS MF +R AUTO</v>
          </cell>
        </row>
        <row r="814">
          <cell r="B814" t="str">
            <v>SCNS60-MF-P</v>
          </cell>
          <cell r="C814" t="str">
            <v>USGB24BA-CP311E</v>
          </cell>
          <cell r="D814">
            <v>1</v>
          </cell>
          <cell r="E814" t="str">
            <v>AB PP WC SUPCHA WATTA NS60-MF +L SMLPST</v>
          </cell>
        </row>
        <row r="815">
          <cell r="B815" t="str">
            <v>SCNS60S-MF-P</v>
          </cell>
          <cell r="C815" t="str">
            <v>USGB24BR-CP311E</v>
          </cell>
          <cell r="D815">
            <v>1</v>
          </cell>
          <cell r="E815" t="str">
            <v>AB PP WC SUPCHA WATTA NS60S MF +L AUTO</v>
          </cell>
        </row>
        <row r="816">
          <cell r="B816" t="str">
            <v>SCNS60ZL-MF-P</v>
          </cell>
          <cell r="C816" t="str">
            <v>USGB24DB-CP311E</v>
          </cell>
          <cell r="D816">
            <v>1</v>
          </cell>
          <cell r="E816" t="str">
            <v>AB PP WC SUPCHA WATTA NS60ZL +R SML</v>
          </cell>
        </row>
        <row r="817">
          <cell r="B817" t="str">
            <v>SCNS60Z-MF-P</v>
          </cell>
          <cell r="C817" t="str">
            <v>USGB24DA-CP311E</v>
          </cell>
          <cell r="D817">
            <v>1</v>
          </cell>
          <cell r="E817" t="str">
            <v>AB PP WC SUPCHA WATTA NS60Z +L SML</v>
          </cell>
        </row>
        <row r="818">
          <cell r="B818" t="str">
            <v>SCNS70L-MF-P</v>
          </cell>
          <cell r="C818" t="str">
            <v>USGG24DL-CP311E</v>
          </cell>
          <cell r="D818">
            <v>1</v>
          </cell>
          <cell r="E818" t="str">
            <v>AB PP WC SCGOLD WATTA NS70L-MF +R</v>
          </cell>
        </row>
        <row r="819">
          <cell r="B819" t="str">
            <v>SCNS70L-P</v>
          </cell>
          <cell r="C819" t="str">
            <v>WSCD265L-SPN03E</v>
          </cell>
          <cell r="D819">
            <v>1</v>
          </cell>
          <cell r="E819" t="str">
            <v>AB PP WC EX-SUPCHA NS70L +R</v>
          </cell>
        </row>
        <row r="820">
          <cell r="B820" t="str">
            <v>SCNS70-MF-P</v>
          </cell>
          <cell r="C820" t="str">
            <v>USGG24DR-CP311E</v>
          </cell>
          <cell r="D820">
            <v>1</v>
          </cell>
          <cell r="E820" t="str">
            <v>AB PP WC SCGOLD WATTA NS70-MF +L</v>
          </cell>
        </row>
        <row r="821">
          <cell r="B821" t="str">
            <v>SCNS70-P</v>
          </cell>
          <cell r="C821" t="str">
            <v>WSCD265R-SPN03E</v>
          </cell>
          <cell r="D821">
            <v>1</v>
          </cell>
          <cell r="E821" t="str">
            <v>AB PP WC EX-SUPCHA NS70 +L</v>
          </cell>
        </row>
        <row r="822">
          <cell r="B822" t="str">
            <v>SCNX110L-MF-P</v>
          </cell>
          <cell r="C822" t="str">
            <v>USGG24EL-CP311E</v>
          </cell>
          <cell r="D822">
            <v>1</v>
          </cell>
          <cell r="E822" t="str">
            <v>AB PP WC SCGOLD WATTA NS70ZL-MF +R</v>
          </cell>
        </row>
        <row r="823">
          <cell r="B823" t="str">
            <v>SCNX110-MF-P</v>
          </cell>
          <cell r="C823" t="str">
            <v>USGG24ER-CP311E</v>
          </cell>
          <cell r="D823">
            <v>1</v>
          </cell>
          <cell r="E823" t="str">
            <v>AB PP WC SCGOLD WATTA NS70Z-MF +L</v>
          </cell>
        </row>
        <row r="824">
          <cell r="B824" t="str">
            <v>SCNX120L-MF-P</v>
          </cell>
          <cell r="C824" t="str">
            <v>USGG27GL-CP311E</v>
          </cell>
          <cell r="D824">
            <v>1</v>
          </cell>
          <cell r="E824" t="str">
            <v>AB PP WC SCGOLD WATTA N70ZZL-MF +R</v>
          </cell>
        </row>
        <row r="825">
          <cell r="B825" t="str">
            <v>SCNX120-MF-P</v>
          </cell>
          <cell r="C825" t="str">
            <v>USGG27GR-CP311E</v>
          </cell>
          <cell r="D825">
            <v>1</v>
          </cell>
          <cell r="E825" t="str">
            <v>AB PP WC SCGOLD WATTA N70ZZ-MF +L</v>
          </cell>
        </row>
        <row r="826">
          <cell r="B826" t="str">
            <v>SCNZ55D23L-P</v>
          </cell>
          <cell r="C826" t="str">
            <v>WSCD235L-TSN04E</v>
          </cell>
          <cell r="D826">
            <v>1</v>
          </cell>
          <cell r="E826" t="str">
            <v>AB PP WC NZ SCCLASSIC 55D23R AUTO +R</v>
          </cell>
        </row>
        <row r="827">
          <cell r="B827" t="str">
            <v>SCNZD50Z-P</v>
          </cell>
          <cell r="C827" t="str">
            <v>DATD26OF-SPN04E</v>
          </cell>
          <cell r="D827">
            <v>1</v>
          </cell>
          <cell r="E827" t="str">
            <v>AB PP DC NZ AMP-TECH D50Z +L AUTO 80AH</v>
          </cell>
        </row>
        <row r="828">
          <cell r="B828" t="str">
            <v>SCNZD70Z-P</v>
          </cell>
          <cell r="C828" t="str">
            <v>DATD31PF-SPN04E</v>
          </cell>
          <cell r="D828">
            <v>1</v>
          </cell>
          <cell r="E828" t="str">
            <v>AB PP DC NZ AMP-TECH D70Z +L AUTO 100AH</v>
          </cell>
        </row>
        <row r="829">
          <cell r="B829" t="str">
            <v>SCNZD87L-P</v>
          </cell>
          <cell r="C829" t="str">
            <v>WATB31QR-CPP04E</v>
          </cell>
          <cell r="D829">
            <v>1</v>
          </cell>
          <cell r="E829" t="str">
            <v>AB PP WC NZ AMP-TECH D87L +L AUTO</v>
          </cell>
        </row>
        <row r="830">
          <cell r="B830" t="str">
            <v>SCNZG34/78-8MF</v>
          </cell>
          <cell r="C830" t="str">
            <v>WSGD788D-TS404E</v>
          </cell>
          <cell r="D830">
            <v>1</v>
          </cell>
          <cell r="E830" t="str">
            <v>AB PP WC NZ SCGOLD G34/78-8MF DT +L</v>
          </cell>
        </row>
        <row r="831">
          <cell r="B831" t="str">
            <v>SCNZG58-5MF</v>
          </cell>
          <cell r="C831" t="str">
            <v>WSGG585L-TS304E</v>
          </cell>
          <cell r="D831">
            <v>1</v>
          </cell>
          <cell r="E831" t="str">
            <v>AB PP WC NZ SCGOLD G58-5MF +L</v>
          </cell>
        </row>
        <row r="832">
          <cell r="B832" t="str">
            <v>SCNZG65-8MF</v>
          </cell>
          <cell r="C832" t="str">
            <v>WSGG658E-TS304E</v>
          </cell>
          <cell r="D832">
            <v>1</v>
          </cell>
          <cell r="E832" t="str">
            <v>AB PP WC NZ SCGOLD G65-8MF +L</v>
          </cell>
        </row>
        <row r="833">
          <cell r="B833" t="str">
            <v>SCNZG78-8MF</v>
          </cell>
          <cell r="C833" t="str">
            <v>WSGG788S-TS404E</v>
          </cell>
          <cell r="D833">
            <v>1</v>
          </cell>
          <cell r="E833" t="str">
            <v>AB PP WC NZ SC GOLD G78-8MF ST +L</v>
          </cell>
        </row>
        <row r="834">
          <cell r="B834" t="str">
            <v>SCNZM50-P</v>
          </cell>
          <cell r="C834" t="str">
            <v>WSMD265F-SPN04E</v>
          </cell>
          <cell r="D834">
            <v>1</v>
          </cell>
          <cell r="E834" t="str">
            <v>AB PP WC NZ SMCLASSIC M50 +L SPL-TER</v>
          </cell>
        </row>
        <row r="835">
          <cell r="B835" t="str">
            <v>SCNZM70-P</v>
          </cell>
          <cell r="C835" t="str">
            <v>WSMD316F-SPN04E</v>
          </cell>
          <cell r="D835">
            <v>1</v>
          </cell>
          <cell r="E835" t="str">
            <v>AB PP WC NZ SMCLASSIC M70 +L SPL-TER</v>
          </cell>
        </row>
        <row r="836">
          <cell r="B836" t="str">
            <v>SCNZM87LZ-P</v>
          </cell>
          <cell r="C836" t="str">
            <v>WSMN877F-SPN04E</v>
          </cell>
          <cell r="D836">
            <v>1</v>
          </cell>
          <cell r="E836" t="str">
            <v>AB PP WC NZ SMCLASSIC M87 +R SPL-TER</v>
          </cell>
        </row>
        <row r="837">
          <cell r="B837" t="str">
            <v>SCNZMF31-930</v>
          </cell>
          <cell r="C837" t="str">
            <v>WSGB319T-TS204E</v>
          </cell>
          <cell r="D837">
            <v>1</v>
          </cell>
          <cell r="E837" t="str">
            <v>AB PP WC NZ SCGOLD G31MF STUD +L</v>
          </cell>
        </row>
        <row r="838">
          <cell r="B838" t="str">
            <v>SCNZMF31-931</v>
          </cell>
          <cell r="C838" t="str">
            <v>WSGB319R-TS204E</v>
          </cell>
          <cell r="D838">
            <v>1</v>
          </cell>
          <cell r="E838" t="str">
            <v>AB PP WC NZ SCGOLD G31MF AUTO +L</v>
          </cell>
        </row>
        <row r="839">
          <cell r="B839" t="str">
            <v>SCNZMF43-P</v>
          </cell>
          <cell r="C839" t="str">
            <v>WSGN433Z-TS204E</v>
          </cell>
          <cell r="D839">
            <v>1</v>
          </cell>
          <cell r="E839" t="str">
            <v>AB PP WC NZ SCGOLD N43MF DFP +R</v>
          </cell>
        </row>
        <row r="840">
          <cell r="B840" t="str">
            <v>SCNZMF44-P</v>
          </cell>
          <cell r="C840" t="str">
            <v>WSGN44DL-TS204E</v>
          </cell>
          <cell r="D840">
            <v>1</v>
          </cell>
          <cell r="E840" t="str">
            <v>AB PP WC NZ SCGOLD DIN44MF +R</v>
          </cell>
        </row>
        <row r="841">
          <cell r="B841" t="str">
            <v>SCNZMF50-P</v>
          </cell>
          <cell r="C841" t="str">
            <v>WSGA466R-TS204E</v>
          </cell>
          <cell r="D841">
            <v>1</v>
          </cell>
          <cell r="E841" t="str">
            <v>AB PP WC NZ SCGOLD MF50 +L</v>
          </cell>
        </row>
        <row r="842">
          <cell r="B842" t="str">
            <v>SCNZMF51-P</v>
          </cell>
          <cell r="C842" t="str">
            <v>WSGA4661-TS204E</v>
          </cell>
          <cell r="D842">
            <v>1</v>
          </cell>
          <cell r="E842" t="str">
            <v>AB PP WC NZ SCGOLD MF51 DFA +R</v>
          </cell>
        </row>
        <row r="843">
          <cell r="B843" t="str">
            <v>SCNZMF52-P</v>
          </cell>
          <cell r="C843" t="str">
            <v>WSGA4662-TS204E</v>
          </cell>
          <cell r="D843">
            <v>1</v>
          </cell>
          <cell r="E843" t="str">
            <v>AB PP WC NZ SCGOLD MF52 DFP +R</v>
          </cell>
        </row>
        <row r="844">
          <cell r="B844" t="str">
            <v>SCNZMF53-P</v>
          </cell>
          <cell r="C844" t="str">
            <v>WSGA4663-TS204E</v>
          </cell>
          <cell r="D844">
            <v>1</v>
          </cell>
          <cell r="E844" t="str">
            <v>AB PP WC NZ SCGOLD MF53 AUTO +R</v>
          </cell>
        </row>
        <row r="845">
          <cell r="B845" t="str">
            <v>SCNZMF54-P</v>
          </cell>
          <cell r="C845" t="str">
            <v>WSGA4664-TS204E</v>
          </cell>
          <cell r="D845">
            <v>1</v>
          </cell>
          <cell r="E845" t="str">
            <v>AB PP WC NZ SCGOLD MF54 AUTO +L</v>
          </cell>
        </row>
        <row r="846">
          <cell r="B846" t="str">
            <v>SCNZMF55B24L-P</v>
          </cell>
          <cell r="C846" t="str">
            <v>WSGB245B-TS404E</v>
          </cell>
          <cell r="D846">
            <v>1</v>
          </cell>
          <cell r="E846" t="str">
            <v>AB PP WC NZ SCGOLD  55B24MF JIS +R</v>
          </cell>
        </row>
        <row r="847">
          <cell r="B847" t="str">
            <v>SCNZMF55B24LS-P</v>
          </cell>
          <cell r="C847" t="str">
            <v>WSGB244L-TS404E</v>
          </cell>
          <cell r="D847">
            <v>1</v>
          </cell>
          <cell r="E847" t="str">
            <v>AB PP WC NZ SCGOLD  55B24MF AUTO +R</v>
          </cell>
        </row>
        <row r="848">
          <cell r="B848" t="str">
            <v>SCNZMF55B24R-P</v>
          </cell>
          <cell r="C848" t="str">
            <v>WSGB245A-TS404E</v>
          </cell>
          <cell r="D848">
            <v>1</v>
          </cell>
          <cell r="E848" t="str">
            <v>AB PP WC NZ SCGOLD  55B24MF JIS +L</v>
          </cell>
        </row>
        <row r="849">
          <cell r="B849" t="str">
            <v>SCNZMF55B24RS-P</v>
          </cell>
          <cell r="C849" t="str">
            <v>WSGB244R-TS404E</v>
          </cell>
          <cell r="D849">
            <v>1</v>
          </cell>
          <cell r="E849" t="str">
            <v>AB PP WC NZ SCGOLD  55B24MF AUTO +L</v>
          </cell>
        </row>
        <row r="850">
          <cell r="B850" t="str">
            <v>SCNZMF55-P</v>
          </cell>
          <cell r="C850" t="str">
            <v>WSGN55EL-TS204E</v>
          </cell>
          <cell r="D850">
            <v>1</v>
          </cell>
          <cell r="E850" t="str">
            <v>AB PP WC NZ SCGOLD DIN55MF +R</v>
          </cell>
        </row>
        <row r="851">
          <cell r="B851" t="str">
            <v>SCNZMF55R-P</v>
          </cell>
          <cell r="C851" t="str">
            <v>WSGN55ER-TS204E</v>
          </cell>
          <cell r="D851">
            <v>1</v>
          </cell>
          <cell r="E851" t="str">
            <v>AB PP WC NZ SCGOLD DIN55MF +L</v>
          </cell>
        </row>
        <row r="852">
          <cell r="B852" t="str">
            <v>SCNZMF66-P</v>
          </cell>
          <cell r="C852" t="str">
            <v>WSGN66DL-TS204E</v>
          </cell>
          <cell r="D852">
            <v>1</v>
          </cell>
          <cell r="E852" t="str">
            <v>AB PP WC NZ SC GOLD DIN66MF +R</v>
          </cell>
        </row>
        <row r="853">
          <cell r="B853" t="str">
            <v>SCNZMF66R-P</v>
          </cell>
          <cell r="C853" t="str">
            <v>WSGN66DR-TS204E</v>
          </cell>
          <cell r="D853">
            <v>1</v>
          </cell>
          <cell r="E853" t="str">
            <v>AB PP WC NZ SCGOLD DIN66MF +L</v>
          </cell>
        </row>
        <row r="854">
          <cell r="B854" t="str">
            <v>SCNZMF75D23L-P</v>
          </cell>
          <cell r="C854" t="str">
            <v>WSGD236L-TS404E</v>
          </cell>
          <cell r="D854">
            <v>1</v>
          </cell>
          <cell r="E854" t="str">
            <v>AB PP WC NZ SCGOLD  75D23MF +R</v>
          </cell>
        </row>
        <row r="855">
          <cell r="B855" t="str">
            <v>SCNZMF80D26L-P</v>
          </cell>
          <cell r="C855" t="str">
            <v>WSGG246L-TS404E</v>
          </cell>
          <cell r="D855">
            <v>1</v>
          </cell>
          <cell r="E855" t="str">
            <v>AB PP WC NZ SCGOLD  80D26MF +R</v>
          </cell>
        </row>
        <row r="856">
          <cell r="B856" t="str">
            <v>SCNZMF80D26R-P</v>
          </cell>
          <cell r="C856" t="str">
            <v>WSGG246R-TS404E</v>
          </cell>
          <cell r="D856">
            <v>1</v>
          </cell>
          <cell r="E856" t="str">
            <v>AB PP WC NZ SCGOLD  80D26MF +L</v>
          </cell>
        </row>
        <row r="857">
          <cell r="B857" t="str">
            <v>SCNZMF88-P</v>
          </cell>
          <cell r="C857" t="str">
            <v>WSGN88CL-TS204E</v>
          </cell>
          <cell r="D857">
            <v>1</v>
          </cell>
          <cell r="E857" t="str">
            <v>AB PP WC NZ SCGOLD DIN88MF +R</v>
          </cell>
        </row>
        <row r="858">
          <cell r="B858" t="str">
            <v>SCNZMF95D31L-P</v>
          </cell>
          <cell r="C858" t="str">
            <v>WSGA537L-TS204E</v>
          </cell>
          <cell r="D858">
            <v>1</v>
          </cell>
          <cell r="E858" t="str">
            <v>AB PP WC NZ SCGOLD  95D31MF +R</v>
          </cell>
        </row>
        <row r="859">
          <cell r="B859" t="str">
            <v>SCNZMF95D31R-P</v>
          </cell>
          <cell r="C859" t="str">
            <v>WSGA537R-TS204E</v>
          </cell>
          <cell r="D859">
            <v>1</v>
          </cell>
          <cell r="E859" t="str">
            <v>AB PP WC NZ SCGOLD 95D31MF  +L</v>
          </cell>
        </row>
        <row r="860">
          <cell r="B860" t="str">
            <v>SCNZMFB20DFL-P</v>
          </cell>
          <cell r="C860" t="str">
            <v>WSGB203Z-TS204E</v>
          </cell>
          <cell r="D860">
            <v>1</v>
          </cell>
          <cell r="E860" t="str">
            <v>AB PP WC NZ SCGOLD B20MF DFP +R</v>
          </cell>
        </row>
        <row r="861">
          <cell r="B861" t="str">
            <v>SCNZMFB20L-P</v>
          </cell>
          <cell r="C861" t="str">
            <v>WSGB203L-TS204E</v>
          </cell>
          <cell r="D861">
            <v>1</v>
          </cell>
          <cell r="E861" t="str">
            <v>AB PP WC NZ SCGOLD B20MF JIS +R</v>
          </cell>
        </row>
        <row r="862">
          <cell r="B862" t="str">
            <v>SCNZMFM48-P</v>
          </cell>
          <cell r="C862" t="str">
            <v>WSOA465F-TS204E</v>
          </cell>
          <cell r="D862">
            <v>1</v>
          </cell>
          <cell r="E862" t="str">
            <v>AB PP WC NZ SMGOLD MFM48 +L SPL-TER</v>
          </cell>
        </row>
        <row r="863">
          <cell r="B863" t="str">
            <v>SCNZMFM50-P</v>
          </cell>
          <cell r="C863" t="str">
            <v>WSOD266F-CP404E</v>
          </cell>
          <cell r="D863">
            <v>1</v>
          </cell>
          <cell r="E863" t="str">
            <v>AB PP WC NZ SMGOLD MFM50 +L SPL-TER</v>
          </cell>
        </row>
        <row r="864">
          <cell r="B864" t="str">
            <v>SCNZMFM70-P</v>
          </cell>
          <cell r="C864" t="str">
            <v>WSOD317F-CP404E</v>
          </cell>
          <cell r="D864">
            <v>1</v>
          </cell>
          <cell r="E864" t="str">
            <v>AB PP WC NZ SMGOLD MFM70 +L SPL-TER</v>
          </cell>
        </row>
        <row r="865">
          <cell r="B865" t="str">
            <v>SCNZN100-P</v>
          </cell>
          <cell r="C865" t="str">
            <v>WSCE417L-SPN04E</v>
          </cell>
          <cell r="D865">
            <v>1</v>
          </cell>
          <cell r="E865" t="str">
            <v>AB PP WC NZ SCCLASSIC N100 AUTO +L</v>
          </cell>
        </row>
        <row r="866">
          <cell r="B866" t="str">
            <v>SCNZN120D-P</v>
          </cell>
          <cell r="C866" t="str">
            <v>DSCF518L-SPN04E</v>
          </cell>
          <cell r="D866">
            <v>1</v>
          </cell>
          <cell r="E866" t="str">
            <v>AB PP DC NZ SCCLASSIC EHD N120 AUTO +R</v>
          </cell>
        </row>
        <row r="867">
          <cell r="B867" t="str">
            <v>SCNZN150D-P</v>
          </cell>
          <cell r="C867" t="str">
            <v>DSCG519L-SPN04E</v>
          </cell>
          <cell r="D867">
            <v>1</v>
          </cell>
          <cell r="E867" t="str">
            <v>AB PP DC NZ SCCLASSIC EHD N150 AUTO +R</v>
          </cell>
        </row>
        <row r="868">
          <cell r="B868" t="str">
            <v>SCNZN200D-P</v>
          </cell>
          <cell r="C868" t="str">
            <v>DSCH52YL-SPN04E</v>
          </cell>
          <cell r="D868">
            <v>1</v>
          </cell>
          <cell r="E868" t="str">
            <v>AB PP DC NZ SCCLASSIC EHD N200 AUTO +R</v>
          </cell>
        </row>
        <row r="869">
          <cell r="B869" t="str">
            <v>SCNZN25D-P</v>
          </cell>
          <cell r="C869" t="str">
            <v>DSCGC29L-SPN04E</v>
          </cell>
          <cell r="D869">
            <v>1</v>
          </cell>
          <cell r="E869" t="str">
            <v>AB PP DC NZ SCCLASSIC EHD N25 6V AUTO</v>
          </cell>
        </row>
        <row r="870">
          <cell r="B870" t="str">
            <v>SCNZN55-P</v>
          </cell>
          <cell r="C870" t="str">
            <v>WSCN55DL-CPN04E</v>
          </cell>
          <cell r="D870">
            <v>1</v>
          </cell>
          <cell r="E870" t="str">
            <v>AB PP WC NZ SCCLASSIC DIN55 AUTO +R</v>
          </cell>
        </row>
        <row r="871">
          <cell r="B871" t="str">
            <v>SCNZN66-P</v>
          </cell>
          <cell r="C871" t="str">
            <v>WSCN66CL-CPN04E</v>
          </cell>
          <cell r="D871">
            <v>1</v>
          </cell>
          <cell r="E871" t="str">
            <v>AB PP WC NZ SC CLASSIC DIN66 AUTO +R</v>
          </cell>
        </row>
        <row r="872">
          <cell r="B872" t="str">
            <v>SCNZN70ZZL-P</v>
          </cell>
          <cell r="C872" t="str">
            <v>WSCA536L-SPN04E</v>
          </cell>
          <cell r="D872">
            <v>1</v>
          </cell>
          <cell r="E872" t="str">
            <v>AB PP WC NZ SCCLASSIC N70/D31 AUTO +R</v>
          </cell>
        </row>
        <row r="873">
          <cell r="B873" t="str">
            <v>SCNZN70ZZ-P</v>
          </cell>
          <cell r="C873" t="str">
            <v>WSCA536R-SPN04E</v>
          </cell>
          <cell r="D873">
            <v>1</v>
          </cell>
          <cell r="E873" t="str">
            <v>AB PP WC NZ SCCLASSIC N70/D31 AUTO +L</v>
          </cell>
        </row>
        <row r="874">
          <cell r="B874" t="str">
            <v>SCNZN87LZ-P</v>
          </cell>
          <cell r="C874" t="str">
            <v>WSCN878L-SPN04E</v>
          </cell>
          <cell r="D874">
            <v>1</v>
          </cell>
          <cell r="E874" t="str">
            <v>AB PP WC NZ SCCLASSIC N87/G31 AUTO +R</v>
          </cell>
        </row>
        <row r="875">
          <cell r="B875" t="str">
            <v>SCNZN87Z-P</v>
          </cell>
          <cell r="C875" t="str">
            <v>WSCN878R-SPN04E</v>
          </cell>
          <cell r="D875">
            <v>1</v>
          </cell>
          <cell r="E875" t="str">
            <v>AB PP WC NZ SCCLASSIC N87/G31 AUTO +L</v>
          </cell>
        </row>
        <row r="876">
          <cell r="B876" t="str">
            <v>SCNZN88-P</v>
          </cell>
          <cell r="C876" t="str">
            <v>WSCN88AL-CPN04E</v>
          </cell>
          <cell r="D876">
            <v>1</v>
          </cell>
          <cell r="E876" t="str">
            <v>AB PP WC NZ SCCLASSIC DIN88 AUTO +R</v>
          </cell>
        </row>
        <row r="877">
          <cell r="B877" t="str">
            <v>SCNZNS40ZAL-P</v>
          </cell>
          <cell r="C877" t="str">
            <v>WSCB203Z-CPN04E</v>
          </cell>
          <cell r="D877">
            <v>1</v>
          </cell>
          <cell r="E877" t="str">
            <v>AB PP WC NZ SC CLASSIC B20/NS40 DFP +R</v>
          </cell>
        </row>
        <row r="878">
          <cell r="B878" t="str">
            <v>SCNZNS40ZL-P</v>
          </cell>
          <cell r="C878" t="str">
            <v>WSCB203L-CPN04E</v>
          </cell>
          <cell r="D878">
            <v>1</v>
          </cell>
          <cell r="E878" t="str">
            <v>AB PP WC NZ SCCLASSIC B20/NS40 JIS +R</v>
          </cell>
        </row>
        <row r="879">
          <cell r="B879" t="str">
            <v>SCNZNS50PL-P</v>
          </cell>
          <cell r="C879" t="str">
            <v>WSCA465Z-SPN04E</v>
          </cell>
          <cell r="D879">
            <v>1</v>
          </cell>
          <cell r="E879" t="str">
            <v>AB PP WC NZ SCCLASSIC NS550PL AUTO +R</v>
          </cell>
        </row>
        <row r="880">
          <cell r="B880" t="str">
            <v>SCNZNS50P-P</v>
          </cell>
          <cell r="C880" t="str">
            <v>WSCD235R-SPN04E</v>
          </cell>
          <cell r="D880">
            <v>1</v>
          </cell>
          <cell r="E880" t="str">
            <v>AB PP WC NZ SCCLASSIC NS50P AUTO +L</v>
          </cell>
        </row>
        <row r="881">
          <cell r="B881" t="str">
            <v>SCNZNS50ZL-P</v>
          </cell>
          <cell r="C881" t="str">
            <v>WSCA464Z-SPN04E</v>
          </cell>
          <cell r="D881">
            <v>1</v>
          </cell>
          <cell r="E881" t="str">
            <v>AB PP WC NZ SCCLASSIC NS50ZL AUTO +R</v>
          </cell>
        </row>
        <row r="882">
          <cell r="B882" t="str">
            <v>SCNZNS50Z-P</v>
          </cell>
          <cell r="C882" t="str">
            <v>WSCA464R-SPN04E</v>
          </cell>
          <cell r="D882">
            <v>1</v>
          </cell>
          <cell r="E882" t="str">
            <v>AB PP WC NZ SCCLASSIC NS50Z AUTO +L</v>
          </cell>
        </row>
        <row r="883">
          <cell r="B883" t="str">
            <v>SCNZNS51PL-P</v>
          </cell>
          <cell r="C883" t="str">
            <v>WSCA465X-SPN04E</v>
          </cell>
          <cell r="D883">
            <v>1</v>
          </cell>
          <cell r="E883" t="str">
            <v>DO NOT USE! NO BOM USE SCNZNS50PL-P</v>
          </cell>
        </row>
        <row r="884">
          <cell r="B884" t="str">
            <v>SCNZNS70L-P</v>
          </cell>
          <cell r="C884" t="str">
            <v>WSCD265L-SPN04E</v>
          </cell>
          <cell r="D884">
            <v>1</v>
          </cell>
          <cell r="E884" t="str">
            <v>AB PP WC NZ SCCLASSIC NS70L AUTO +R</v>
          </cell>
        </row>
        <row r="885">
          <cell r="B885" t="str">
            <v>SCNZNS70-P</v>
          </cell>
          <cell r="C885" t="str">
            <v>WSCD265R-SPN04E</v>
          </cell>
          <cell r="D885">
            <v>1</v>
          </cell>
          <cell r="E885" t="str">
            <v>AB PP WC NZ SCCLASSIC NS70 AUTO +L</v>
          </cell>
        </row>
        <row r="886">
          <cell r="B886" t="str">
            <v>SLD26BL-P-ST</v>
          </cell>
          <cell r="C886" t="str">
            <v>WSLD26DL-CP300L</v>
          </cell>
          <cell r="D886">
            <v>1</v>
          </cell>
          <cell r="E886" t="str">
            <v>AB PP WC TCT-SLITE SILVERTONE D26L-MF +R</v>
          </cell>
        </row>
        <row r="887">
          <cell r="B887" t="str">
            <v>SLD31BL-P-ST</v>
          </cell>
          <cell r="C887" t="str">
            <v>WSLD31FL-CP300L</v>
          </cell>
          <cell r="D887">
            <v>1</v>
          </cell>
          <cell r="E887" t="str">
            <v>AB PP WC TCT-SLITE SILVERTONE D31L-MF +R</v>
          </cell>
        </row>
        <row r="888">
          <cell r="B888" t="str">
            <v>SLG31A9-P-ST</v>
          </cell>
          <cell r="C888" t="str">
            <v>WSLB319E-CPP00L</v>
          </cell>
          <cell r="D888">
            <v>1</v>
          </cell>
          <cell r="E888" t="str">
            <v>AB PP WC TCT-SLITE SILVERTONE G31 AUTO +</v>
          </cell>
        </row>
        <row r="889">
          <cell r="B889" t="str">
            <v>SME41BLD-P</v>
          </cell>
          <cell r="C889" t="str">
            <v>ESRE41PL-SPN00L</v>
          </cell>
          <cell r="D889">
            <v>1</v>
          </cell>
          <cell r="E889" t="str">
            <v>AB PP DC SOLAR-MASTER 6SMF/E41BL +R</v>
          </cell>
        </row>
        <row r="890">
          <cell r="B890" t="str">
            <v>SP55D23L-MF-P</v>
          </cell>
          <cell r="C890" t="str">
            <v>WSPD234L-CP410E</v>
          </cell>
          <cell r="D890">
            <v>1</v>
          </cell>
          <cell r="E890" t="str">
            <v>AB PP WC RUS-SPOWER 55D23L-MF +R</v>
          </cell>
        </row>
        <row r="891">
          <cell r="B891" t="str">
            <v>SP55D23R-MF-P</v>
          </cell>
          <cell r="C891" t="str">
            <v>WSPD234R-CP410E</v>
          </cell>
          <cell r="D891">
            <v>1</v>
          </cell>
          <cell r="E891" t="str">
            <v>AB PP WC RUS-SPOWER 55D23R-MF +L</v>
          </cell>
        </row>
        <row r="892">
          <cell r="B892" t="str">
            <v>SPB20BL-P</v>
          </cell>
          <cell r="C892" t="str">
            <v>WSPB203B-CP210E</v>
          </cell>
          <cell r="D892">
            <v>1</v>
          </cell>
          <cell r="E892" t="str">
            <v>AB PP WC RUS-SPOWER NS40 +R 330A SML</v>
          </cell>
        </row>
        <row r="893">
          <cell r="B893" t="str">
            <v>SPB20BR-P</v>
          </cell>
          <cell r="C893" t="str">
            <v>WSPB203A-CP210E</v>
          </cell>
          <cell r="D893">
            <v>1</v>
          </cell>
          <cell r="E893" t="str">
            <v>AB PP WC SUPER POWER B20 +L JIS RUSSIA</v>
          </cell>
        </row>
        <row r="894">
          <cell r="B894" t="str">
            <v>SPC24CL-MF-P</v>
          </cell>
          <cell r="C894" t="str">
            <v>WSPC24EL-CPN00L</v>
          </cell>
          <cell r="D894">
            <v>1</v>
          </cell>
          <cell r="E894" t="str">
            <v>AB PP WC SUPERPOWER 1SNF/C24CL MF +R</v>
          </cell>
        </row>
        <row r="895">
          <cell r="B895" t="str">
            <v>SPD23BL-MF-P</v>
          </cell>
          <cell r="C895" t="str">
            <v>WSPD23EL-CPN00L</v>
          </cell>
          <cell r="D895">
            <v>1</v>
          </cell>
          <cell r="E895" t="str">
            <v>AB PP WC SUPERPOWER 1SMF/D23BL MF +R</v>
          </cell>
        </row>
        <row r="896">
          <cell r="B896" t="str">
            <v>SPD26CL-MF-P</v>
          </cell>
          <cell r="C896" t="str">
            <v>WSPD26EL-CPN00L</v>
          </cell>
          <cell r="D896">
            <v>1</v>
          </cell>
          <cell r="E896" t="str">
            <v>AB PP WC SUPERPOWER 2SMF/D26CL MF +R</v>
          </cell>
        </row>
        <row r="897">
          <cell r="B897" t="str">
            <v>SPD31CL-MF-P</v>
          </cell>
          <cell r="C897" t="str">
            <v>WSPD31EL-CPN00L</v>
          </cell>
          <cell r="D897">
            <v>1</v>
          </cell>
          <cell r="E897" t="str">
            <v>AB PP WC SUPERPOWER 3SMF/D31CL MF +R</v>
          </cell>
        </row>
        <row r="898">
          <cell r="B898" t="str">
            <v>SPG24-6MF</v>
          </cell>
          <cell r="C898" t="str">
            <v>WSPG246R-CP410E</v>
          </cell>
          <cell r="D898">
            <v>1</v>
          </cell>
          <cell r="E898" t="str">
            <v>AB PP WC RUS-SPOWER G24-630MF +L</v>
          </cell>
        </row>
        <row r="899">
          <cell r="B899" t="str">
            <v>SPG24-7MF</v>
          </cell>
          <cell r="C899" t="str">
            <v>WSPG247R-CP410E</v>
          </cell>
          <cell r="D899">
            <v>1</v>
          </cell>
          <cell r="E899" t="str">
            <v>AB PP WC RUS-SPOWER G24-720MF +L</v>
          </cell>
        </row>
        <row r="900">
          <cell r="B900" t="str">
            <v>SPG24F-6MF</v>
          </cell>
          <cell r="C900" t="str">
            <v>WSPG246L-CP410E</v>
          </cell>
          <cell r="D900">
            <v>1</v>
          </cell>
          <cell r="E900" t="str">
            <v>AB PP WC RUS-SPOWER G24-630MF +R</v>
          </cell>
        </row>
        <row r="901">
          <cell r="B901" t="str">
            <v>SPG24F-7MF</v>
          </cell>
          <cell r="C901" t="str">
            <v>WSPG247L-CP410E</v>
          </cell>
          <cell r="D901">
            <v>1</v>
          </cell>
          <cell r="E901" t="str">
            <v>AB PP WC RUS-SPOWER G24-720MF +R</v>
          </cell>
        </row>
        <row r="902">
          <cell r="B902" t="str">
            <v>SPG27-8MF</v>
          </cell>
          <cell r="C902" t="str">
            <v>WSPG278R-CP410E</v>
          </cell>
          <cell r="D902">
            <v>1</v>
          </cell>
          <cell r="E902" t="str">
            <v>AB PP WC RUS-SPOWER G27-850MF +L</v>
          </cell>
        </row>
        <row r="903">
          <cell r="B903" t="str">
            <v>SPG27F-8MF</v>
          </cell>
          <cell r="C903" t="str">
            <v>WSPG278L-CP410E</v>
          </cell>
          <cell r="D903">
            <v>1</v>
          </cell>
          <cell r="E903" t="str">
            <v>AB PP WC RUS-SPOWER G27-840MF +R</v>
          </cell>
        </row>
        <row r="904">
          <cell r="B904" t="str">
            <v>SPG31A-9MF</v>
          </cell>
          <cell r="C904" t="str">
            <v>WSPB319R-CP210E</v>
          </cell>
          <cell r="D904">
            <v>1</v>
          </cell>
          <cell r="E904" t="str">
            <v>AB PP WC RUS-SPOWER G31-930MF AUTO</v>
          </cell>
        </row>
        <row r="905">
          <cell r="B905" t="str">
            <v>SPG31S-9MF</v>
          </cell>
          <cell r="C905" t="str">
            <v>WSPB31ZT-CP210E</v>
          </cell>
          <cell r="D905">
            <v>1</v>
          </cell>
          <cell r="E905" t="str">
            <v>AB PP WC RUS-SPOWER G31-930MF STUD</v>
          </cell>
        </row>
        <row r="906">
          <cell r="B906" t="str">
            <v>SPG51-4MF</v>
          </cell>
          <cell r="C906" t="str">
            <v>WSPB244A-CP410E</v>
          </cell>
          <cell r="D906">
            <v>1</v>
          </cell>
          <cell r="E906" t="str">
            <v>AB PP WC RUS-SPOWER G51-4MF +L SML-P</v>
          </cell>
        </row>
        <row r="907">
          <cell r="B907" t="str">
            <v>SPG51R-4MF</v>
          </cell>
          <cell r="C907" t="str">
            <v>WSPB244B-CP410E</v>
          </cell>
          <cell r="D907">
            <v>1</v>
          </cell>
          <cell r="E907" t="str">
            <v>AB PP WC RUS-SPOWER G51R-4MF +R SML-P</v>
          </cell>
        </row>
        <row r="908">
          <cell r="B908" t="str">
            <v>SSD31AR-MF-P</v>
          </cell>
          <cell r="C908" t="str">
            <v>WMCD31CR-SPN14E</v>
          </cell>
          <cell r="D908">
            <v>1</v>
          </cell>
          <cell r="E908" t="str">
            <v>AB PP WC SINMA-SNGPOR  D31+L WHT/BLK</v>
          </cell>
        </row>
        <row r="909">
          <cell r="B909" t="str">
            <v>SSMFG35-5-P</v>
          </cell>
          <cell r="C909" t="str">
            <v>WMGG35BL-TS314E</v>
          </cell>
          <cell r="D909">
            <v>1</v>
          </cell>
          <cell r="E909" t="str">
            <v>AB PP WC SINMA-SNGPOR SEALED G35-5 +R</v>
          </cell>
        </row>
        <row r="910">
          <cell r="B910" t="str">
            <v>SSMFG49-P</v>
          </cell>
          <cell r="C910" t="str">
            <v>WMGG49AL-TS114E</v>
          </cell>
          <cell r="D910">
            <v>1</v>
          </cell>
          <cell r="E910" t="str">
            <v>AB PP WC SINMA-SNGPOR G49/DIN100 MF BLK</v>
          </cell>
        </row>
        <row r="911">
          <cell r="B911" t="str">
            <v>SSMFN200-P</v>
          </cell>
          <cell r="C911" t="str">
            <v>WMGH52EL-TS314E</v>
          </cell>
          <cell r="D911">
            <v>1</v>
          </cell>
          <cell r="E911" t="str">
            <v>AB PP WC SINMA SINGAPORE TOT-SEALED N200</v>
          </cell>
        </row>
        <row r="912">
          <cell r="B912" t="str">
            <v>SSMFN55-P</v>
          </cell>
          <cell r="C912" t="str">
            <v>WMGN55EL-TS114E</v>
          </cell>
          <cell r="D912">
            <v>1</v>
          </cell>
          <cell r="E912" t="str">
            <v>AB PP WC SINMA-SNGPORE TOT-SLD DIN55 +R</v>
          </cell>
        </row>
        <row r="913">
          <cell r="B913" t="str">
            <v>SSMFN66-P</v>
          </cell>
          <cell r="C913" t="str">
            <v>WMGN66DL-TS114E</v>
          </cell>
          <cell r="D913">
            <v>1</v>
          </cell>
          <cell r="E913" t="str">
            <v>AB PP WC SINMA-SNGPORE TOT-SLD DIN66 +R</v>
          </cell>
        </row>
        <row r="914">
          <cell r="B914" t="str">
            <v>SSN200D-P</v>
          </cell>
          <cell r="C914" t="str">
            <v>DMTH52BL-SPN14E</v>
          </cell>
          <cell r="D914">
            <v>1</v>
          </cell>
          <cell r="E914" t="str">
            <v>AB PP DC SINMA TMASTER 8D/H52 (N200)</v>
          </cell>
        </row>
        <row r="915">
          <cell r="B915" t="str">
            <v>SSN70ZL-P</v>
          </cell>
          <cell r="C915" t="str">
            <v>WMGG27EL-TS314E</v>
          </cell>
          <cell r="D915">
            <v>1</v>
          </cell>
          <cell r="E915" t="str">
            <v>AB PP WC SINMA-SPORE TTLY SLD G27 AUTO+R</v>
          </cell>
        </row>
        <row r="916">
          <cell r="B916" t="str">
            <v>SSN70Z-P</v>
          </cell>
          <cell r="C916" t="str">
            <v>WMGG27ER-TS314E</v>
          </cell>
          <cell r="D916">
            <v>1</v>
          </cell>
          <cell r="E916" t="str">
            <v>AB PP WC SINMA-SNGPOR TOT-SLD G27 AUTO+L</v>
          </cell>
        </row>
        <row r="917">
          <cell r="B917" t="str">
            <v>SSNS40ZL(O)-P</v>
          </cell>
          <cell r="C917" t="str">
            <v>WMGB20CB-TS114E</v>
          </cell>
          <cell r="D917">
            <v>1</v>
          </cell>
          <cell r="E917" t="str">
            <v>AB PP WC SINMA-SNGPOR TOT-NS40Z OFFSET</v>
          </cell>
        </row>
        <row r="918">
          <cell r="B918" t="str">
            <v>SSNS50L-P</v>
          </cell>
          <cell r="C918" t="str">
            <v>WMGD23BL-CP314E</v>
          </cell>
          <cell r="D918">
            <v>1</v>
          </cell>
          <cell r="E918" t="str">
            <v>AB PP WC SINMA-SNGPOR TOT-SLD D23 AUTO+R</v>
          </cell>
        </row>
        <row r="919">
          <cell r="B919" t="str">
            <v>SSNS50-P</v>
          </cell>
          <cell r="C919" t="str">
            <v>WMGD23BR-CP314E</v>
          </cell>
          <cell r="D919">
            <v>1</v>
          </cell>
          <cell r="E919" t="str">
            <v>AB PP WC SINMA-SNGPOR TOT-SLD D23 AUTO+L</v>
          </cell>
        </row>
        <row r="920">
          <cell r="B920" t="str">
            <v>SSNS60L-P</v>
          </cell>
          <cell r="C920" t="str">
            <v>WMGB24BB-TS314E</v>
          </cell>
          <cell r="D920">
            <v>1</v>
          </cell>
          <cell r="E920" t="str">
            <v>AB PP WC SINMA-SNGPORE TOT-SLD NS60 +R</v>
          </cell>
        </row>
        <row r="921">
          <cell r="B921" t="str">
            <v>SSNS60LS-P</v>
          </cell>
          <cell r="C921" t="str">
            <v>WMGB24BL-TS314E</v>
          </cell>
          <cell r="D921">
            <v>1</v>
          </cell>
          <cell r="E921" t="str">
            <v>AB PP WC SINMA-SNGPOR TOT-SLD B24 AUTO+R</v>
          </cell>
        </row>
        <row r="922">
          <cell r="B922" t="str">
            <v>SSNS60-P</v>
          </cell>
          <cell r="C922" t="str">
            <v>WMGB24BA-TS314E</v>
          </cell>
          <cell r="D922">
            <v>1</v>
          </cell>
          <cell r="E922" t="str">
            <v>AB PP WC SINMA-SNGPORE TOT-SLD NS60 +L</v>
          </cell>
        </row>
        <row r="923">
          <cell r="B923" t="str">
            <v>SSNS60S-P</v>
          </cell>
          <cell r="C923" t="str">
            <v>WMGB24BR-TS314E</v>
          </cell>
          <cell r="D923">
            <v>1</v>
          </cell>
          <cell r="E923" t="str">
            <v>AB PP WC SINMA-SNGPOR TOT-SLD B24 AUTO+L</v>
          </cell>
        </row>
        <row r="924">
          <cell r="B924" t="str">
            <v>SSNS70L-P</v>
          </cell>
          <cell r="C924" t="str">
            <v>WMGG24DL-TS314E</v>
          </cell>
          <cell r="D924">
            <v>1</v>
          </cell>
          <cell r="E924" t="str">
            <v>AB PP WC SINMA-SINGAPORE NS70L +R</v>
          </cell>
        </row>
        <row r="925">
          <cell r="B925" t="str">
            <v>SSNS70-P</v>
          </cell>
          <cell r="C925" t="str">
            <v>WMGG24DR-TS314E</v>
          </cell>
          <cell r="D925">
            <v>1</v>
          </cell>
          <cell r="E925" t="str">
            <v>AB PP WC SINMA-SINGAPORE NS70 +R</v>
          </cell>
        </row>
        <row r="926">
          <cell r="B926" t="str">
            <v>SUNN120P</v>
          </cell>
          <cell r="C926" t="str">
            <v>DSCF51CL-SPN12E</v>
          </cell>
          <cell r="D926">
            <v>1</v>
          </cell>
          <cell r="E926" t="str">
            <v>AB PP DC CHINA-SUNNY N120/2D</v>
          </cell>
        </row>
        <row r="927">
          <cell r="B927" t="str">
            <v>SUNN150P</v>
          </cell>
          <cell r="C927" t="str">
            <v>DSCG51BL-SPN12E</v>
          </cell>
          <cell r="D927">
            <v>1</v>
          </cell>
          <cell r="E927" t="str">
            <v>AB PP DC CHINA-SUNNY N150/4D</v>
          </cell>
        </row>
        <row r="928">
          <cell r="B928" t="str">
            <v>SUNN200P</v>
          </cell>
          <cell r="C928" t="str">
            <v>DSCH52FL-SPN12E</v>
          </cell>
          <cell r="D928">
            <v>1</v>
          </cell>
          <cell r="E928" t="str">
            <v>AB PP DC CHINA-SUNNY N200/8D</v>
          </cell>
        </row>
        <row r="929">
          <cell r="B929" t="str">
            <v>SVDIN55-MF-P</v>
          </cell>
          <cell r="C929" t="str">
            <v>WMGN55EL-CP125E</v>
          </cell>
          <cell r="D929">
            <v>1</v>
          </cell>
          <cell r="E929" t="str">
            <v>AB PP WC MGOLD SAGIMEXCO DIN55 B3 +R</v>
          </cell>
        </row>
        <row r="930">
          <cell r="B930" t="str">
            <v>SVDIN66-MF-P</v>
          </cell>
          <cell r="C930" t="str">
            <v>WMGN66DL-CP125E</v>
          </cell>
          <cell r="D930">
            <v>1</v>
          </cell>
          <cell r="E930" t="str">
            <v>AB PP WC MGOLD VIETNAM DIN66 B3 +R</v>
          </cell>
        </row>
        <row r="931">
          <cell r="B931" t="str">
            <v>SVG34/78-6MF</v>
          </cell>
          <cell r="C931" t="str">
            <v>WMGD78DD-CP325E</v>
          </cell>
          <cell r="D931">
            <v>1</v>
          </cell>
          <cell r="E931" t="str">
            <v>AB PP WC MGOLD SAGIMEXCO G34/78-6MF +R</v>
          </cell>
        </row>
        <row r="932">
          <cell r="B932" t="str">
            <v>TBD23BL-P-TY</v>
          </cell>
          <cell r="C932" t="str">
            <v>WTBD23CL-CPNTYL</v>
          </cell>
          <cell r="D932">
            <v>1</v>
          </cell>
          <cell r="E932" t="str">
            <v>AB PP WC TURBO 1SMF/D23BL +R - TOYOTA</v>
          </cell>
        </row>
        <row r="933">
          <cell r="B933" t="str">
            <v>TBD26CL-P-TY</v>
          </cell>
          <cell r="C933" t="str">
            <v>WTBD26EL-CPNTYL</v>
          </cell>
          <cell r="D933">
            <v>1</v>
          </cell>
          <cell r="E933" t="str">
            <v>AB PP WC TURBO 2SMF/D26CL +R - TOYOTA</v>
          </cell>
        </row>
        <row r="934">
          <cell r="B934" t="str">
            <v>UCLG49-MF-P</v>
          </cell>
          <cell r="C934" t="str">
            <v>UCLG49AL-CP115E</v>
          </cell>
          <cell r="D934">
            <v>1</v>
          </cell>
          <cell r="E934" t="str">
            <v>AB PP UB ABM-CHALLENGER DIN100/G49 +R</v>
          </cell>
        </row>
        <row r="935">
          <cell r="B935" t="str">
            <v>UCLMFN55-P</v>
          </cell>
          <cell r="C935" t="str">
            <v>UCLN55EL-CP115E</v>
          </cell>
          <cell r="D935">
            <v>1</v>
          </cell>
          <cell r="E935" t="str">
            <v>AB PP UB ABM-CHALLENGER DIN55-MF +R</v>
          </cell>
        </row>
        <row r="936">
          <cell r="B936" t="str">
            <v>UCLMFN66-P</v>
          </cell>
          <cell r="C936" t="str">
            <v>UCLN66DL-CP115E</v>
          </cell>
          <cell r="D936">
            <v>1</v>
          </cell>
          <cell r="E936" t="str">
            <v>AB PP UB ABM-CHALLENGER DIN66-MF +R</v>
          </cell>
        </row>
        <row r="937">
          <cell r="B937" t="str">
            <v>UCLMFN88-P</v>
          </cell>
          <cell r="C937" t="str">
            <v>UCLN88BL-CP115E</v>
          </cell>
          <cell r="D937">
            <v>1</v>
          </cell>
          <cell r="E937" t="str">
            <v>AB PP UB ABM-CHALLENGER DIN88-MF +R</v>
          </cell>
        </row>
        <row r="938">
          <cell r="B938" t="str">
            <v>UCLN50ZL-MF-P</v>
          </cell>
          <cell r="C938" t="str">
            <v>UCLG24CL-CP315E</v>
          </cell>
          <cell r="D938">
            <v>1</v>
          </cell>
          <cell r="E938" t="str">
            <v>AB PP UB ABM-CHALLENGER N50ZL-MF +R</v>
          </cell>
        </row>
        <row r="939">
          <cell r="B939" t="str">
            <v>UCLN50Z-MF-P</v>
          </cell>
          <cell r="C939" t="str">
            <v>UCLG24CR-CP315E</v>
          </cell>
          <cell r="D939">
            <v>1</v>
          </cell>
          <cell r="E939" t="str">
            <v>AB PP UB ABM-CHALLENGER N50Z-MF +L</v>
          </cell>
        </row>
        <row r="940">
          <cell r="B940" t="str">
            <v>UCLN70L-MF-P</v>
          </cell>
          <cell r="C940" t="str">
            <v>UCLG27CL-CP315E</v>
          </cell>
          <cell r="D940">
            <v>1</v>
          </cell>
          <cell r="E940" t="str">
            <v>AB PP UB ABM-CHALLENGER N70L-MF +R</v>
          </cell>
        </row>
        <row r="941">
          <cell r="B941" t="str">
            <v>UCLN70-MF-P</v>
          </cell>
          <cell r="C941" t="str">
            <v>UCLG27CR-CP315E</v>
          </cell>
          <cell r="D941">
            <v>1</v>
          </cell>
          <cell r="E941" t="str">
            <v>AB PP UB ABM-CHALLENGER N70-MF +L</v>
          </cell>
        </row>
        <row r="942">
          <cell r="B942" t="str">
            <v>UCLN70ZL-MF-P</v>
          </cell>
          <cell r="C942" t="str">
            <v>UCLG27EL-CP315E</v>
          </cell>
          <cell r="D942">
            <v>1</v>
          </cell>
          <cell r="E942" t="str">
            <v>AB PP UB ABM-CHALLENGER N70ZL-MF +R</v>
          </cell>
        </row>
        <row r="943">
          <cell r="B943" t="str">
            <v>UCLN70Z-MF-P</v>
          </cell>
          <cell r="C943" t="str">
            <v>UCLG27ER-CP315E</v>
          </cell>
          <cell r="D943">
            <v>1</v>
          </cell>
          <cell r="E943" t="str">
            <v>AB PP UB ABM-CHALLENGER N70Z-MF + L</v>
          </cell>
        </row>
        <row r="944">
          <cell r="B944" t="str">
            <v>UCLNS50L-MF-P</v>
          </cell>
          <cell r="C944" t="str">
            <v>UCLD23BL-CP315E</v>
          </cell>
          <cell r="D944">
            <v>1</v>
          </cell>
          <cell r="E944" t="str">
            <v>AB PP UB ABM-CHALLENGER NS50L-MF +R</v>
          </cell>
        </row>
        <row r="945">
          <cell r="B945" t="str">
            <v>UCLNS50-MF-P</v>
          </cell>
          <cell r="C945" t="str">
            <v>UCLD23BR-CP315E</v>
          </cell>
          <cell r="D945">
            <v>1</v>
          </cell>
          <cell r="E945" t="str">
            <v>AB PP UB ABM-CHALLENGER NS50-MF +L</v>
          </cell>
        </row>
        <row r="946">
          <cell r="B946" t="str">
            <v>UCLNS50ZL-MF-P</v>
          </cell>
          <cell r="C946" t="str">
            <v>UCLD23DL-CP315E</v>
          </cell>
          <cell r="D946">
            <v>1</v>
          </cell>
          <cell r="E946" t="str">
            <v>AB PP UB ABM-CHALLENGER NS50ZL-MF +R</v>
          </cell>
        </row>
        <row r="947">
          <cell r="B947" t="str">
            <v>UCLNS50Z-MF-P</v>
          </cell>
          <cell r="C947" t="str">
            <v>UCLD23DR-CP315E</v>
          </cell>
          <cell r="D947">
            <v>1</v>
          </cell>
          <cell r="E947" t="str">
            <v>AB PP UB ABM-CHALLENGER NS50Z-MF +L</v>
          </cell>
        </row>
        <row r="948">
          <cell r="B948" t="str">
            <v>UCLNS60L-MF-P</v>
          </cell>
          <cell r="C948" t="str">
            <v>UCLB24BB-CP315E</v>
          </cell>
          <cell r="D948">
            <v>1</v>
          </cell>
          <cell r="E948" t="str">
            <v>AB PP UB ABM-CHALLENGER NS60L-MF +R</v>
          </cell>
        </row>
        <row r="949">
          <cell r="B949" t="str">
            <v>UCLNS60LS-MF-P</v>
          </cell>
          <cell r="C949" t="str">
            <v>UCLB24BL-CP315E</v>
          </cell>
          <cell r="D949">
            <v>1</v>
          </cell>
          <cell r="E949" t="str">
            <v>AB PP UB ABM-CHALLENGER NS60LS-MF +R</v>
          </cell>
        </row>
        <row r="950">
          <cell r="B950" t="str">
            <v>UCLNS60-MF-P</v>
          </cell>
          <cell r="C950" t="str">
            <v>UCLB24BA-CP315E</v>
          </cell>
          <cell r="D950">
            <v>1</v>
          </cell>
          <cell r="E950" t="str">
            <v>AB PP UB ABM-CHALLENGER NS60-MF +L</v>
          </cell>
        </row>
        <row r="951">
          <cell r="B951" t="str">
            <v>UCLNS60S-MF-P</v>
          </cell>
          <cell r="C951" t="str">
            <v>UCLB24BR-CP315E</v>
          </cell>
          <cell r="D951">
            <v>1</v>
          </cell>
          <cell r="E951" t="str">
            <v>AB PP UB ABM-CHALLENGER NS60S-MF +L</v>
          </cell>
        </row>
        <row r="952">
          <cell r="B952" t="str">
            <v>UCLNS60ZL-MF-P</v>
          </cell>
          <cell r="C952" t="str">
            <v>UCLB24DB-CP315E</v>
          </cell>
          <cell r="D952">
            <v>1</v>
          </cell>
          <cell r="E952" t="str">
            <v>AB PP UB ABM-CHALLENGER NS60ZL-MF +R</v>
          </cell>
        </row>
        <row r="953">
          <cell r="B953" t="str">
            <v>UCLNS60Z-MF-P</v>
          </cell>
          <cell r="C953" t="str">
            <v>UCLB24DA-CP315E</v>
          </cell>
          <cell r="D953">
            <v>1</v>
          </cell>
          <cell r="E953" t="str">
            <v>AB PP UB ABM-CHALLENGER NS60Z-MF +L</v>
          </cell>
        </row>
        <row r="954">
          <cell r="B954" t="str">
            <v>UCLNS70L-MF-P</v>
          </cell>
          <cell r="C954" t="str">
            <v>UCLG24DL-CP315E</v>
          </cell>
          <cell r="D954">
            <v>1</v>
          </cell>
          <cell r="E954" t="str">
            <v>AB PP UB ABM-CHALLENGER NS70L-MF +R</v>
          </cell>
        </row>
        <row r="955">
          <cell r="B955" t="str">
            <v>UCLNS70-MF-P</v>
          </cell>
          <cell r="C955" t="str">
            <v>UCLG24DR-CP315E</v>
          </cell>
          <cell r="D955">
            <v>1</v>
          </cell>
          <cell r="E955" t="str">
            <v>AB PP UB ABM-CHALLENGER NS70-MF +L</v>
          </cell>
        </row>
        <row r="956">
          <cell r="B956" t="str">
            <v>UCLNX110L-MF-P</v>
          </cell>
          <cell r="C956" t="str">
            <v>UCLG24EL-CP315E</v>
          </cell>
          <cell r="D956">
            <v>1</v>
          </cell>
          <cell r="E956" t="str">
            <v>AB PP UB ABM-CHALLENGER NX110L-MF +R</v>
          </cell>
        </row>
        <row r="957">
          <cell r="B957" t="str">
            <v>UCLNX110-MF-P</v>
          </cell>
          <cell r="C957" t="str">
            <v>UCLG24ER-CP315E</v>
          </cell>
          <cell r="D957">
            <v>1</v>
          </cell>
          <cell r="E957" t="str">
            <v>AB PP UB ABM-CHALLENGER NX110-MF +L</v>
          </cell>
        </row>
        <row r="958">
          <cell r="B958" t="str">
            <v>UCLNX120L-MF-P</v>
          </cell>
          <cell r="C958" t="str">
            <v>UCLG27GL-CP315E</v>
          </cell>
          <cell r="D958">
            <v>1</v>
          </cell>
          <cell r="E958" t="str">
            <v>AB PP UB ABM-CHALLENGER NX120L-MF +R</v>
          </cell>
        </row>
        <row r="959">
          <cell r="B959" t="str">
            <v>UCLNX120-MF-P</v>
          </cell>
          <cell r="C959" t="str">
            <v>UCLG27GR-CP315E</v>
          </cell>
          <cell r="D959">
            <v>1</v>
          </cell>
          <cell r="E959" t="str">
            <v>AB PP UB ABM-CHALLENGER NX120-MF +L</v>
          </cell>
        </row>
        <row r="960">
          <cell r="B960" t="str">
            <v>UFYG49-MF-P</v>
          </cell>
          <cell r="C960" t="str">
            <v>UFJG49AL-CP115E</v>
          </cell>
          <cell r="D960">
            <v>1</v>
          </cell>
          <cell r="E960" t="str">
            <v>AB PP UB ABM-FUJIYA  DIN100/G49 +R</v>
          </cell>
        </row>
        <row r="961">
          <cell r="B961" t="str">
            <v>UFYMFN55-P</v>
          </cell>
          <cell r="C961" t="str">
            <v>UFJN55EL-CP115E</v>
          </cell>
          <cell r="D961">
            <v>1</v>
          </cell>
          <cell r="E961" t="str">
            <v>AB PP UB ABM-FUJIYA DIN55-MF +R</v>
          </cell>
        </row>
        <row r="962">
          <cell r="B962" t="str">
            <v>UFYMFN66-P</v>
          </cell>
          <cell r="C962" t="str">
            <v>UFJN66DL-CP115E</v>
          </cell>
          <cell r="D962">
            <v>1</v>
          </cell>
          <cell r="E962" t="str">
            <v>AB PP UB ABM-FUJIYA DIN66-MF +R</v>
          </cell>
        </row>
        <row r="963">
          <cell r="B963" t="str">
            <v>UFYMFN88-P</v>
          </cell>
          <cell r="C963" t="str">
            <v>UFJN88BL-CP115E</v>
          </cell>
          <cell r="D963">
            <v>1</v>
          </cell>
          <cell r="E963" t="str">
            <v>AB PP UB ABM-FUJIYA DIN88-MF +R</v>
          </cell>
        </row>
        <row r="964">
          <cell r="B964" t="str">
            <v>UFYN50ZL-MF-P</v>
          </cell>
          <cell r="C964" t="str">
            <v>UFJG24CL-CP315E</v>
          </cell>
          <cell r="D964">
            <v>1</v>
          </cell>
          <cell r="E964" t="str">
            <v>AB PP UB ABM-FUJIYA N50ZL-MF +R</v>
          </cell>
        </row>
        <row r="965">
          <cell r="B965" t="str">
            <v>UFYN50Z-MF-P</v>
          </cell>
          <cell r="C965" t="str">
            <v>UFJG24CR-CP315E</v>
          </cell>
          <cell r="D965">
            <v>1</v>
          </cell>
          <cell r="E965" t="str">
            <v>AB PP UB ABM-FUJIYA N50Z-MF +L</v>
          </cell>
        </row>
        <row r="966">
          <cell r="B966" t="str">
            <v>UFYN70L-MF-P</v>
          </cell>
          <cell r="C966" t="str">
            <v>UFJG27CL-CP315E</v>
          </cell>
          <cell r="D966">
            <v>1</v>
          </cell>
          <cell r="E966" t="str">
            <v>AB PP UB ABM-FUJIYA N70L-MF +R</v>
          </cell>
        </row>
        <row r="967">
          <cell r="B967" t="str">
            <v>UFYN70-MF-P</v>
          </cell>
          <cell r="C967" t="str">
            <v>UFJG27CR-CP315E</v>
          </cell>
          <cell r="D967">
            <v>1</v>
          </cell>
          <cell r="E967" t="str">
            <v>AB PP UB ABM-FUJIYA N70-MF +L</v>
          </cell>
        </row>
        <row r="968">
          <cell r="B968" t="str">
            <v>UFYN70ZL-MF-P</v>
          </cell>
          <cell r="C968" t="str">
            <v>UFJG27EL-CP315E</v>
          </cell>
          <cell r="D968">
            <v>1</v>
          </cell>
          <cell r="E968" t="str">
            <v>AB PP UB ABM-FUJIYA N70ZL-MF +R</v>
          </cell>
        </row>
        <row r="969">
          <cell r="B969" t="str">
            <v>UFYN70Z-MF-P</v>
          </cell>
          <cell r="C969" t="str">
            <v>UFJG27ER-CP315E</v>
          </cell>
          <cell r="D969">
            <v>1</v>
          </cell>
          <cell r="E969" t="str">
            <v>AB PP UB ABM-FUJIYA N70Z-MF + L</v>
          </cell>
        </row>
        <row r="970">
          <cell r="B970" t="str">
            <v>UFYNS50L-MF-P</v>
          </cell>
          <cell r="C970" t="str">
            <v>UFJD23BL-CP315E</v>
          </cell>
          <cell r="D970">
            <v>1</v>
          </cell>
          <cell r="E970" t="str">
            <v>AB PP UB ABM-FUJIYA NS50L-MF +R</v>
          </cell>
        </row>
        <row r="971">
          <cell r="B971" t="str">
            <v>UFYNS50-MF-P</v>
          </cell>
          <cell r="C971" t="str">
            <v>UFJD23BR-CP315E</v>
          </cell>
          <cell r="D971">
            <v>1</v>
          </cell>
          <cell r="E971" t="str">
            <v>AB PP UB ABM-FUJIYA NS50-MF +L</v>
          </cell>
        </row>
        <row r="972">
          <cell r="B972" t="str">
            <v>UFYNS50ZL-MF-P</v>
          </cell>
          <cell r="C972" t="str">
            <v>UFJD23DL-CP315E</v>
          </cell>
          <cell r="D972">
            <v>1</v>
          </cell>
          <cell r="E972" t="str">
            <v>AB PP UB ABM-FUJIYA NS50ZL-MF +R</v>
          </cell>
        </row>
        <row r="973">
          <cell r="B973" t="str">
            <v>UFYNS50Z-MF-P</v>
          </cell>
          <cell r="C973" t="str">
            <v>UFJD23DR-CP315E</v>
          </cell>
          <cell r="D973">
            <v>1</v>
          </cell>
          <cell r="E973" t="str">
            <v>AB PP UB ABM-FUJIYA NS50Z-MF +L</v>
          </cell>
        </row>
        <row r="974">
          <cell r="B974" t="str">
            <v>UFYNS60L-MF-P</v>
          </cell>
          <cell r="C974" t="str">
            <v>UFJB24BB-CP315E</v>
          </cell>
          <cell r="D974">
            <v>1</v>
          </cell>
          <cell r="E974" t="str">
            <v>AB PP UB ABM-FUJIYA NS60L-MF +R</v>
          </cell>
        </row>
        <row r="975">
          <cell r="B975" t="str">
            <v>UFYNS60LS-MF-P</v>
          </cell>
          <cell r="C975" t="str">
            <v>UFJB24BL-CP315E</v>
          </cell>
          <cell r="D975">
            <v>1</v>
          </cell>
          <cell r="E975" t="str">
            <v>AB PP UB ABM-FUJIYA NS60LS-MF +R</v>
          </cell>
        </row>
        <row r="976">
          <cell r="B976" t="str">
            <v>UFYNS60-MF-P</v>
          </cell>
          <cell r="C976" t="str">
            <v>UFJB24BA-CP315E</v>
          </cell>
          <cell r="D976">
            <v>1</v>
          </cell>
          <cell r="E976" t="str">
            <v>AB PP UB ABM-FUJIYA NS60-MF +L</v>
          </cell>
        </row>
        <row r="977">
          <cell r="B977" t="str">
            <v>UFYNS60S-MF-P</v>
          </cell>
          <cell r="C977" t="str">
            <v>UFJB24BR-CP315E</v>
          </cell>
          <cell r="D977">
            <v>1</v>
          </cell>
          <cell r="E977" t="str">
            <v>AB PP UB ABM-FUJIYA NS60S-MF +L</v>
          </cell>
        </row>
        <row r="978">
          <cell r="B978" t="str">
            <v>UFYNS60ZL-MF-P</v>
          </cell>
          <cell r="C978" t="str">
            <v>UFJB24DB-CP315E</v>
          </cell>
          <cell r="D978">
            <v>1</v>
          </cell>
          <cell r="E978" t="str">
            <v>AB PP UB ABM-FUJIYA NS60ZL-MF +R</v>
          </cell>
        </row>
        <row r="979">
          <cell r="B979" t="str">
            <v>UFYNS60Z-MF-P</v>
          </cell>
          <cell r="C979" t="str">
            <v>UFJB24DA-CP315E</v>
          </cell>
          <cell r="D979">
            <v>1</v>
          </cell>
          <cell r="E979" t="str">
            <v>AB PP UB ABM-FUJIYA NS60Z-MF +L</v>
          </cell>
        </row>
        <row r="980">
          <cell r="B980" t="str">
            <v>UFYNS70L-MF-P</v>
          </cell>
          <cell r="C980" t="str">
            <v>UFJG24DL-CP315E</v>
          </cell>
          <cell r="D980">
            <v>1</v>
          </cell>
          <cell r="E980" t="str">
            <v>AB PP UB ABM-FUJIYA NS70L-MF +R</v>
          </cell>
        </row>
        <row r="981">
          <cell r="B981" t="str">
            <v>UFYNS70-MF-P</v>
          </cell>
          <cell r="C981" t="str">
            <v>UFJG24DR-CP315E</v>
          </cell>
          <cell r="D981">
            <v>1</v>
          </cell>
          <cell r="E981" t="str">
            <v>AB PP UB ABM-FUJIYA NS70-MF +L</v>
          </cell>
        </row>
        <row r="982">
          <cell r="B982" t="str">
            <v>UFYNX110L-MF-P</v>
          </cell>
          <cell r="C982" t="str">
            <v>UFJG24EL-CP315E</v>
          </cell>
          <cell r="D982">
            <v>1</v>
          </cell>
          <cell r="E982" t="str">
            <v>AB PP UB ABM-FUJIYA NX110L-MF +R</v>
          </cell>
        </row>
        <row r="983">
          <cell r="B983" t="str">
            <v>UFYNX110-MF-P</v>
          </cell>
          <cell r="C983" t="str">
            <v>UFJG24ER-CP315E</v>
          </cell>
          <cell r="D983">
            <v>1</v>
          </cell>
          <cell r="E983" t="str">
            <v>AB PP UB ABM-FUJIYA NX110-MF +L</v>
          </cell>
        </row>
        <row r="984">
          <cell r="B984" t="str">
            <v>UFYNX120L-MF-P</v>
          </cell>
          <cell r="C984" t="str">
            <v>UFJG27GL-CP315E</v>
          </cell>
          <cell r="D984">
            <v>1</v>
          </cell>
          <cell r="E984" t="str">
            <v>AB PP UB ABM-FUJIYA NX120L-MF +R</v>
          </cell>
        </row>
        <row r="985">
          <cell r="B985" t="str">
            <v>UFYNX120-MF-P</v>
          </cell>
          <cell r="C985" t="str">
            <v>UFJG27GR-CP315E</v>
          </cell>
          <cell r="D985">
            <v>1</v>
          </cell>
          <cell r="E985" t="str">
            <v>AB PP UB ABM-FUJIYA NX120-MF +L</v>
          </cell>
        </row>
        <row r="986">
          <cell r="B986" t="str">
            <v>UWB20ALD-P</v>
          </cell>
          <cell r="C986" t="str">
            <v>EUWB20AL-CPN00L</v>
          </cell>
          <cell r="D986">
            <v>1</v>
          </cell>
          <cell r="E986" t="str">
            <v>AB PP DC UW NS40 +R</v>
          </cell>
        </row>
        <row r="987">
          <cell r="B987" t="str">
            <v>UWC24ALD-P</v>
          </cell>
          <cell r="C987" t="str">
            <v>EUWC24BL-SPN00L</v>
          </cell>
          <cell r="D987">
            <v>1</v>
          </cell>
          <cell r="E987" t="str">
            <v>AB PP DC UW N40 +R</v>
          </cell>
        </row>
        <row r="988">
          <cell r="B988" t="str">
            <v>UWD22ALD-P</v>
          </cell>
          <cell r="C988" t="str">
            <v>EUWD23BL-SPN00L</v>
          </cell>
          <cell r="D988">
            <v>1</v>
          </cell>
          <cell r="E988" t="str">
            <v>AB PP DC UW NS50/1SM +R</v>
          </cell>
        </row>
        <row r="989">
          <cell r="B989" t="str">
            <v>UWD26ALD-P</v>
          </cell>
          <cell r="C989" t="str">
            <v>EUWD26AL-SPN00L</v>
          </cell>
          <cell r="D989">
            <v>1</v>
          </cell>
          <cell r="E989" t="str">
            <v>AB PP DC UW N50/2SM +R</v>
          </cell>
        </row>
        <row r="990">
          <cell r="B990" t="str">
            <v>UWD31ALD-P</v>
          </cell>
          <cell r="C990" t="str">
            <v>EUWD31BL-SPN00L</v>
          </cell>
          <cell r="D990">
            <v>1</v>
          </cell>
          <cell r="E990" t="str">
            <v>AB PP DC UW N70/3SM +R</v>
          </cell>
        </row>
        <row r="991">
          <cell r="B991" t="str">
            <v>UWE41ALD-P</v>
          </cell>
          <cell r="C991" t="str">
            <v>EUWE41AL-SPN00L</v>
          </cell>
          <cell r="D991">
            <v>1</v>
          </cell>
          <cell r="E991" t="str">
            <v>AB PP DC UW N100 +R</v>
          </cell>
        </row>
        <row r="992">
          <cell r="B992" t="str">
            <v>UWF51ALD-P</v>
          </cell>
          <cell r="C992" t="str">
            <v>EUWF51CL-SPN00L</v>
          </cell>
          <cell r="D992">
            <v>1</v>
          </cell>
          <cell r="E992" t="str">
            <v>AB PP DC UW N120 +R</v>
          </cell>
        </row>
        <row r="993">
          <cell r="B993" t="str">
            <v>UWG51ALD-P</v>
          </cell>
          <cell r="C993" t="str">
            <v>EUWG51BL-SPN00L</v>
          </cell>
          <cell r="D993">
            <v>1</v>
          </cell>
          <cell r="E993" t="str">
            <v>AB PP DC UW N150/4D +R</v>
          </cell>
        </row>
        <row r="994">
          <cell r="B994" t="str">
            <v>UWH52ALD-P</v>
          </cell>
          <cell r="C994" t="str">
            <v>EUWH52BL-SPN00L</v>
          </cell>
          <cell r="D994">
            <v>1</v>
          </cell>
          <cell r="E994" t="str">
            <v>AB PP DC UW N200/8D +R</v>
          </cell>
        </row>
        <row r="995">
          <cell r="B995" t="str">
            <v>UXC24BLD-P</v>
          </cell>
          <cell r="C995" t="str">
            <v>EUXC24BL-SPN00L</v>
          </cell>
          <cell r="D995">
            <v>1</v>
          </cell>
          <cell r="E995" t="str">
            <v>AB PP DC UX N40 +R</v>
          </cell>
        </row>
        <row r="996">
          <cell r="B996" t="str">
            <v>UXD22BLD-P</v>
          </cell>
          <cell r="C996" t="str">
            <v>EUXD23BL-SPN00L</v>
          </cell>
          <cell r="D996">
            <v>1</v>
          </cell>
          <cell r="E996" t="str">
            <v>AB PP DC UX NS50/1SM +R</v>
          </cell>
        </row>
        <row r="997">
          <cell r="B997" t="str">
            <v>UXD26BLD-P</v>
          </cell>
          <cell r="C997" t="str">
            <v>EUXD26AL-SPN00L</v>
          </cell>
          <cell r="D997">
            <v>1</v>
          </cell>
          <cell r="E997" t="str">
            <v>AB PP DC UX N50/2SM +R</v>
          </cell>
        </row>
        <row r="998">
          <cell r="B998" t="str">
            <v>UXD31BLD-P</v>
          </cell>
          <cell r="C998" t="str">
            <v>EUXD31CL-SPN00L</v>
          </cell>
          <cell r="D998">
            <v>1</v>
          </cell>
          <cell r="E998" t="str">
            <v>AB PP DC UX N70/3SM +R</v>
          </cell>
        </row>
        <row r="999">
          <cell r="B999" t="str">
            <v>UXE41BLD-P</v>
          </cell>
          <cell r="C999" t="str">
            <v>EUXE41CL-SPN00L</v>
          </cell>
          <cell r="D999">
            <v>1</v>
          </cell>
          <cell r="E999" t="str">
            <v>AB PP DC UX N100 +R</v>
          </cell>
        </row>
        <row r="1000">
          <cell r="B1000" t="str">
            <v>UXF51BLD-P</v>
          </cell>
          <cell r="C1000" t="str">
            <v>EUXF51CL-SPN00L</v>
          </cell>
          <cell r="D1000">
            <v>1</v>
          </cell>
          <cell r="E1000" t="str">
            <v>AB PP DC UX N120 +R</v>
          </cell>
        </row>
        <row r="1001">
          <cell r="B1001" t="str">
            <v>UXG51BLD-P</v>
          </cell>
          <cell r="C1001" t="str">
            <v>EUXG51BL-SPN00L</v>
          </cell>
          <cell r="D1001">
            <v>1</v>
          </cell>
          <cell r="E1001" t="str">
            <v>AB PP DC UX N150 +R</v>
          </cell>
        </row>
        <row r="1002">
          <cell r="B1002" t="str">
            <v>UXH52BLD-P</v>
          </cell>
          <cell r="C1002" t="str">
            <v>EUXH52BL-SPN00L</v>
          </cell>
          <cell r="D1002">
            <v>1</v>
          </cell>
          <cell r="E1002" t="str">
            <v>AB PP DC UX N200 +R</v>
          </cell>
        </row>
        <row r="1003">
          <cell r="B1003" t="str">
            <v>UYC24BLD-P</v>
          </cell>
          <cell r="C1003" t="str">
            <v>EUYC24BL-SPN00L</v>
          </cell>
          <cell r="D1003">
            <v>1</v>
          </cell>
          <cell r="E1003" t="str">
            <v>AB PP DC UY N40/1SN +R</v>
          </cell>
        </row>
        <row r="1004">
          <cell r="B1004" t="str">
            <v>UYD22BLD-P</v>
          </cell>
          <cell r="C1004" t="str">
            <v>EUYD23BL-SPN00L</v>
          </cell>
          <cell r="D1004">
            <v>1</v>
          </cell>
          <cell r="E1004" t="str">
            <v>AB PP DC UY NS50/1SM +R</v>
          </cell>
        </row>
        <row r="1005">
          <cell r="B1005" t="str">
            <v>UYD26BLD-P</v>
          </cell>
          <cell r="C1005" t="str">
            <v>EUYD26AL-SPN00L</v>
          </cell>
          <cell r="D1005">
            <v>1</v>
          </cell>
          <cell r="E1005" t="str">
            <v>AB PP DC UY N50/2SM +R</v>
          </cell>
        </row>
        <row r="1006">
          <cell r="B1006" t="str">
            <v>UYD31BLD-P</v>
          </cell>
          <cell r="C1006" t="str">
            <v>EUYD31CL-SPN00L</v>
          </cell>
          <cell r="D1006">
            <v>1</v>
          </cell>
          <cell r="E1006" t="str">
            <v>AB PP DC UY N70/3SM +R</v>
          </cell>
        </row>
        <row r="1007">
          <cell r="B1007" t="str">
            <v>UYE41BLD-P</v>
          </cell>
          <cell r="C1007" t="str">
            <v>EUYE41CL-SPN00L</v>
          </cell>
          <cell r="D1007">
            <v>1</v>
          </cell>
          <cell r="E1007" t="str">
            <v>AB PP DC UY N100 +R</v>
          </cell>
        </row>
        <row r="1008">
          <cell r="B1008" t="str">
            <v>UYF51BLD-P</v>
          </cell>
          <cell r="C1008" t="str">
            <v>EUYF51CL-SPN00L</v>
          </cell>
          <cell r="D1008">
            <v>1</v>
          </cell>
          <cell r="E1008" t="str">
            <v>AB PP DC UY N120 +R</v>
          </cell>
        </row>
        <row r="1009">
          <cell r="B1009" t="str">
            <v>UYG51BLD-P</v>
          </cell>
          <cell r="C1009" t="str">
            <v>EUYG51BL-SPN00L</v>
          </cell>
          <cell r="D1009">
            <v>1</v>
          </cell>
          <cell r="E1009" t="str">
            <v>AB PP DC UY N150 +R</v>
          </cell>
        </row>
        <row r="1010">
          <cell r="B1010" t="str">
            <v>UYH52BLD-P</v>
          </cell>
          <cell r="C1010" t="str">
            <v>EUYH52BL-SPN00L</v>
          </cell>
          <cell r="D1010">
            <v>1</v>
          </cell>
          <cell r="E1010" t="str">
            <v>AB PP DC UY N200 +R</v>
          </cell>
        </row>
        <row r="1011">
          <cell r="B1011" t="str">
            <v>UZC24BLD-P</v>
          </cell>
          <cell r="C1011" t="str">
            <v>EUZC24BL-SPN00L</v>
          </cell>
          <cell r="D1011">
            <v>1</v>
          </cell>
          <cell r="E1011" t="str">
            <v>AB PP DC UZ N40/1SN +R</v>
          </cell>
        </row>
        <row r="1012">
          <cell r="B1012" t="str">
            <v>UZC24BRD-P</v>
          </cell>
          <cell r="C1012" t="str">
            <v>EUZC24BR-SPN00L</v>
          </cell>
          <cell r="D1012">
            <v>1</v>
          </cell>
          <cell r="E1012" t="str">
            <v>AB PP DC UZ N40/1SN +L</v>
          </cell>
        </row>
        <row r="1013">
          <cell r="B1013" t="str">
            <v>UZD22BLD-P</v>
          </cell>
          <cell r="C1013" t="str">
            <v>EUZD23BL-SPN00L</v>
          </cell>
          <cell r="D1013">
            <v>1</v>
          </cell>
          <cell r="E1013" t="str">
            <v>AB PP DC UZ NS50/1SM +R</v>
          </cell>
        </row>
        <row r="1014">
          <cell r="B1014" t="str">
            <v>UZD26CLD-P</v>
          </cell>
          <cell r="C1014" t="str">
            <v>EUZD26BL-SPN00L</v>
          </cell>
          <cell r="D1014">
            <v>1</v>
          </cell>
          <cell r="E1014" t="str">
            <v>AB PP DC UZ N50/2SM +R</v>
          </cell>
        </row>
        <row r="1015">
          <cell r="B1015" t="str">
            <v>UZD26CRD-P</v>
          </cell>
          <cell r="C1015" t="str">
            <v>EUZD26BR-SPN00L</v>
          </cell>
          <cell r="D1015">
            <v>1</v>
          </cell>
          <cell r="E1015" t="str">
            <v>AB PP DC UZ N50/2SM +L</v>
          </cell>
        </row>
        <row r="1016">
          <cell r="B1016" t="str">
            <v>UZD31CLD-P</v>
          </cell>
          <cell r="C1016" t="str">
            <v>EUZD31BL-SPN00L</v>
          </cell>
          <cell r="D1016">
            <v>1</v>
          </cell>
          <cell r="E1016" t="str">
            <v>AB PP DC UZ N70/3SM +R</v>
          </cell>
        </row>
        <row r="1017">
          <cell r="B1017" t="str">
            <v>UZD31CRD-P</v>
          </cell>
          <cell r="C1017" t="str">
            <v>EUZD31BR-SPN00L</v>
          </cell>
          <cell r="D1017">
            <v>1</v>
          </cell>
          <cell r="E1017" t="str">
            <v>AB PP DC UZ N70/3SM +L</v>
          </cell>
        </row>
        <row r="1018">
          <cell r="B1018" t="str">
            <v>UZE41BLD-P</v>
          </cell>
          <cell r="C1018" t="str">
            <v>EUZE41BL-SPN00L</v>
          </cell>
          <cell r="D1018">
            <v>1</v>
          </cell>
          <cell r="E1018" t="str">
            <v>AB PP DC UZ N100 +R</v>
          </cell>
        </row>
        <row r="1019">
          <cell r="B1019" t="str">
            <v>UZF51BLD-P</v>
          </cell>
          <cell r="C1019" t="str">
            <v>EUZF51BL-SPN00L</v>
          </cell>
          <cell r="D1019">
            <v>1</v>
          </cell>
          <cell r="E1019" t="str">
            <v>AB PP DC UZ N120 +R</v>
          </cell>
        </row>
        <row r="1020">
          <cell r="B1020" t="str">
            <v>UZG51BLD-P</v>
          </cell>
          <cell r="C1020" t="str">
            <v>EUZG51BL-SPN00L</v>
          </cell>
          <cell r="D1020">
            <v>1</v>
          </cell>
          <cell r="E1020" t="str">
            <v>AB PP DC UZ N150 +R</v>
          </cell>
        </row>
        <row r="1021">
          <cell r="B1021" t="str">
            <v>UZH52BLD-P</v>
          </cell>
          <cell r="C1021" t="str">
            <v>EUZH52BL-SPN00L</v>
          </cell>
          <cell r="D1021">
            <v>1</v>
          </cell>
          <cell r="E1021" t="str">
            <v>AB PP DC UZ N200 +R</v>
          </cell>
        </row>
        <row r="1022">
          <cell r="B1022" t="str">
            <v>VLC24ALD-P</v>
          </cell>
          <cell r="C1022" t="str">
            <v>EVLC24BL-SPN00L</v>
          </cell>
          <cell r="D1022">
            <v>1</v>
          </cell>
          <cell r="E1022" t="str">
            <v>AB PP DC VALIENT C24 +R</v>
          </cell>
        </row>
        <row r="1023">
          <cell r="B1023" t="str">
            <v>VLD22ALD-P</v>
          </cell>
          <cell r="C1023" t="str">
            <v>EVLD23BL-SPN00L</v>
          </cell>
          <cell r="D1023">
            <v>1</v>
          </cell>
          <cell r="E1023" t="str">
            <v>AB PP DC VALIANT 1SMF/D22 +R</v>
          </cell>
        </row>
        <row r="1024">
          <cell r="B1024" t="str">
            <v>VLD26ALD-P</v>
          </cell>
          <cell r="C1024" t="str">
            <v>EVLD26BL-SPN00L</v>
          </cell>
          <cell r="D1024">
            <v>1</v>
          </cell>
          <cell r="E1024" t="str">
            <v>AB PP DC VALIANT 2SMF/D26 +R</v>
          </cell>
        </row>
        <row r="1025">
          <cell r="B1025" t="str">
            <v>VLD31ALD-P</v>
          </cell>
          <cell r="C1025" t="str">
            <v>EVLD31BL-SPN00L</v>
          </cell>
          <cell r="D1025">
            <v>1</v>
          </cell>
          <cell r="E1025" t="str">
            <v>AB PP DC VALIANT 3SMF/D31 +R</v>
          </cell>
        </row>
        <row r="1026">
          <cell r="B1026" t="str">
            <v>VLE41ALD-P</v>
          </cell>
          <cell r="C1026" t="str">
            <v>EVLE41BL-SPN00L</v>
          </cell>
          <cell r="D1026">
            <v>1</v>
          </cell>
          <cell r="E1026" t="str">
            <v>AB PP DC VALIANT-OMMC N100 +R AUTO</v>
          </cell>
        </row>
        <row r="1027">
          <cell r="B1027" t="str">
            <v>VLF51ALD-P</v>
          </cell>
          <cell r="C1027" t="str">
            <v>EVLF51BL-SPN00L</v>
          </cell>
          <cell r="D1027">
            <v>1</v>
          </cell>
          <cell r="E1027" t="str">
            <v>AB PP DC VALIANT 2D/F51AL</v>
          </cell>
        </row>
        <row r="1028">
          <cell r="B1028" t="str">
            <v>VLG51ALD-P</v>
          </cell>
          <cell r="C1028" t="str">
            <v>EVLG51BL-SPN00L</v>
          </cell>
          <cell r="D1028">
            <v>1</v>
          </cell>
          <cell r="E1028" t="str">
            <v>AB PP DC VALIANT G51 +R</v>
          </cell>
        </row>
        <row r="1029">
          <cell r="B1029" t="str">
            <v>VLH52ALD-P</v>
          </cell>
          <cell r="C1029" t="str">
            <v>EVLH52BL-SPN00L</v>
          </cell>
          <cell r="D1029">
            <v>1</v>
          </cell>
          <cell r="E1029" t="str">
            <v>AB PP DC VALIANT H52/8D +R</v>
          </cell>
        </row>
        <row r="1030">
          <cell r="B1030" t="str">
            <v>VTC24ALD-P</v>
          </cell>
          <cell r="C1030" t="str">
            <v>EVTC24BL-SPN00L</v>
          </cell>
          <cell r="D1030">
            <v>1</v>
          </cell>
          <cell r="E1030" t="str">
            <v>AB PP DC VOLTRON C24 +R</v>
          </cell>
        </row>
        <row r="1031">
          <cell r="B1031" t="str">
            <v>VTD22ALD-P</v>
          </cell>
          <cell r="C1031" t="str">
            <v>EVTD23BL-SPN00L</v>
          </cell>
          <cell r="D1031">
            <v>1</v>
          </cell>
          <cell r="E1031" t="str">
            <v>AB PP DC VOLTRON-OMMC D22 +R AUTO</v>
          </cell>
        </row>
        <row r="1032">
          <cell r="B1032" t="str">
            <v>VTD26ALD-P</v>
          </cell>
          <cell r="C1032" t="str">
            <v>EVTD26BL-SPN00L</v>
          </cell>
          <cell r="D1032">
            <v>1</v>
          </cell>
          <cell r="E1032" t="str">
            <v>AB PP DC VOLTRON 2SMF/D26 +R</v>
          </cell>
        </row>
        <row r="1033">
          <cell r="B1033" t="str">
            <v>VTD31ALD-P</v>
          </cell>
          <cell r="C1033" t="str">
            <v>EVTD31BL-SPN00L</v>
          </cell>
          <cell r="D1033">
            <v>1</v>
          </cell>
          <cell r="E1033" t="str">
            <v>AB PP DC VOLTRON 3SMF/D31 +R</v>
          </cell>
        </row>
        <row r="1034">
          <cell r="B1034" t="str">
            <v>VTE41ALD-P</v>
          </cell>
          <cell r="C1034" t="str">
            <v>EVTE41BL-SPN00L</v>
          </cell>
          <cell r="D1034">
            <v>1</v>
          </cell>
          <cell r="E1034" t="str">
            <v>AB PP DC VOLTRON-OMMC N100 +R AUTO</v>
          </cell>
        </row>
        <row r="1035">
          <cell r="B1035" t="str">
            <v>VTF51ALD-P</v>
          </cell>
          <cell r="C1035" t="str">
            <v>EVTF51BL-SPN00L</v>
          </cell>
          <cell r="D1035">
            <v>1</v>
          </cell>
          <cell r="E1035" t="str">
            <v>AB PP DC VOLTRON 2D/F51AL (N120)</v>
          </cell>
        </row>
        <row r="1036">
          <cell r="B1036" t="str">
            <v>VTG51ALD-P</v>
          </cell>
          <cell r="C1036" t="str">
            <v>EVTG51BL-SPN00L</v>
          </cell>
          <cell r="D1036">
            <v>1</v>
          </cell>
          <cell r="E1036" t="str">
            <v>AB PP DC VOLTRON G51 +R</v>
          </cell>
        </row>
        <row r="1037">
          <cell r="B1037" t="str">
            <v>VTH52ALD-P</v>
          </cell>
          <cell r="C1037" t="str">
            <v>EVTH52BL-SPN00L</v>
          </cell>
          <cell r="D1037">
            <v>1</v>
          </cell>
          <cell r="E1037" t="str">
            <v>AB PP DC VOLTRON-OMMC N200 +R AUTO</v>
          </cell>
        </row>
        <row r="1038">
          <cell r="B1038" t="str">
            <v>WMN50ZL-MF-P</v>
          </cell>
          <cell r="C1038" t="str">
            <v>UF1G24CL-CP311E</v>
          </cell>
          <cell r="D1038">
            <v>1</v>
          </cell>
          <cell r="E1038" t="str">
            <v>AB PP UB WATTA-MF1 N50ZL-MF +R</v>
          </cell>
        </row>
        <row r="1039">
          <cell r="B1039" t="str">
            <v>WMN50Z-MF-P</v>
          </cell>
          <cell r="C1039" t="str">
            <v>UF1G24CR-CP311E</v>
          </cell>
          <cell r="D1039">
            <v>1</v>
          </cell>
          <cell r="E1039" t="str">
            <v>AB PP UB WATTA-MF1 N50Z-MF +L</v>
          </cell>
        </row>
        <row r="1040">
          <cell r="B1040" t="str">
            <v>WMN70L-MF-P</v>
          </cell>
          <cell r="C1040" t="str">
            <v>UF1G27CL-CP311E</v>
          </cell>
          <cell r="D1040">
            <v>1</v>
          </cell>
          <cell r="E1040" t="str">
            <v>AB PP UB WATTA-MF1 N70L-MF +R</v>
          </cell>
        </row>
        <row r="1041">
          <cell r="B1041" t="str">
            <v>WMN70-MF-P</v>
          </cell>
          <cell r="C1041" t="str">
            <v>UF1G27CR-CP311E</v>
          </cell>
          <cell r="D1041">
            <v>1</v>
          </cell>
          <cell r="E1041" t="str">
            <v>AB PP UB WATTA-MF1 N70-MF +L</v>
          </cell>
        </row>
        <row r="1042">
          <cell r="B1042" t="str">
            <v>WMN70ZL-MF-P</v>
          </cell>
          <cell r="C1042" t="str">
            <v>UF1G27EL-CP311E</v>
          </cell>
          <cell r="D1042">
            <v>1</v>
          </cell>
          <cell r="E1042" t="str">
            <v>AB PP UB WATTA-MF1 N70ZL-MF +R</v>
          </cell>
        </row>
        <row r="1043">
          <cell r="B1043" t="str">
            <v>WMN70Z-MF-P</v>
          </cell>
          <cell r="C1043" t="str">
            <v>UF1G27ER-CP311E</v>
          </cell>
          <cell r="D1043">
            <v>1</v>
          </cell>
          <cell r="E1043" t="str">
            <v>AB PP UB WATTA-MF1 N70Z-MF +L</v>
          </cell>
        </row>
        <row r="1044">
          <cell r="B1044" t="str">
            <v>WMNS40L-MF-P</v>
          </cell>
          <cell r="C1044" t="str">
            <v>WF1B20BB-TS111E</v>
          </cell>
          <cell r="D1044">
            <v>1</v>
          </cell>
          <cell r="E1044" t="str">
            <v>AB PP WC WATTA-MF1 SEALD NS40L +R SML</v>
          </cell>
        </row>
        <row r="1045">
          <cell r="B1045" t="str">
            <v>WMNS40ZL-MF-P</v>
          </cell>
          <cell r="C1045" t="str">
            <v>WF1B20CC-TS111E</v>
          </cell>
          <cell r="D1045">
            <v>1</v>
          </cell>
          <cell r="E1045" t="str">
            <v>AB PP WC MF1-GOLD NS40ZL-MF +R</v>
          </cell>
        </row>
        <row r="1046">
          <cell r="B1046" t="str">
            <v>WMNS50L-MF-P</v>
          </cell>
          <cell r="C1046" t="str">
            <v>UF1D23BL-CP311E</v>
          </cell>
          <cell r="D1046">
            <v>1</v>
          </cell>
          <cell r="E1046" t="str">
            <v>AB PP UB WATTA-MF1 NS50L-MF +R</v>
          </cell>
        </row>
        <row r="1047">
          <cell r="B1047" t="str">
            <v>WMNS50-MF-P</v>
          </cell>
          <cell r="C1047" t="str">
            <v>UF1D23BR-CP311E</v>
          </cell>
          <cell r="D1047">
            <v>1</v>
          </cell>
          <cell r="E1047" t="str">
            <v>AB PP UB WATTA-MF1 NS50-MF +L</v>
          </cell>
        </row>
        <row r="1048">
          <cell r="B1048" t="str">
            <v>WMNS50ZL-MF-P</v>
          </cell>
          <cell r="C1048" t="str">
            <v>UF1D23CL-CP311E</v>
          </cell>
          <cell r="D1048">
            <v>1</v>
          </cell>
          <cell r="E1048" t="str">
            <v>AB PP UB WATTA-MF1 NS50ZL-MF +R</v>
          </cell>
        </row>
        <row r="1049">
          <cell r="B1049" t="str">
            <v>WMNS50Z-MF-P</v>
          </cell>
          <cell r="C1049" t="str">
            <v>UF1D23CR-CP311E</v>
          </cell>
          <cell r="D1049">
            <v>1</v>
          </cell>
          <cell r="E1049" t="str">
            <v>AB PP UB WATTA-MF1 NS50Z-MF +L</v>
          </cell>
        </row>
        <row r="1050">
          <cell r="B1050" t="str">
            <v>WMNS60L-MF-P</v>
          </cell>
          <cell r="C1050" t="str">
            <v>UF1B24BB-CP311E</v>
          </cell>
          <cell r="D1050">
            <v>1</v>
          </cell>
          <cell r="E1050" t="str">
            <v>AB PP UB WATTA-MF1 NS60L-MF +R</v>
          </cell>
        </row>
        <row r="1051">
          <cell r="B1051" t="str">
            <v>WMNS60LS-MF-P</v>
          </cell>
          <cell r="C1051" t="str">
            <v>UF1B24BL-CP311E</v>
          </cell>
          <cell r="D1051">
            <v>1</v>
          </cell>
          <cell r="E1051" t="str">
            <v>AB PP UB WATTA-MF1 NS60LS-MF +R</v>
          </cell>
        </row>
        <row r="1052">
          <cell r="B1052" t="str">
            <v>WMNS60-MF-P</v>
          </cell>
          <cell r="C1052" t="str">
            <v>UF1B24BA-CP311E</v>
          </cell>
          <cell r="D1052">
            <v>1</v>
          </cell>
          <cell r="E1052" t="str">
            <v>AB PP UB WATTA-MF1 NS60-MF +L</v>
          </cell>
        </row>
        <row r="1053">
          <cell r="B1053" t="str">
            <v>WMNS60S-MF-P</v>
          </cell>
          <cell r="C1053" t="str">
            <v>UF1B24BR-CP311E</v>
          </cell>
          <cell r="D1053">
            <v>1</v>
          </cell>
          <cell r="E1053" t="str">
            <v>AB PP UB WATTA-MF1 NS60S-MF +L</v>
          </cell>
        </row>
        <row r="1054">
          <cell r="B1054" t="str">
            <v>WMNS60ZL-MF-P</v>
          </cell>
          <cell r="C1054" t="str">
            <v>UF1B24DB-CP311E</v>
          </cell>
          <cell r="D1054">
            <v>1</v>
          </cell>
          <cell r="E1054" t="str">
            <v>AB PP UB WATTA-MF1 NS60ZL-MF +R</v>
          </cell>
        </row>
        <row r="1055">
          <cell r="B1055" t="str">
            <v>WMNS60Z-MF-P</v>
          </cell>
          <cell r="C1055" t="str">
            <v>UF1B24DA-CP311E</v>
          </cell>
          <cell r="D1055">
            <v>1</v>
          </cell>
          <cell r="E1055" t="str">
            <v>AB PP UB WATTA-MF1 NS60Z-MF +L</v>
          </cell>
        </row>
        <row r="1056">
          <cell r="B1056" t="str">
            <v>WMNS70L-MF-P</v>
          </cell>
          <cell r="C1056" t="str">
            <v>UF1G24DL-CP311E</v>
          </cell>
          <cell r="D1056">
            <v>1</v>
          </cell>
          <cell r="E1056" t="str">
            <v>AB PP UB WATTA-MF1 NS70L-MF +R</v>
          </cell>
        </row>
        <row r="1057">
          <cell r="B1057" t="str">
            <v>WMNS70-MF-P</v>
          </cell>
          <cell r="C1057" t="str">
            <v>UF1G24DR-CP311E</v>
          </cell>
          <cell r="D1057">
            <v>1</v>
          </cell>
          <cell r="E1057" t="str">
            <v>AB PP UB WATTA-MF1 NS70-MF +L</v>
          </cell>
        </row>
        <row r="1058">
          <cell r="B1058" t="str">
            <v>WMNX110L-MF-P</v>
          </cell>
          <cell r="C1058" t="str">
            <v>UF1G24EL-CP311E</v>
          </cell>
          <cell r="D1058">
            <v>1</v>
          </cell>
          <cell r="E1058" t="str">
            <v>AB PP UB WATTA-MF1 NX110L-MF +R</v>
          </cell>
        </row>
        <row r="1059">
          <cell r="B1059" t="str">
            <v>WMNX110-MF-P</v>
          </cell>
          <cell r="C1059" t="str">
            <v>UF1G24ER-CP311E</v>
          </cell>
          <cell r="D1059">
            <v>1</v>
          </cell>
          <cell r="E1059" t="str">
            <v>AB PP UB WATTA-MF1 NX110-MF +L</v>
          </cell>
        </row>
        <row r="1060">
          <cell r="B1060" t="str">
            <v>WMNX120L-MF-P</v>
          </cell>
          <cell r="C1060" t="str">
            <v>UF1G27GL-CP311E</v>
          </cell>
          <cell r="D1060">
            <v>1</v>
          </cell>
          <cell r="E1060" t="str">
            <v>AB PP UB WATTA-MF1 NX120L-MF +R</v>
          </cell>
        </row>
        <row r="1061">
          <cell r="B1061" t="str">
            <v>WMNX120-MF-P</v>
          </cell>
          <cell r="C1061" t="str">
            <v>UF1G27GR-CP311E</v>
          </cell>
          <cell r="D1061">
            <v>1</v>
          </cell>
          <cell r="E1061" t="str">
            <v>AB PP UB WATTA-MF1 NX120-MF +L</v>
          </cell>
        </row>
        <row r="1062">
          <cell r="B1062" t="str">
            <v>XM105D31R-MF-P</v>
          </cell>
          <cell r="C1062" t="str">
            <v>WMGG27HR-CP312E</v>
          </cell>
          <cell r="D1062">
            <v>1</v>
          </cell>
          <cell r="E1062" t="str">
            <v>AB PP WC HK-MGOLD SUNNY 105D31R MF AU53</v>
          </cell>
        </row>
        <row r="1063">
          <cell r="B1063" t="str">
            <v>XM4DLT-8</v>
          </cell>
          <cell r="C1063" t="str">
            <v>WUB4DT8L-CPN02E</v>
          </cell>
          <cell r="D1063">
            <v>1</v>
          </cell>
          <cell r="E1063" t="str">
            <v>AB PP WC RBI/DS 4DLT +L 800CCA 225 RC</v>
          </cell>
        </row>
        <row r="1064">
          <cell r="B1064" t="str">
            <v>XM4DP-1000</v>
          </cell>
          <cell r="C1064" t="str">
            <v>WUB4DPZI-SPN02E</v>
          </cell>
          <cell r="D1064">
            <v>1</v>
          </cell>
          <cell r="E1064" t="str">
            <v>AB PP WC RBI-MGOLD 4DP-1000</v>
          </cell>
        </row>
        <row r="1065">
          <cell r="B1065" t="str">
            <v>XM4DP-800</v>
          </cell>
          <cell r="C1065" t="str">
            <v>WUB4DP8L-SPN02E</v>
          </cell>
          <cell r="D1065">
            <v>1</v>
          </cell>
          <cell r="E1065" t="str">
            <v>AB PP WC RBI-MGOLD 4DP-800</v>
          </cell>
        </row>
        <row r="1066">
          <cell r="B1066" t="str">
            <v>XM65D23L-MF-P</v>
          </cell>
          <cell r="C1066" t="str">
            <v>WMGD23CL-CP312E</v>
          </cell>
          <cell r="D1066">
            <v>1</v>
          </cell>
          <cell r="E1066" t="str">
            <v>AB PP WC HK-MGOLD SUNNY 65D23L-MF +R</v>
          </cell>
        </row>
        <row r="1067">
          <cell r="B1067" t="str">
            <v>XM65D26L-MF-P</v>
          </cell>
          <cell r="C1067" t="str">
            <v>WMGG24CL-CP312E</v>
          </cell>
          <cell r="D1067">
            <v>1</v>
          </cell>
          <cell r="E1067" t="str">
            <v>AB PP WC HK-MGOLD SUNNY 65D26L-MF +R</v>
          </cell>
        </row>
        <row r="1068">
          <cell r="B1068" t="str">
            <v>XM65D26R-MF-P</v>
          </cell>
          <cell r="C1068" t="str">
            <v>WMGG24CR-CP312E</v>
          </cell>
          <cell r="D1068">
            <v>1</v>
          </cell>
          <cell r="E1068" t="str">
            <v>AB PP WC HK-MGOLD SUNNY 65D26R-MF +L</v>
          </cell>
        </row>
        <row r="1069">
          <cell r="B1069" t="str">
            <v>XM8DMF-1100(TSH)</v>
          </cell>
          <cell r="C1069" t="str">
            <v>WUBH52YI-TS402E</v>
          </cell>
          <cell r="D1069">
            <v>1</v>
          </cell>
          <cell r="E1069" t="str">
            <v>AB PP WC RBI 8D-1100 SLD HEYE +L AUTO BK</v>
          </cell>
        </row>
        <row r="1070">
          <cell r="B1070" t="str">
            <v>XM8DMF-1300(TSH)</v>
          </cell>
          <cell r="C1070" t="str">
            <v>WUBH52WI-TS302E</v>
          </cell>
          <cell r="D1070">
            <v>1</v>
          </cell>
          <cell r="E1070" t="str">
            <v>AB PP WC RBI 8D-1300 SLD HEYE +L AUTO BK</v>
          </cell>
        </row>
        <row r="1071">
          <cell r="B1071" t="str">
            <v>XM8DP-1000</v>
          </cell>
          <cell r="C1071" t="str">
            <v>WUBH52ZI-CP302E</v>
          </cell>
          <cell r="D1071">
            <v>1</v>
          </cell>
          <cell r="E1071" t="str">
            <v>AB PP WC RBI-MGOLD 8DP-1000</v>
          </cell>
        </row>
        <row r="1072">
          <cell r="B1072" t="str">
            <v>XM8DP-1000(ST)</v>
          </cell>
          <cell r="C1072" t="str">
            <v>WUBH52ZS-SPN02E</v>
          </cell>
          <cell r="D1072">
            <v>1</v>
          </cell>
          <cell r="E1072" t="str">
            <v>AB PP WC EX RBI 8D-1000 SIDE TERMINAL</v>
          </cell>
        </row>
        <row r="1073">
          <cell r="B1073" t="str">
            <v>XM8DP-1200</v>
          </cell>
          <cell r="C1073" t="str">
            <v>WUBH52XI-CP302E</v>
          </cell>
          <cell r="D1073">
            <v>1</v>
          </cell>
          <cell r="E1073" t="str">
            <v>AB PP WC RBI-MGOLD 8DP-1200</v>
          </cell>
        </row>
        <row r="1074">
          <cell r="B1074" t="str">
            <v>XM8DP-1200(ST)</v>
          </cell>
          <cell r="C1074" t="str">
            <v>WUBH52XS-SPN02E</v>
          </cell>
          <cell r="D1074">
            <v>1</v>
          </cell>
          <cell r="E1074" t="str">
            <v>AB PP WC EX RBI 8D-1200 SIDE TERMINAL</v>
          </cell>
        </row>
        <row r="1075">
          <cell r="B1075" t="str">
            <v>XMB20BL-MF-P</v>
          </cell>
          <cell r="C1075" t="str">
            <v>WMGB20CC-TS112E</v>
          </cell>
          <cell r="D1075">
            <v>1</v>
          </cell>
          <cell r="E1075" t="str">
            <v>AB PP WC HK-MGOLD 36B20L-MF +R SML</v>
          </cell>
        </row>
        <row r="1076">
          <cell r="B1076" t="str">
            <v>XMB24CL-MF-P</v>
          </cell>
          <cell r="C1076" t="str">
            <v>WMGB24DB-CP312E</v>
          </cell>
          <cell r="D1076">
            <v>1</v>
          </cell>
          <cell r="E1076" t="str">
            <v>AB PP WC HK-MGOLD 55B24L-MF +R SML</v>
          </cell>
        </row>
        <row r="1077">
          <cell r="B1077" t="str">
            <v>XMB24CLS-MF-P</v>
          </cell>
          <cell r="C1077" t="str">
            <v>WMGB24DL-CP312E</v>
          </cell>
          <cell r="D1077">
            <v>1</v>
          </cell>
          <cell r="E1077" t="str">
            <v>AB PP WC HK-MGOLD 55B24L-MF +R STD</v>
          </cell>
        </row>
        <row r="1078">
          <cell r="B1078" t="str">
            <v>XMB24CR-MF-P</v>
          </cell>
          <cell r="C1078" t="str">
            <v>WMGB24DA-CP312E</v>
          </cell>
          <cell r="D1078">
            <v>1</v>
          </cell>
          <cell r="E1078" t="str">
            <v>AB PP WC HK-MGOLD 55B24R-MF +L SML</v>
          </cell>
        </row>
        <row r="1079">
          <cell r="B1079" t="str">
            <v>XMB24CRS-MF-P</v>
          </cell>
          <cell r="C1079" t="str">
            <v>WMGB24DR-CP312E</v>
          </cell>
          <cell r="D1079">
            <v>1</v>
          </cell>
          <cell r="E1079" t="str">
            <v>AB PP WC HK-MGOLD 55B24R-MF +L STD</v>
          </cell>
        </row>
        <row r="1080">
          <cell r="B1080" t="str">
            <v>XMD23BL-MF-P</v>
          </cell>
          <cell r="C1080" t="str">
            <v>WMGD23BL-CP312E</v>
          </cell>
          <cell r="D1080">
            <v>1</v>
          </cell>
          <cell r="E1080" t="str">
            <v>AB PP WC HK-MGOLD 55D23L-MF +R</v>
          </cell>
        </row>
        <row r="1081">
          <cell r="B1081" t="str">
            <v>XMD23BR-MF-P</v>
          </cell>
          <cell r="C1081" t="str">
            <v>WMGD23BR-CP312E</v>
          </cell>
          <cell r="D1081">
            <v>1</v>
          </cell>
          <cell r="E1081" t="str">
            <v>AB PP WC HK-MGOLD 55D23R-MF +L</v>
          </cell>
        </row>
        <row r="1082">
          <cell r="B1082" t="str">
            <v>XMD23CL-MF-P</v>
          </cell>
          <cell r="C1082" t="str">
            <v>WMGD23DL-CP312E</v>
          </cell>
          <cell r="D1082">
            <v>1</v>
          </cell>
          <cell r="E1082" t="str">
            <v>AB PP WC HK-MGOLD 75D23L-MF +R</v>
          </cell>
        </row>
        <row r="1083">
          <cell r="B1083" t="str">
            <v>XMD26BL-MF-P</v>
          </cell>
          <cell r="C1083" t="str">
            <v>WMGG24DL-CP312E</v>
          </cell>
          <cell r="D1083">
            <v>1</v>
          </cell>
          <cell r="E1083" t="str">
            <v>AB PP WC HK-MGOLD 75D26L-MF +R</v>
          </cell>
        </row>
        <row r="1084">
          <cell r="B1084" t="str">
            <v>XMD26BR-MF-P</v>
          </cell>
          <cell r="C1084" t="str">
            <v>WMGG24DR-CP312E</v>
          </cell>
          <cell r="D1084">
            <v>1</v>
          </cell>
          <cell r="E1084" t="str">
            <v>AB PP WC HK-MGOLD 75D26R-MF +L</v>
          </cell>
        </row>
        <row r="1085">
          <cell r="B1085" t="str">
            <v>XMD26CL-MF-P</v>
          </cell>
          <cell r="C1085" t="str">
            <v>WMGG24EL-CP312E</v>
          </cell>
          <cell r="D1085">
            <v>1</v>
          </cell>
          <cell r="E1085" t="str">
            <v>AB PP WC HK-MGOLD 80D26L-MF +R</v>
          </cell>
        </row>
        <row r="1086">
          <cell r="B1086" t="str">
            <v>XMD26CR-MF-P</v>
          </cell>
          <cell r="C1086" t="str">
            <v>WMGG24ER-CP312E</v>
          </cell>
          <cell r="D1086">
            <v>1</v>
          </cell>
          <cell r="E1086" t="str">
            <v>AB PP WC HK-MGOLD 80D26R-MF +L</v>
          </cell>
        </row>
        <row r="1087">
          <cell r="B1087" t="str">
            <v>XMD31BR-MF-P</v>
          </cell>
          <cell r="C1087" t="str">
            <v>WMGG27ER-CP312E</v>
          </cell>
          <cell r="D1087">
            <v>1</v>
          </cell>
          <cell r="E1087" t="str">
            <v>AB PP WC HK-MGOLD 75D31R-MF +L</v>
          </cell>
        </row>
        <row r="1088">
          <cell r="B1088" t="str">
            <v>XMD31CL-MF-P</v>
          </cell>
          <cell r="C1088" t="str">
            <v>WMGG27GL-CP312E</v>
          </cell>
          <cell r="D1088">
            <v>1</v>
          </cell>
          <cell r="E1088" t="str">
            <v>AB PP WC HK-MGOLD 95D31L-MF +R</v>
          </cell>
        </row>
        <row r="1089">
          <cell r="B1089" t="str">
            <v>XMD31CR-MF-P</v>
          </cell>
          <cell r="C1089" t="str">
            <v>WMGG27GR-CP312E</v>
          </cell>
          <cell r="D1089">
            <v>1</v>
          </cell>
          <cell r="E1089" t="str">
            <v>AB PP WC HK-MGOLD 95D31R-MF +L</v>
          </cell>
        </row>
        <row r="1090">
          <cell r="B1090" t="str">
            <v>XMG22NF-4</v>
          </cell>
          <cell r="C1090" t="str">
            <v>WUBC244I-CP302E</v>
          </cell>
          <cell r="D1090">
            <v>1</v>
          </cell>
          <cell r="E1090" t="str">
            <v>AB PP WC RBI-MGOLD G22NF STD +R</v>
          </cell>
        </row>
        <row r="1091">
          <cell r="B1091" t="str">
            <v>XMG22NFC-4</v>
          </cell>
          <cell r="C1091" t="str">
            <v>WUBC244E-CP302E</v>
          </cell>
          <cell r="D1091">
            <v>1</v>
          </cell>
          <cell r="E1091" t="str">
            <v>AB PP WC RBI-MGOLD G22NFC STD +L</v>
          </cell>
        </row>
        <row r="1092">
          <cell r="B1092" t="str">
            <v>XMG24-4MF</v>
          </cell>
          <cell r="C1092" t="str">
            <v>WUBG244E-CP302E</v>
          </cell>
          <cell r="D1092">
            <v>1</v>
          </cell>
          <cell r="E1092" t="str">
            <v>AB PP WC RBI-MGOLD G24-400MF AUTO +L</v>
          </cell>
        </row>
        <row r="1093">
          <cell r="B1093" t="str">
            <v>XMG24-4MF(TSH)</v>
          </cell>
          <cell r="C1093" t="str">
            <v>WUBG244E-TS302E</v>
          </cell>
          <cell r="D1093">
            <v>1</v>
          </cell>
          <cell r="E1093" t="str">
            <v>AB PP WC RBI/DS G24-4MF TLY-SLD H-E +L</v>
          </cell>
        </row>
        <row r="1094">
          <cell r="B1094" t="str">
            <v>XMG24-4MF(TSP)</v>
          </cell>
          <cell r="C1094" t="str">
            <v>WUBG244E-TSP02E</v>
          </cell>
          <cell r="D1094">
            <v>1</v>
          </cell>
          <cell r="E1094" t="str">
            <v>AB PP WC RBI/DS G24-4MF TLY-SLD PLUG +L</v>
          </cell>
        </row>
        <row r="1095">
          <cell r="B1095" t="str">
            <v>XMG24-4SM</v>
          </cell>
          <cell r="C1095" t="str">
            <v>WUBG244F-CP302E</v>
          </cell>
          <cell r="D1095">
            <v>1</v>
          </cell>
          <cell r="E1095" t="str">
            <v>AB PP WC RBI-MGOLD G24-400 SM STUD +L</v>
          </cell>
        </row>
        <row r="1096">
          <cell r="B1096" t="str">
            <v>XMG24-4SM(TSH)</v>
          </cell>
          <cell r="C1096" t="str">
            <v>WUBG244F-TS302E</v>
          </cell>
          <cell r="D1096">
            <v>1</v>
          </cell>
          <cell r="E1096" t="str">
            <v>AB PP WC RBI-DS G4-4SM TLY-SLD H.E. +L</v>
          </cell>
        </row>
        <row r="1097">
          <cell r="B1097" t="str">
            <v>XMG24-4SM(TSP)</v>
          </cell>
          <cell r="C1097" t="str">
            <v>WUBG244F-TSP02E</v>
          </cell>
          <cell r="D1097">
            <v>1</v>
          </cell>
          <cell r="E1097" t="str">
            <v>AB PP WC RBI-DS G24-4SM TLY-SLD PLUG +L</v>
          </cell>
        </row>
        <row r="1098">
          <cell r="B1098" t="str">
            <v>XMG24-4STD</v>
          </cell>
          <cell r="C1098" t="str">
            <v>WUBG244E-CPP02E</v>
          </cell>
          <cell r="D1098">
            <v>1</v>
          </cell>
          <cell r="E1098" t="str">
            <v>AB PP WC RBI-MGOLD G24-400 AUTO +L STD</v>
          </cell>
        </row>
        <row r="1099">
          <cell r="B1099" t="str">
            <v>XMG24-5MF</v>
          </cell>
          <cell r="C1099" t="str">
            <v>WUBG245E-CP302E</v>
          </cell>
          <cell r="D1099">
            <v>1</v>
          </cell>
          <cell r="E1099" t="str">
            <v>AB PP WC RBI-MGOLD G24-520MF AUTO +L</v>
          </cell>
        </row>
        <row r="1100">
          <cell r="B1100" t="str">
            <v>XMG24-5MF(TSH)</v>
          </cell>
          <cell r="C1100" t="str">
            <v>WUBG245E-TS302E</v>
          </cell>
          <cell r="D1100">
            <v>1</v>
          </cell>
          <cell r="E1100" t="str">
            <v>AB PP WC RBI/DS G24-5MF TLY-SLD H-E +L</v>
          </cell>
        </row>
        <row r="1101">
          <cell r="B1101" t="str">
            <v>XMG24-5MF(TSP)</v>
          </cell>
          <cell r="C1101" t="str">
            <v>WUBG245E-TSP02E</v>
          </cell>
          <cell r="D1101">
            <v>1</v>
          </cell>
          <cell r="E1101" t="str">
            <v>AB PP WC RBI/DS G24-5MF TLY-SLD PLUG +L</v>
          </cell>
        </row>
        <row r="1102">
          <cell r="B1102" t="str">
            <v>XMG24-5SM</v>
          </cell>
          <cell r="C1102" t="str">
            <v>WUBG245F-CP302E</v>
          </cell>
          <cell r="D1102">
            <v>1</v>
          </cell>
          <cell r="E1102" t="str">
            <v>AB PP WC RBI-MGOLD G24-520 SM STUD +L</v>
          </cell>
        </row>
        <row r="1103">
          <cell r="B1103" t="str">
            <v>XMG24-5SM(TSH)</v>
          </cell>
          <cell r="C1103" t="str">
            <v>WUBG245F-TS302E</v>
          </cell>
          <cell r="D1103">
            <v>1</v>
          </cell>
          <cell r="E1103" t="str">
            <v>AB PP WC RBI-DS G24-5SM TLY-SLD H.E. +L</v>
          </cell>
        </row>
        <row r="1104">
          <cell r="B1104" t="str">
            <v>XMG24-5STD</v>
          </cell>
          <cell r="C1104" t="str">
            <v>WUBG245E-CPP02E</v>
          </cell>
          <cell r="D1104">
            <v>1</v>
          </cell>
          <cell r="E1104" t="str">
            <v>AB PP WC RBI-MGOLD G24-520 AUTO +L</v>
          </cell>
        </row>
        <row r="1105">
          <cell r="B1105" t="str">
            <v>XMG24-60MCRD</v>
          </cell>
          <cell r="C1105" t="str">
            <v>WUBG24NM-CPN02E</v>
          </cell>
          <cell r="D1105">
            <v>1</v>
          </cell>
          <cell r="E1105" t="str">
            <v>AB PP WC RBI-MGOLD G24-10DC 2-POST +L</v>
          </cell>
        </row>
        <row r="1106">
          <cell r="B1106" t="str">
            <v>XMG24-6DPM</v>
          </cell>
          <cell r="C1106" t="str">
            <v>WUBG246M-CP302E</v>
          </cell>
          <cell r="D1106">
            <v>1</v>
          </cell>
          <cell r="E1106" t="str">
            <v>AB PP WC RBI G24-6 DPM ACCESIBLE HEYE +L</v>
          </cell>
        </row>
        <row r="1107">
          <cell r="B1107" t="str">
            <v>XMG24-6DPM(TSH)</v>
          </cell>
          <cell r="C1107" t="str">
            <v>WUBG246M-TS302E</v>
          </cell>
          <cell r="D1107">
            <v>1</v>
          </cell>
          <cell r="E1107" t="str">
            <v>AB PP WC RBI G24-6 DPM TLY-SLD HEYE +L</v>
          </cell>
        </row>
        <row r="1108">
          <cell r="B1108" t="str">
            <v>XMG24-6DPM(TSP)</v>
          </cell>
          <cell r="C1108" t="str">
            <v>WUBG246M-TSP02E</v>
          </cell>
          <cell r="D1108">
            <v>1</v>
          </cell>
          <cell r="E1108" t="str">
            <v>AB PP WC RBI G24-6 DPM TLY-SLD PLUG +L</v>
          </cell>
        </row>
        <row r="1109">
          <cell r="B1109" t="str">
            <v>XMG24-6MF</v>
          </cell>
          <cell r="C1109" t="str">
            <v>WUBG246E-CP302E</v>
          </cell>
          <cell r="D1109">
            <v>1</v>
          </cell>
          <cell r="E1109" t="str">
            <v>AB PP WC RBI-MGOLD G24-620MF AUTO +L</v>
          </cell>
        </row>
        <row r="1110">
          <cell r="B1110" t="str">
            <v>XMG24-6MF(TSH)</v>
          </cell>
          <cell r="C1110" t="str">
            <v>WUBG246E-TS302E</v>
          </cell>
          <cell r="D1110">
            <v>1</v>
          </cell>
          <cell r="E1110" t="str">
            <v>AB PP WC RBI/DS G24-6MF TLY-SLD H-E +L</v>
          </cell>
        </row>
        <row r="1111">
          <cell r="B1111" t="str">
            <v>XMG24-6MF(TSP)</v>
          </cell>
          <cell r="C1111" t="str">
            <v>WUBG246E-TSP02E</v>
          </cell>
          <cell r="D1111">
            <v>1</v>
          </cell>
          <cell r="E1111" t="str">
            <v>AB PP WC RBI/DS G24-6MF TLY-SLD PLUG +L</v>
          </cell>
        </row>
        <row r="1112">
          <cell r="B1112" t="str">
            <v>XMG24-6STD</v>
          </cell>
          <cell r="C1112" t="str">
            <v>WUBG246E-CPP02E</v>
          </cell>
          <cell r="D1112">
            <v>1</v>
          </cell>
          <cell r="E1112" t="str">
            <v>AB PP WC RBI-MGOLD G24-620 AUTO +L</v>
          </cell>
        </row>
        <row r="1113">
          <cell r="B1113" t="str">
            <v>XMG24-75MCRD</v>
          </cell>
          <cell r="C1113" t="str">
            <v>WUBG24OM-CPN02E</v>
          </cell>
          <cell r="D1113">
            <v>1</v>
          </cell>
          <cell r="E1113" t="str">
            <v>AB PP WC RBI-MGOLD G24-11DC 2-POST +L</v>
          </cell>
        </row>
        <row r="1114">
          <cell r="B1114" t="str">
            <v>XMG24-7DPM</v>
          </cell>
          <cell r="C1114" t="str">
            <v>WUBG247M-CP302E</v>
          </cell>
          <cell r="D1114">
            <v>1</v>
          </cell>
          <cell r="E1114" t="str">
            <v>AB PP WC RBI G24-7 DUAL PRPOSE MARINE +L</v>
          </cell>
        </row>
        <row r="1115">
          <cell r="B1115" t="str">
            <v>XMG24-7DPM(TSH)</v>
          </cell>
          <cell r="C1115" t="str">
            <v>WUBG247M-TS302E</v>
          </cell>
          <cell r="D1115">
            <v>1</v>
          </cell>
          <cell r="E1115" t="str">
            <v>AB PP WC RBI G24-7 DPM TTLY SEALED HE +L</v>
          </cell>
        </row>
        <row r="1116">
          <cell r="B1116" t="str">
            <v>XMG24-7DPM(TSP)</v>
          </cell>
          <cell r="C1116" t="str">
            <v>WUBG247M-TSP02E</v>
          </cell>
          <cell r="D1116">
            <v>1</v>
          </cell>
          <cell r="E1116" t="str">
            <v>AB PP WC RBI G24-7 DPM TTLY SEALED EP +L</v>
          </cell>
        </row>
        <row r="1117">
          <cell r="B1117" t="str">
            <v>XMG24-7MF</v>
          </cell>
          <cell r="C1117" t="str">
            <v>WUBG247E-CP302E</v>
          </cell>
          <cell r="D1117">
            <v>1</v>
          </cell>
          <cell r="E1117" t="str">
            <v>AB PP WC RBI-MGOLD G24-730MF AUTO +L</v>
          </cell>
        </row>
        <row r="1118">
          <cell r="B1118" t="str">
            <v>XMG24-7MF(TSH)</v>
          </cell>
          <cell r="C1118" t="str">
            <v>WUBG247E-TS302E</v>
          </cell>
          <cell r="D1118">
            <v>1</v>
          </cell>
          <cell r="E1118" t="str">
            <v>AB PP WC RBI/DS G24-7MF TLY-SLD H-E +L</v>
          </cell>
        </row>
        <row r="1119">
          <cell r="B1119" t="str">
            <v>XMG24-7MF(TSP)</v>
          </cell>
          <cell r="C1119" t="str">
            <v>WUBG247E-TSP02E</v>
          </cell>
          <cell r="D1119">
            <v>1</v>
          </cell>
          <cell r="E1119" t="str">
            <v>AB PP WC RBI/DS G24-7MF TLY-SLD PLUG +L</v>
          </cell>
        </row>
        <row r="1120">
          <cell r="B1120" t="str">
            <v>XMG24-7STD</v>
          </cell>
          <cell r="C1120" t="str">
            <v>WUBG247E-CPP02E</v>
          </cell>
          <cell r="D1120">
            <v>1</v>
          </cell>
          <cell r="E1120" t="str">
            <v>AB PP WC RBI-MGOLD G24-730 AUTO +L</v>
          </cell>
        </row>
        <row r="1121">
          <cell r="B1121" t="str">
            <v>XMG24-90MCRD</v>
          </cell>
          <cell r="C1121" t="str">
            <v>WUBG24PM-CPN02E</v>
          </cell>
          <cell r="D1121">
            <v>1</v>
          </cell>
          <cell r="E1121" t="str">
            <v>AB PP WC RBI-MGOLD G24-13DC 2-POST +L</v>
          </cell>
        </row>
        <row r="1122">
          <cell r="B1122" t="str">
            <v>XMG24F-4MF</v>
          </cell>
          <cell r="C1122" t="str">
            <v>WUBG244I-CP302E</v>
          </cell>
          <cell r="D1122">
            <v>1</v>
          </cell>
          <cell r="E1122" t="str">
            <v>AB PP WC RBI-MGOLD G24F-400MF AUTO +R</v>
          </cell>
        </row>
        <row r="1123">
          <cell r="B1123" t="str">
            <v>XMG24F-4MF(TSH)</v>
          </cell>
          <cell r="C1123" t="str">
            <v>WUBG244I-TS302E</v>
          </cell>
          <cell r="D1123">
            <v>1</v>
          </cell>
          <cell r="E1123" t="str">
            <v>AB PP WC RBI/DS G24F-4MF TLY-SLD HE +R</v>
          </cell>
        </row>
        <row r="1124">
          <cell r="B1124" t="str">
            <v>XMG24F-4MF(TSP)</v>
          </cell>
          <cell r="C1124" t="str">
            <v>WUBG244I-TSP02E</v>
          </cell>
          <cell r="D1124">
            <v>1</v>
          </cell>
          <cell r="E1124" t="str">
            <v>AB PP WC RBI/DS G24F-4MF TLY-SLD PLUG +R</v>
          </cell>
        </row>
        <row r="1125">
          <cell r="B1125" t="str">
            <v>XMG24F-4STD</v>
          </cell>
          <cell r="C1125" t="str">
            <v>WUBG244I-CPP02E</v>
          </cell>
          <cell r="D1125">
            <v>1</v>
          </cell>
          <cell r="E1125" t="str">
            <v>AB PP WC RBI-MGOLD G24F-400 AUTO +R STD</v>
          </cell>
        </row>
        <row r="1126">
          <cell r="B1126" t="str">
            <v>XMG24F-5MF</v>
          </cell>
          <cell r="C1126" t="str">
            <v>WUBG245I-CP302E</v>
          </cell>
          <cell r="D1126">
            <v>1</v>
          </cell>
          <cell r="E1126" t="str">
            <v>AB PP WC RBI-MGOLD G24F-520MF AUTO +R</v>
          </cell>
        </row>
        <row r="1127">
          <cell r="B1127" t="str">
            <v>XMG24F-5MF(TSH)</v>
          </cell>
          <cell r="C1127" t="str">
            <v>WUBG245I-TS302E</v>
          </cell>
          <cell r="D1127">
            <v>1</v>
          </cell>
          <cell r="E1127" t="str">
            <v>AB PP WC RBI/DS G24F-5MF TLY-SLD H-E +R</v>
          </cell>
        </row>
        <row r="1128">
          <cell r="B1128" t="str">
            <v>XMG24F-5MF(TSP)</v>
          </cell>
          <cell r="C1128" t="str">
            <v>WUBG245I-TSP02E</v>
          </cell>
          <cell r="D1128">
            <v>1</v>
          </cell>
          <cell r="E1128" t="str">
            <v>AB PP WC RBI/DS G24F-5MF TLY-SLD PLUG +R</v>
          </cell>
        </row>
        <row r="1129">
          <cell r="B1129" t="str">
            <v>XMG24F-5STD</v>
          </cell>
          <cell r="C1129" t="str">
            <v>WUBG245I-CPP02E</v>
          </cell>
          <cell r="D1129">
            <v>1</v>
          </cell>
          <cell r="E1129" t="str">
            <v>AB PP WC RBI-MGOLD G24F-520 AUTO +R</v>
          </cell>
        </row>
        <row r="1130">
          <cell r="B1130" t="str">
            <v>XMG24F-6MF</v>
          </cell>
          <cell r="C1130" t="str">
            <v>WUBG246I-CP302E</v>
          </cell>
          <cell r="D1130">
            <v>1</v>
          </cell>
          <cell r="E1130" t="str">
            <v>AB PP WC RBI-MGOLD G24F-620MF AUTO +R</v>
          </cell>
        </row>
        <row r="1131">
          <cell r="B1131" t="str">
            <v>XMG24F-6MF(TSH)</v>
          </cell>
          <cell r="C1131" t="str">
            <v>WUBG246I-TS302E</v>
          </cell>
          <cell r="D1131">
            <v>1</v>
          </cell>
          <cell r="E1131" t="str">
            <v>AB PP WC RBI/DS G24F-6MF TLY-SLD H-E +R</v>
          </cell>
        </row>
        <row r="1132">
          <cell r="B1132" t="str">
            <v>XMG24F-6MF(TSP)</v>
          </cell>
          <cell r="C1132" t="str">
            <v>WUBG246I-TSP02E</v>
          </cell>
          <cell r="D1132">
            <v>1</v>
          </cell>
          <cell r="E1132" t="str">
            <v>AB PP WC RBI/DS G24F-6MF TLY-SLD PLUG +R</v>
          </cell>
        </row>
        <row r="1133">
          <cell r="B1133" t="str">
            <v>XMG24F-6STD</v>
          </cell>
          <cell r="C1133" t="str">
            <v>WUBG246I-CPP02E</v>
          </cell>
          <cell r="D1133">
            <v>1</v>
          </cell>
          <cell r="E1133" t="str">
            <v>AB PP WC RBI-MGOLD G24F-620 AUTO +R</v>
          </cell>
        </row>
        <row r="1134">
          <cell r="B1134" t="str">
            <v>XMG24F-7MF</v>
          </cell>
          <cell r="C1134" t="str">
            <v>WUBG247I-CP302E</v>
          </cell>
          <cell r="D1134">
            <v>1</v>
          </cell>
          <cell r="E1134" t="str">
            <v>AB PP WC RBI-MGOLD G24F-730MF AUTO +R</v>
          </cell>
        </row>
        <row r="1135">
          <cell r="B1135" t="str">
            <v>XMG24F-7MF(TSH)</v>
          </cell>
          <cell r="C1135" t="str">
            <v>WUBG247I-TS302E</v>
          </cell>
          <cell r="D1135">
            <v>1</v>
          </cell>
          <cell r="E1135" t="str">
            <v>AB PP WC RBI/DS G24F-7MF TLY-SLD H-E +R</v>
          </cell>
        </row>
        <row r="1136">
          <cell r="B1136" t="str">
            <v>XMG24F-7MF(TSP)</v>
          </cell>
          <cell r="C1136" t="str">
            <v>WUBG247I-TSP02E</v>
          </cell>
          <cell r="D1136">
            <v>1</v>
          </cell>
          <cell r="E1136" t="str">
            <v>AB PP WC RBI/DS G24F-7MF TLY-SLD PLUG +R</v>
          </cell>
        </row>
        <row r="1137">
          <cell r="B1137" t="str">
            <v>XMG24F-7STD</v>
          </cell>
          <cell r="C1137" t="str">
            <v>WUBG247I-CPP02E</v>
          </cell>
          <cell r="D1137">
            <v>1</v>
          </cell>
          <cell r="E1137" t="str">
            <v>AB PP WC RBI-MGOLD G24F-730 AUTO +R</v>
          </cell>
        </row>
        <row r="1138">
          <cell r="B1138" t="str">
            <v>XMG25/75-4MF</v>
          </cell>
          <cell r="C1138" t="str">
            <v>WUBD754D-CP302E</v>
          </cell>
          <cell r="D1138">
            <v>1</v>
          </cell>
          <cell r="E1138" t="str">
            <v>AB PP WC RBI G25/75 +L MF CP DT 400CCA</v>
          </cell>
        </row>
        <row r="1139">
          <cell r="B1139" t="str">
            <v>XMG25/75-4MF(TSH)</v>
          </cell>
          <cell r="C1139" t="str">
            <v>WUBD754D-TS302E</v>
          </cell>
          <cell r="D1139">
            <v>1</v>
          </cell>
          <cell r="E1139" t="str">
            <v>AB PP WC RBI G25/75 TLY-SLD HEYE 400CCA</v>
          </cell>
        </row>
        <row r="1140">
          <cell r="B1140" t="str">
            <v>XMG25/75-4MF(TSP)</v>
          </cell>
          <cell r="C1140" t="str">
            <v>WUBD754D-TSP02E</v>
          </cell>
          <cell r="D1140">
            <v>1</v>
          </cell>
          <cell r="E1140" t="str">
            <v>AB PP WC RBI G25/75 TLY-SLD PLUG 400CCA</v>
          </cell>
        </row>
        <row r="1141">
          <cell r="B1141" t="str">
            <v>XMG25/75-4STD</v>
          </cell>
          <cell r="C1141" t="str">
            <v>WUBD754D-CPP02E</v>
          </cell>
          <cell r="D1141">
            <v>1</v>
          </cell>
          <cell r="E1141" t="str">
            <v>AB PP WC RBI G25/75 STD CP DT 400CCA</v>
          </cell>
        </row>
        <row r="1142">
          <cell r="B1142" t="str">
            <v>XMG25/75-5MF</v>
          </cell>
          <cell r="C1142" t="str">
            <v>WUBD755D-CP302E</v>
          </cell>
          <cell r="D1142">
            <v>1</v>
          </cell>
          <cell r="E1142" t="str">
            <v>AB PP WC RBI-MGOLD G25/75-515MF DT +L</v>
          </cell>
        </row>
        <row r="1143">
          <cell r="B1143" t="str">
            <v>XMG25/75-5MF(TSH)</v>
          </cell>
          <cell r="C1143" t="str">
            <v>WUBD755D-TS302E</v>
          </cell>
          <cell r="D1143">
            <v>1</v>
          </cell>
          <cell r="E1143" t="str">
            <v>AB PP WC RBI/DS G25/75-5MF TLY-SLD H.E.</v>
          </cell>
        </row>
        <row r="1144">
          <cell r="B1144" t="str">
            <v>XMG25/75-5MF(TSP)</v>
          </cell>
          <cell r="C1144" t="str">
            <v>WUBD755D-TSP02E</v>
          </cell>
          <cell r="D1144">
            <v>1</v>
          </cell>
          <cell r="E1144" t="str">
            <v>AB PP WC RBI/DS G25/75-5MF TLY-SLD PLUG</v>
          </cell>
        </row>
        <row r="1145">
          <cell r="B1145" t="str">
            <v>XMG25/75-5STD</v>
          </cell>
          <cell r="C1145" t="str">
            <v>WUBD755D-CPP02E</v>
          </cell>
          <cell r="D1145">
            <v>1</v>
          </cell>
          <cell r="E1145" t="str">
            <v>AB PP WC RBI-MGOLD G25/75-515 DT +L</v>
          </cell>
        </row>
        <row r="1146">
          <cell r="B1146" t="str">
            <v>XMG25/75-6MF</v>
          </cell>
          <cell r="C1146" t="str">
            <v>WUBD756D-CP302E</v>
          </cell>
          <cell r="D1146">
            <v>1</v>
          </cell>
          <cell r="E1146" t="str">
            <v>AB PP WC RBI-MGOLD G25/75-620MF DT +L</v>
          </cell>
        </row>
        <row r="1147">
          <cell r="B1147" t="str">
            <v>XMG25/75-6MF(TSH)</v>
          </cell>
          <cell r="C1147" t="str">
            <v>WUBD756D-TS302E</v>
          </cell>
          <cell r="D1147">
            <v>1</v>
          </cell>
          <cell r="E1147" t="str">
            <v>AB PP WC RBI/DS G25/75-6MF TLY-SLD HE +L</v>
          </cell>
        </row>
        <row r="1148">
          <cell r="B1148" t="str">
            <v>XMG25/75-6MF(TSP)</v>
          </cell>
          <cell r="C1148" t="str">
            <v>WUBD756D-TSP02E</v>
          </cell>
          <cell r="D1148">
            <v>1</v>
          </cell>
          <cell r="E1148" t="str">
            <v>AB PP WC RBI/DS G25/75-6MF TLY-SLD PLUG</v>
          </cell>
        </row>
        <row r="1149">
          <cell r="B1149" t="str">
            <v>XMG25/75-6STD</v>
          </cell>
          <cell r="C1149" t="str">
            <v>WUBD756D-CPP02E</v>
          </cell>
          <cell r="D1149">
            <v>1</v>
          </cell>
          <cell r="E1149" t="str">
            <v>AB PP WC RBI-MGOLD G25/75-620 DT +L</v>
          </cell>
        </row>
        <row r="1150">
          <cell r="B1150" t="str">
            <v>XMG25-5MF</v>
          </cell>
          <cell r="C1150" t="str">
            <v>WUBG255E-CP302E</v>
          </cell>
          <cell r="D1150">
            <v>1</v>
          </cell>
          <cell r="E1150" t="str">
            <v>AB PP WC RBI G25 MF CP +L AUTO 520CCA</v>
          </cell>
        </row>
        <row r="1151">
          <cell r="B1151" t="str">
            <v>XMG25-5MF(TSH)</v>
          </cell>
          <cell r="C1151" t="str">
            <v>WUBG255E-TS302E</v>
          </cell>
          <cell r="D1151">
            <v>1</v>
          </cell>
          <cell r="E1151" t="str">
            <v>AB PP WC RBI G25 TLY-SLD HEYE +L AUTO</v>
          </cell>
        </row>
        <row r="1152">
          <cell r="B1152" t="str">
            <v>XMG25-5MF(TSP)</v>
          </cell>
          <cell r="C1152" t="str">
            <v>WUBG255E-TSP02E</v>
          </cell>
          <cell r="D1152">
            <v>1</v>
          </cell>
          <cell r="E1152" t="str">
            <v>AB PP WC RBI/DS G25-5MF TLY-SLD PLUG +L</v>
          </cell>
        </row>
        <row r="1153">
          <cell r="B1153" t="str">
            <v>XMG25-5STD</v>
          </cell>
          <cell r="C1153" t="str">
            <v>WUBG255E-CPP02E</v>
          </cell>
          <cell r="D1153">
            <v>1</v>
          </cell>
          <cell r="E1153" t="str">
            <v>AB PP WC RBI G25 CP PLUG +L AUTO 520CCA</v>
          </cell>
        </row>
        <row r="1154">
          <cell r="B1154" t="str">
            <v>XMG25-6MF</v>
          </cell>
          <cell r="C1154" t="str">
            <v>WUBG256E-CP302E</v>
          </cell>
          <cell r="D1154">
            <v>1</v>
          </cell>
          <cell r="E1154" t="str">
            <v>AB PP WC RBI G25-6MF +L CP/LP W HEYE</v>
          </cell>
        </row>
        <row r="1155">
          <cell r="B1155" t="str">
            <v>XMG25-6MF(TSH)</v>
          </cell>
          <cell r="C1155" t="str">
            <v>WUBG256E-TS302E</v>
          </cell>
          <cell r="D1155">
            <v>1</v>
          </cell>
          <cell r="E1155" t="str">
            <v>AB PP WC RBI G25-6MF +L TLY-SLD W HEYE</v>
          </cell>
        </row>
        <row r="1156">
          <cell r="B1156" t="str">
            <v>XMG25-6MF(TSP)</v>
          </cell>
          <cell r="C1156" t="str">
            <v>WUBG256E-TSP02E</v>
          </cell>
          <cell r="D1156">
            <v>1</v>
          </cell>
          <cell r="E1156" t="str">
            <v>AB PP WC RBI G25-6MF +L TLY-SLD PLUG</v>
          </cell>
        </row>
        <row r="1157">
          <cell r="B1157" t="str">
            <v>XMG25-6STD</v>
          </cell>
          <cell r="C1157" t="str">
            <v>WUBG256E-CPP02E</v>
          </cell>
          <cell r="D1157">
            <v>1</v>
          </cell>
          <cell r="E1157" t="str">
            <v>AB PP WC RBI G25-6MF +L CP/LP PLUG</v>
          </cell>
        </row>
        <row r="1158">
          <cell r="B1158" t="str">
            <v>XMG27-105MCRD</v>
          </cell>
          <cell r="C1158" t="str">
            <v>WUBG27QM-CPN02E</v>
          </cell>
          <cell r="D1158">
            <v>1</v>
          </cell>
          <cell r="E1158" t="str">
            <v>AB PP WC RBI-MGOLD G27-15DC 2-POST +L</v>
          </cell>
        </row>
        <row r="1159">
          <cell r="B1159" t="str">
            <v>XMG27-6DPM</v>
          </cell>
          <cell r="C1159" t="str">
            <v>WUBG276M-CP302E</v>
          </cell>
          <cell r="D1159">
            <v>1</v>
          </cell>
          <cell r="E1159" t="str">
            <v>AB PP WC RBI G27-6 DPM ACCESIBLE +L</v>
          </cell>
        </row>
        <row r="1160">
          <cell r="B1160" t="str">
            <v>XMG27-6DPM(TSH)</v>
          </cell>
          <cell r="C1160" t="str">
            <v>WUBG276M-TS302E</v>
          </cell>
          <cell r="D1160">
            <v>1</v>
          </cell>
          <cell r="E1160" t="str">
            <v>AB PP WC RBI G27-6 DPM TTLY-SLD HEYE +L</v>
          </cell>
        </row>
        <row r="1161">
          <cell r="B1161" t="str">
            <v>XMG27-6DPM(TSP)</v>
          </cell>
          <cell r="C1161" t="str">
            <v>WUBG276M-TSP02E</v>
          </cell>
          <cell r="D1161">
            <v>1</v>
          </cell>
          <cell r="E1161" t="str">
            <v>AB PP WC RBI G27-6 DPM TTLY-SLD PLUG +L</v>
          </cell>
        </row>
        <row r="1162">
          <cell r="B1162" t="str">
            <v>XMG27-6MF</v>
          </cell>
          <cell r="C1162" t="str">
            <v>WUBG276E-CP302E</v>
          </cell>
          <cell r="D1162">
            <v>1</v>
          </cell>
          <cell r="E1162" t="str">
            <v>AB PP WC RBI-MGOLD G27-620MF AUTO +L</v>
          </cell>
        </row>
        <row r="1163">
          <cell r="B1163" t="str">
            <v>XMG27-6MF(TSH)</v>
          </cell>
          <cell r="C1163" t="str">
            <v>WUBG276R-TS302E</v>
          </cell>
          <cell r="D1163">
            <v>1</v>
          </cell>
          <cell r="E1163" t="str">
            <v>AB PP WC RBI-DS G27-6MF TLY-SLD HE +L</v>
          </cell>
        </row>
        <row r="1164">
          <cell r="B1164" t="str">
            <v>XMG27-6MF(TSP)</v>
          </cell>
          <cell r="C1164" t="str">
            <v>WUBG276R-TSP02E</v>
          </cell>
          <cell r="D1164">
            <v>1</v>
          </cell>
          <cell r="E1164" t="str">
            <v>AB PP WC RBI-DS G27-6MF TLY-SLD PLUG +L</v>
          </cell>
        </row>
        <row r="1165">
          <cell r="B1165" t="str">
            <v>XMG27-6STD</v>
          </cell>
          <cell r="C1165" t="str">
            <v>WUBG276E-CPP02E</v>
          </cell>
          <cell r="D1165">
            <v>1</v>
          </cell>
          <cell r="E1165" t="str">
            <v>AB PP WC RBI-MGOLD G27-620 AUTO +L</v>
          </cell>
        </row>
        <row r="1166">
          <cell r="B1166" t="str">
            <v>XMG27-7DPM</v>
          </cell>
          <cell r="C1166" t="str">
            <v>WUBG277M-CP302E</v>
          </cell>
          <cell r="D1166">
            <v>1</v>
          </cell>
          <cell r="E1166" t="str">
            <v>AB PP WC RBI G27-7 ACCESIBLE DPM +L</v>
          </cell>
        </row>
        <row r="1167">
          <cell r="B1167" t="str">
            <v>XMG27-7DPM(TSH)</v>
          </cell>
          <cell r="C1167" t="str">
            <v>WUBG277M-TS302E</v>
          </cell>
          <cell r="D1167">
            <v>1</v>
          </cell>
          <cell r="E1167" t="str">
            <v>AB PP WC RBI G27-7 DPM TTLY SEALED HE +L</v>
          </cell>
        </row>
        <row r="1168">
          <cell r="B1168" t="str">
            <v>XMG27-7DPM(TSP)</v>
          </cell>
          <cell r="C1168" t="str">
            <v>WUBG277M-TSP02E</v>
          </cell>
          <cell r="D1168">
            <v>1</v>
          </cell>
          <cell r="E1168" t="str">
            <v>AB PP WC RBI G27-7 DPM TTLY SEALED EP +L</v>
          </cell>
        </row>
        <row r="1169">
          <cell r="B1169" t="str">
            <v>XMG27-7MF</v>
          </cell>
          <cell r="C1169" t="str">
            <v>WUBG277E-CP302E</v>
          </cell>
          <cell r="D1169">
            <v>1</v>
          </cell>
          <cell r="E1169" t="str">
            <v>AB PP WC RBI-MGOLD G27-730MF AUTO +L</v>
          </cell>
        </row>
        <row r="1170">
          <cell r="B1170" t="str">
            <v>XMG27-7MF(TSH)</v>
          </cell>
          <cell r="C1170" t="str">
            <v>WUBG277E-TS302E</v>
          </cell>
          <cell r="D1170">
            <v>1</v>
          </cell>
          <cell r="E1170" t="str">
            <v>AB PP WC RBI-DS G27-7MF TLY-SLD HE +L</v>
          </cell>
        </row>
        <row r="1171">
          <cell r="B1171" t="str">
            <v>XMG27-7MF(TSP)</v>
          </cell>
          <cell r="C1171" t="str">
            <v>WUBG277E-TSP02E</v>
          </cell>
          <cell r="D1171">
            <v>1</v>
          </cell>
          <cell r="E1171" t="str">
            <v>AB PP WC RBI-DS G27-7MF TLY-SLD PLUG +L</v>
          </cell>
        </row>
        <row r="1172">
          <cell r="B1172" t="str">
            <v>XMG27-7STD</v>
          </cell>
          <cell r="C1172" t="str">
            <v>WUBG277E-CPP02E</v>
          </cell>
          <cell r="D1172">
            <v>1</v>
          </cell>
          <cell r="E1172" t="str">
            <v>AB PP WC RBI-MGOLD G27-730 AUTO +L</v>
          </cell>
        </row>
        <row r="1173">
          <cell r="B1173" t="str">
            <v>XMG27-90MCRD</v>
          </cell>
          <cell r="C1173" t="str">
            <v>WUBG27PM-CPN02E</v>
          </cell>
          <cell r="D1173">
            <v>1</v>
          </cell>
          <cell r="E1173" t="str">
            <v>AB PP WC RBI-MGOLD G27-13DC 2-POST +L</v>
          </cell>
        </row>
        <row r="1174">
          <cell r="B1174" t="str">
            <v>XMG27F-6MF</v>
          </cell>
          <cell r="C1174" t="str">
            <v>WUBG276I-CP302E</v>
          </cell>
          <cell r="D1174">
            <v>1</v>
          </cell>
          <cell r="E1174" t="str">
            <v>AB PP WC RBI-MGOLD G27F-620MF AUTO +R</v>
          </cell>
        </row>
        <row r="1175">
          <cell r="B1175" t="str">
            <v>XMG27F-6MF(TSH)</v>
          </cell>
          <cell r="C1175" t="str">
            <v>WUBG276I-TS302E</v>
          </cell>
          <cell r="D1175">
            <v>1</v>
          </cell>
          <cell r="E1175" t="str">
            <v>AB PP WC RBI/DS G27F-6MF TLY-SLD HE +L</v>
          </cell>
        </row>
        <row r="1176">
          <cell r="B1176" t="str">
            <v>XMG27F-6MF(TSP)</v>
          </cell>
          <cell r="C1176" t="str">
            <v>WUBG276I-TSP02E</v>
          </cell>
          <cell r="D1176">
            <v>1</v>
          </cell>
          <cell r="E1176" t="str">
            <v>AB PP WC RBI/DS G27F-6MF TLY-SLD PLUG +L</v>
          </cell>
        </row>
        <row r="1177">
          <cell r="B1177" t="str">
            <v>XMG27F-6STD</v>
          </cell>
          <cell r="C1177" t="str">
            <v>WUBG276I-CPP02E</v>
          </cell>
          <cell r="D1177">
            <v>1</v>
          </cell>
          <cell r="E1177" t="str">
            <v>AB PP WC RBI-MGOLD G27F-620 AUTO +R</v>
          </cell>
        </row>
        <row r="1178">
          <cell r="B1178" t="str">
            <v>XMG27F-7MF</v>
          </cell>
          <cell r="C1178" t="str">
            <v>WUBG277I-CP302E</v>
          </cell>
          <cell r="D1178">
            <v>1</v>
          </cell>
          <cell r="E1178" t="str">
            <v>AB PP WC RBI-MGOLD G27F-730MF AUTO +R</v>
          </cell>
        </row>
        <row r="1179">
          <cell r="B1179" t="str">
            <v>XMG27F-7MF(TSH)</v>
          </cell>
          <cell r="C1179" t="str">
            <v>WUBG277I-TS302E</v>
          </cell>
          <cell r="D1179">
            <v>1</v>
          </cell>
          <cell r="E1179" t="str">
            <v>AB PP WC RBI/DS G27F-7MF TLY-SLD HE +L</v>
          </cell>
        </row>
        <row r="1180">
          <cell r="B1180" t="str">
            <v>XMG27F-7MF(TSP)</v>
          </cell>
          <cell r="C1180" t="str">
            <v>WUBG277I-TSP02E</v>
          </cell>
          <cell r="D1180">
            <v>1</v>
          </cell>
          <cell r="E1180" t="str">
            <v>AB PP WC RBI-DS G27F-7MF TLY-SLD PLUG +L</v>
          </cell>
        </row>
        <row r="1181">
          <cell r="B1181" t="str">
            <v>XMG27F-7STD</v>
          </cell>
          <cell r="C1181" t="str">
            <v>WUBG277I-CPP02E</v>
          </cell>
          <cell r="D1181">
            <v>1</v>
          </cell>
          <cell r="E1181" t="str">
            <v>AB PP WC RBI-MGOLD G27F-730 AUTO +R</v>
          </cell>
        </row>
        <row r="1182">
          <cell r="B1182" t="str">
            <v>XMG31A-10MF</v>
          </cell>
          <cell r="C1182" t="str">
            <v>WUBB31ZE-CP302E</v>
          </cell>
          <cell r="D1182">
            <v>1</v>
          </cell>
          <cell r="E1182" t="str">
            <v>AB PP WC RBI-MGOLD G31 MFBK AUTO 1000CCA</v>
          </cell>
        </row>
        <row r="1183">
          <cell r="B1183" t="str">
            <v>XMG31A-10MF(TSH)</v>
          </cell>
          <cell r="C1183" t="str">
            <v>WUBB31ZR-TS302E</v>
          </cell>
          <cell r="D1183">
            <v>1</v>
          </cell>
          <cell r="E1183" t="str">
            <v>AB PP WC G31A-10 TLY-SLD MF HEYE BLK</v>
          </cell>
        </row>
        <row r="1184">
          <cell r="B1184" t="str">
            <v>XMG31A-10MF(TSP)</v>
          </cell>
          <cell r="C1184" t="str">
            <v>WUBB31ZR-TSP02E</v>
          </cell>
          <cell r="D1184">
            <v>1</v>
          </cell>
          <cell r="E1184" t="str">
            <v>AB PP WC G31A-10 TLY-SLD MF PLUG BLK</v>
          </cell>
        </row>
        <row r="1185">
          <cell r="B1185" t="str">
            <v>XMG31A-10STD</v>
          </cell>
          <cell r="C1185" t="str">
            <v>WUBB31ZE-CPP02E</v>
          </cell>
          <cell r="D1185">
            <v>1</v>
          </cell>
          <cell r="E1185" t="str">
            <v>AB PP WC RBI G31-10 CP PLUG +L AUTO BLK</v>
          </cell>
        </row>
        <row r="1186">
          <cell r="B1186" t="str">
            <v>XMG31A-6MF</v>
          </cell>
          <cell r="C1186" t="str">
            <v>WUBB316E-CP302E</v>
          </cell>
          <cell r="D1186">
            <v>1</v>
          </cell>
          <cell r="E1186" t="str">
            <v>AB PP WC RBI  G31-6 CP HEYE +L AUTO BLK</v>
          </cell>
        </row>
        <row r="1187">
          <cell r="B1187" t="str">
            <v>XMG31A-6MF(TSH)</v>
          </cell>
          <cell r="C1187" t="str">
            <v>WUBB316R-TS302E</v>
          </cell>
          <cell r="D1187">
            <v>1</v>
          </cell>
          <cell r="E1187" t="str">
            <v>AB PP WC G31A-6 TLY-SLD MF HEYE BLK</v>
          </cell>
        </row>
        <row r="1188">
          <cell r="B1188" t="str">
            <v>XMG31A-6MF(TSP)</v>
          </cell>
          <cell r="C1188" t="str">
            <v>WUBB316R-TSP02E</v>
          </cell>
          <cell r="D1188">
            <v>1</v>
          </cell>
          <cell r="E1188" t="str">
            <v>AB PP WC G31A-6 TLY-SLD MF PLUG BLK</v>
          </cell>
        </row>
        <row r="1189">
          <cell r="B1189" t="str">
            <v>XMG31A-6STD</v>
          </cell>
          <cell r="C1189" t="str">
            <v>WUBB316E-CPP02E</v>
          </cell>
          <cell r="D1189">
            <v>1</v>
          </cell>
          <cell r="E1189" t="str">
            <v>AB PP WC RBI-MGOLD G31-600 AUTO</v>
          </cell>
        </row>
        <row r="1190">
          <cell r="B1190" t="str">
            <v>XMG31A-7MF</v>
          </cell>
          <cell r="C1190" t="str">
            <v>WUBB317E-CP302E</v>
          </cell>
          <cell r="D1190">
            <v>1</v>
          </cell>
          <cell r="E1190" t="str">
            <v>AB PP WC RBI-MGOLD G31-MF AUTO 700-CCA</v>
          </cell>
        </row>
        <row r="1191">
          <cell r="B1191" t="str">
            <v>XMG31A-7MF(TSH)</v>
          </cell>
          <cell r="C1191" t="str">
            <v>WUBB317R-TS302E</v>
          </cell>
          <cell r="D1191">
            <v>1</v>
          </cell>
          <cell r="E1191" t="str">
            <v>AB PP WC G31A-7 TLY-SLD MF HEYE BLK</v>
          </cell>
        </row>
        <row r="1192">
          <cell r="B1192" t="str">
            <v>XMG31A-7MF(TSP)</v>
          </cell>
          <cell r="C1192" t="str">
            <v>WUBB317R-TSP02E</v>
          </cell>
          <cell r="D1192">
            <v>1</v>
          </cell>
          <cell r="E1192" t="str">
            <v>AB PP WC G31A-7 TLY-SLD MF PLUG BLK</v>
          </cell>
        </row>
        <row r="1193">
          <cell r="B1193" t="str">
            <v>XMG31A-7STD</v>
          </cell>
          <cell r="C1193" t="str">
            <v>WUBB317E-CPP02E</v>
          </cell>
          <cell r="D1193">
            <v>1</v>
          </cell>
          <cell r="E1193" t="str">
            <v>AB PP WC RBI-MGOLD G31-700 AUTO</v>
          </cell>
        </row>
        <row r="1194">
          <cell r="B1194" t="str">
            <v>XMG31A-8MF</v>
          </cell>
          <cell r="C1194" t="str">
            <v>WUBB318E-CP302E</v>
          </cell>
          <cell r="D1194">
            <v>1</v>
          </cell>
          <cell r="E1194" t="str">
            <v>AB PP WC RBI-MGOLD G31 MF AUTO BK 800CCA</v>
          </cell>
        </row>
        <row r="1195">
          <cell r="B1195" t="str">
            <v>XMG31A-8MF(TSH)</v>
          </cell>
          <cell r="C1195" t="str">
            <v>WUBB318R-TS302E</v>
          </cell>
          <cell r="D1195">
            <v>1</v>
          </cell>
          <cell r="E1195" t="str">
            <v>AB PP WC G31A-8 TLY-SLD MF HEYE BLK</v>
          </cell>
        </row>
        <row r="1196">
          <cell r="B1196" t="str">
            <v>XMG31A-8MF(TSP)</v>
          </cell>
          <cell r="C1196" t="str">
            <v>WUBB318R-TSP02E</v>
          </cell>
          <cell r="D1196">
            <v>1</v>
          </cell>
          <cell r="E1196" t="str">
            <v>AB PP WC G31A-8 TLY-SLD MF PLUG BLK</v>
          </cell>
        </row>
        <row r="1197">
          <cell r="B1197" t="str">
            <v>XMG31A-8STD</v>
          </cell>
          <cell r="C1197" t="str">
            <v>WUBB318E-CPP02E</v>
          </cell>
          <cell r="D1197">
            <v>1</v>
          </cell>
          <cell r="E1197" t="str">
            <v>AB PP WC RBI G31-8 CP PLUG +L AUTO BLACK</v>
          </cell>
        </row>
        <row r="1198">
          <cell r="B1198" t="str">
            <v>XMG31A-9MF</v>
          </cell>
          <cell r="C1198" t="str">
            <v>WUBB319E-CP302E</v>
          </cell>
          <cell r="D1198">
            <v>1</v>
          </cell>
          <cell r="E1198" t="str">
            <v>AB PP WC G31A-9MF</v>
          </cell>
        </row>
        <row r="1199">
          <cell r="B1199" t="str">
            <v>XMG31A-9MF(TSH)</v>
          </cell>
          <cell r="C1199" t="str">
            <v>WUBB319R-TS302E</v>
          </cell>
          <cell r="D1199">
            <v>1</v>
          </cell>
          <cell r="E1199" t="str">
            <v>AB PP WC G31A-9 TLY-SLD MF HEYE BLK</v>
          </cell>
        </row>
        <row r="1200">
          <cell r="B1200" t="str">
            <v>XMG31A-9MF(TSP)</v>
          </cell>
          <cell r="C1200" t="str">
            <v>WUBB319R-TSP02E</v>
          </cell>
          <cell r="D1200">
            <v>1</v>
          </cell>
          <cell r="E1200" t="str">
            <v>AB PP WC G31A-9 TLY-SLD MF PLUG BLK</v>
          </cell>
        </row>
        <row r="1201">
          <cell r="B1201" t="str">
            <v>XMG31A-9STD</v>
          </cell>
          <cell r="C1201" t="str">
            <v>WUBB319E-CPP02E</v>
          </cell>
          <cell r="D1201">
            <v>1</v>
          </cell>
          <cell r="E1201" t="str">
            <v>AB PP WC RBI-MGOLD G31-930 AUTO</v>
          </cell>
        </row>
        <row r="1202">
          <cell r="B1202" t="str">
            <v>XMG31AG-10MF</v>
          </cell>
          <cell r="C1202" t="str">
            <v>WUBG31ZE-CP302E</v>
          </cell>
          <cell r="D1202">
            <v>1</v>
          </cell>
          <cell r="E1202" t="str">
            <v>AB PP WC RBI-MGOLD G31 MFGY AUTO 1000CCA</v>
          </cell>
        </row>
        <row r="1203">
          <cell r="B1203" t="str">
            <v>XMG31AG-10MF(TSH)</v>
          </cell>
          <cell r="C1203" t="str">
            <v>WUBG31ZR-TS302E</v>
          </cell>
          <cell r="D1203">
            <v>1</v>
          </cell>
          <cell r="E1203" t="str">
            <v>AB PP WC G31A-10 TLY-SLD MF HEYE GRAY</v>
          </cell>
        </row>
        <row r="1204">
          <cell r="B1204" t="str">
            <v>XMG31AG-10MF(TSP)</v>
          </cell>
          <cell r="C1204" t="str">
            <v>WUBG31ZR-TSP02E</v>
          </cell>
          <cell r="D1204">
            <v>1</v>
          </cell>
          <cell r="E1204" t="str">
            <v>AB PP WC G31A-10 TLY-SLD MF PLUG GRAY</v>
          </cell>
        </row>
        <row r="1205">
          <cell r="B1205" t="str">
            <v>XMG31AG-10STD</v>
          </cell>
          <cell r="C1205" t="str">
            <v>WUBG31ZE-CPP02E</v>
          </cell>
          <cell r="D1205">
            <v>1</v>
          </cell>
          <cell r="E1205" t="str">
            <v>AB PP WC RBI G31-10 CP PLUG +L AUTO GY</v>
          </cell>
        </row>
        <row r="1206">
          <cell r="B1206" t="str">
            <v>XMG31AG-6MF</v>
          </cell>
          <cell r="C1206" t="str">
            <v>WUBG316E-CP302E</v>
          </cell>
          <cell r="D1206">
            <v>1</v>
          </cell>
          <cell r="E1206" t="str">
            <v>AB PP WC RBI G31-6 CP HEYE +L AUTO GRAY</v>
          </cell>
        </row>
        <row r="1207">
          <cell r="B1207" t="str">
            <v>XMG31AG-6MF(TSH)</v>
          </cell>
          <cell r="C1207" t="str">
            <v>WUBG316R-TS302E</v>
          </cell>
          <cell r="D1207">
            <v>1</v>
          </cell>
          <cell r="E1207" t="str">
            <v>AB PP WC G31A-6 TLY-SLD MF HEYE GRAY</v>
          </cell>
        </row>
        <row r="1208">
          <cell r="B1208" t="str">
            <v>XMG31AG-6MF(TSP)</v>
          </cell>
          <cell r="C1208" t="str">
            <v>WUBG316R-TSP02E</v>
          </cell>
          <cell r="D1208">
            <v>1</v>
          </cell>
          <cell r="E1208" t="str">
            <v>AB PP WC G31A-6 TLY-SLD MF PLUG GRAY</v>
          </cell>
        </row>
        <row r="1209">
          <cell r="B1209" t="str">
            <v>XMG31AG-6STD</v>
          </cell>
          <cell r="C1209" t="str">
            <v>WUBG316E-CPP02E</v>
          </cell>
          <cell r="D1209">
            <v>1</v>
          </cell>
          <cell r="E1209" t="str">
            <v>AB PP WC RBI G31-6 CP PLUG +L AUTO GRAY</v>
          </cell>
        </row>
        <row r="1210">
          <cell r="B1210" t="str">
            <v>XMG31AG-7MF</v>
          </cell>
          <cell r="C1210" t="str">
            <v>WUBG317E-CP302E</v>
          </cell>
          <cell r="D1210">
            <v>1</v>
          </cell>
          <cell r="E1210" t="str">
            <v>AB PP WC RBI G31AG-7MF</v>
          </cell>
        </row>
        <row r="1211">
          <cell r="B1211" t="str">
            <v>XMG31AG-7MF(TSH)</v>
          </cell>
          <cell r="C1211" t="str">
            <v>WUBG317R-TS302E</v>
          </cell>
          <cell r="D1211">
            <v>1</v>
          </cell>
          <cell r="E1211" t="str">
            <v>AB PP WC G31A-7 TLY-SLD MF HEYE GRAY</v>
          </cell>
        </row>
        <row r="1212">
          <cell r="B1212" t="str">
            <v>XMG31AG-7MF(TSP)</v>
          </cell>
          <cell r="C1212" t="str">
            <v>WUBG317R-TSP02E</v>
          </cell>
          <cell r="D1212">
            <v>1</v>
          </cell>
          <cell r="E1212" t="str">
            <v>AB PP WC G31A-7 TLY-SLD MF PLUG GRAY</v>
          </cell>
        </row>
        <row r="1213">
          <cell r="B1213" t="str">
            <v>XMG31AG-8MF</v>
          </cell>
          <cell r="C1213" t="str">
            <v>WUBG318E-CP302E</v>
          </cell>
          <cell r="D1213">
            <v>1</v>
          </cell>
          <cell r="E1213" t="str">
            <v>AB PP WC RBI-MGOLD G31 MF AUTO GY 800CCA</v>
          </cell>
        </row>
        <row r="1214">
          <cell r="B1214" t="str">
            <v>XMG31AG-8MF(TSH)</v>
          </cell>
          <cell r="C1214" t="str">
            <v>WUBG318R-TS302E</v>
          </cell>
          <cell r="D1214">
            <v>1</v>
          </cell>
          <cell r="E1214" t="str">
            <v>AB PP WC G31A-8 TLY-SLD MF HEYE GRAY</v>
          </cell>
        </row>
        <row r="1215">
          <cell r="B1215" t="str">
            <v>XMG31AG-8MF(TSP)</v>
          </cell>
          <cell r="C1215" t="str">
            <v>WUBG318R-TSP02E</v>
          </cell>
          <cell r="D1215">
            <v>1</v>
          </cell>
          <cell r="E1215" t="str">
            <v>AB PP WC G31A-8 TLY-SLD MF PLUG GRAY</v>
          </cell>
        </row>
        <row r="1216">
          <cell r="B1216" t="str">
            <v>XMG31AG-8STD</v>
          </cell>
          <cell r="C1216" t="str">
            <v>WUBG318E-CPP02E</v>
          </cell>
          <cell r="D1216">
            <v>1</v>
          </cell>
          <cell r="E1216" t="str">
            <v>AB PP WC RBI G31-8 CP PLUG +L AUTO GRAY</v>
          </cell>
        </row>
        <row r="1217">
          <cell r="B1217" t="str">
            <v>XMG31AG-9MF</v>
          </cell>
          <cell r="C1217" t="str">
            <v>WUBG319R-CP302E</v>
          </cell>
          <cell r="D1217">
            <v>1</v>
          </cell>
          <cell r="E1217" t="str">
            <v>AB PP WC RBI-MGOLD G31-MF AUTO GRAY 930-</v>
          </cell>
        </row>
        <row r="1218">
          <cell r="B1218" t="str">
            <v>XMG31AG-9MF(TSH)</v>
          </cell>
          <cell r="C1218" t="str">
            <v>WUBG319E-TS302E</v>
          </cell>
          <cell r="D1218">
            <v>1</v>
          </cell>
          <cell r="E1218" t="str">
            <v>AB PP WC G31A-9 TLY-SLD MF HEYE GRAY</v>
          </cell>
        </row>
        <row r="1219">
          <cell r="B1219" t="str">
            <v>XMG31AG-9MF(TSP)</v>
          </cell>
          <cell r="C1219" t="str">
            <v>WUBG319E-TSP02E</v>
          </cell>
          <cell r="D1219">
            <v>1</v>
          </cell>
          <cell r="E1219" t="str">
            <v>AB PP WC G31A-9 TLY-SLD MF PLUG GRAY</v>
          </cell>
        </row>
        <row r="1220">
          <cell r="B1220" t="str">
            <v>XMG31AG-9STD</v>
          </cell>
          <cell r="C1220" t="str">
            <v>WUBG319R-CPP02E</v>
          </cell>
          <cell r="D1220">
            <v>1</v>
          </cell>
          <cell r="E1220" t="str">
            <v>AB PP WC RBI-MGOLD G31-930G AUTO</v>
          </cell>
        </row>
        <row r="1221">
          <cell r="B1221" t="str">
            <v>XMG31S-10MF</v>
          </cell>
          <cell r="C1221" t="str">
            <v>WUBB31ZT-CP302E</v>
          </cell>
          <cell r="D1221">
            <v>1</v>
          </cell>
          <cell r="E1221" t="str">
            <v>AB PP WC RBI-MGOLD G31 MFBK STUD 1000CCA</v>
          </cell>
        </row>
        <row r="1222">
          <cell r="B1222" t="str">
            <v>XMG31S-10MF(TSH)</v>
          </cell>
          <cell r="C1222" t="str">
            <v>WUBB31ZT-TS302E</v>
          </cell>
          <cell r="D1222">
            <v>1</v>
          </cell>
          <cell r="E1222" t="str">
            <v>AB PP WC G31S-10 TLY-SLD MF HEYE BLK</v>
          </cell>
        </row>
        <row r="1223">
          <cell r="B1223" t="str">
            <v>XMG31S-10MF(TSP)</v>
          </cell>
          <cell r="C1223" t="str">
            <v>WUBB31ZT-TSP02E</v>
          </cell>
          <cell r="D1223">
            <v>1</v>
          </cell>
          <cell r="E1223" t="str">
            <v>AB PP WC G31S-10 TLY-SLD MF PLUG BLK</v>
          </cell>
        </row>
        <row r="1224">
          <cell r="B1224" t="str">
            <v>XMG31S-10STD</v>
          </cell>
          <cell r="C1224" t="str">
            <v>WUBB31ZT-CPP02E</v>
          </cell>
          <cell r="D1224">
            <v>1</v>
          </cell>
          <cell r="E1224" t="str">
            <v>AB PP WC RBI G31-10 CP PLUG +L STUD BLK</v>
          </cell>
        </row>
        <row r="1225">
          <cell r="B1225" t="str">
            <v>XMG31S-6MF</v>
          </cell>
          <cell r="C1225" t="str">
            <v>WUBB316T-CP302E</v>
          </cell>
          <cell r="D1225">
            <v>1</v>
          </cell>
          <cell r="E1225" t="str">
            <v>AB PP WC RBI G31-6 CP HEYE +L STUD BLACK</v>
          </cell>
        </row>
        <row r="1226">
          <cell r="B1226" t="str">
            <v>XMG31S-6MF(TSH)</v>
          </cell>
          <cell r="C1226" t="str">
            <v>WUBB316T-TS302E</v>
          </cell>
          <cell r="D1226">
            <v>1</v>
          </cell>
          <cell r="E1226" t="str">
            <v>AB PP WC G31S-6 TLY-SLD MF HEYE BLK</v>
          </cell>
        </row>
        <row r="1227">
          <cell r="B1227" t="str">
            <v>XMG31S-6MF(TSP)</v>
          </cell>
          <cell r="C1227" t="str">
            <v>WUBB316T-TSP02E</v>
          </cell>
          <cell r="D1227">
            <v>1</v>
          </cell>
          <cell r="E1227" t="str">
            <v>AB PP WC G31S-6 TLY-SLD MF PLUG BLK</v>
          </cell>
        </row>
        <row r="1228">
          <cell r="B1228" t="str">
            <v>XMG31S-6STD</v>
          </cell>
          <cell r="C1228" t="str">
            <v>WUBB316T-CPP02E</v>
          </cell>
          <cell r="D1228">
            <v>1</v>
          </cell>
          <cell r="E1228" t="str">
            <v>AB PP WC RBI-MGOLD G31-600 STUD</v>
          </cell>
        </row>
        <row r="1229">
          <cell r="B1229" t="str">
            <v>XMG31S-7MF</v>
          </cell>
          <cell r="C1229" t="str">
            <v>WUBB317T-CP302E</v>
          </cell>
          <cell r="D1229">
            <v>1</v>
          </cell>
          <cell r="E1229" t="str">
            <v>AB PP WC RBI-MGOLD G31-MF STUD 700-CCA</v>
          </cell>
        </row>
        <row r="1230">
          <cell r="B1230" t="str">
            <v>XMG31S-7MF(TSH)</v>
          </cell>
          <cell r="C1230" t="str">
            <v>WUBB317T-TS302E</v>
          </cell>
          <cell r="D1230">
            <v>1</v>
          </cell>
          <cell r="E1230" t="str">
            <v>AB PP WC G31S-7 TLY-SLD MF HEYE BLK</v>
          </cell>
        </row>
        <row r="1231">
          <cell r="B1231" t="str">
            <v>XMG31S-7MF(TSP)</v>
          </cell>
          <cell r="C1231" t="str">
            <v>WUBB317T-TSP02E</v>
          </cell>
          <cell r="D1231">
            <v>1</v>
          </cell>
          <cell r="E1231" t="str">
            <v>AB PP WC G31S-7 TLY-SLD MF PLUG BLK</v>
          </cell>
        </row>
        <row r="1232">
          <cell r="B1232" t="str">
            <v>XMG31S-7STD</v>
          </cell>
          <cell r="C1232" t="str">
            <v>WUBB317T-CPP02E</v>
          </cell>
          <cell r="D1232">
            <v>1</v>
          </cell>
          <cell r="E1232" t="str">
            <v>AB PP WC RBI-MGOLD G31-700 STUD</v>
          </cell>
        </row>
        <row r="1233">
          <cell r="B1233" t="str">
            <v>XMG31S-8MF</v>
          </cell>
          <cell r="C1233" t="str">
            <v>WUBB318T-CP302E</v>
          </cell>
          <cell r="D1233">
            <v>1</v>
          </cell>
          <cell r="E1233" t="str">
            <v>AB PP WC RBI-MGOLD G31 MF STUD BK 800CCA</v>
          </cell>
        </row>
        <row r="1234">
          <cell r="B1234" t="str">
            <v>XMG31S-8MF(TSH)</v>
          </cell>
          <cell r="C1234" t="str">
            <v>WUBB318T-TS302E</v>
          </cell>
          <cell r="D1234">
            <v>1</v>
          </cell>
          <cell r="E1234" t="str">
            <v>AB PP WC G31S-8 TLY-SLD MF HEYE BLK</v>
          </cell>
        </row>
        <row r="1235">
          <cell r="B1235" t="str">
            <v>XMG31S-8MF(TSP)</v>
          </cell>
          <cell r="C1235" t="str">
            <v>WUBB318T-TSP02E</v>
          </cell>
          <cell r="D1235">
            <v>1</v>
          </cell>
          <cell r="E1235" t="str">
            <v>AB PP WC G31S-8 TLY-SLD MF PLUG BLK</v>
          </cell>
        </row>
        <row r="1236">
          <cell r="B1236" t="str">
            <v>XMG31S-8STD</v>
          </cell>
          <cell r="C1236" t="str">
            <v>WUBB318T-CPP02E</v>
          </cell>
          <cell r="D1236">
            <v>1</v>
          </cell>
          <cell r="E1236" t="str">
            <v>AB PP WC RBI G31-8 CP PLUG +L STUD BLACK</v>
          </cell>
        </row>
        <row r="1237">
          <cell r="B1237" t="str">
            <v>XMG31S-9MF</v>
          </cell>
          <cell r="C1237" t="str">
            <v>WUBB319T-CP302E</v>
          </cell>
          <cell r="D1237">
            <v>1</v>
          </cell>
          <cell r="E1237" t="str">
            <v>AB PP WC G31S-9MF</v>
          </cell>
        </row>
        <row r="1238">
          <cell r="B1238" t="str">
            <v>XMG31S-9MF(TSH)</v>
          </cell>
          <cell r="C1238" t="str">
            <v>WUBB319T-TS302E</v>
          </cell>
          <cell r="D1238">
            <v>1</v>
          </cell>
          <cell r="E1238" t="str">
            <v>AB PP WC G31S-9 TLY-SLD MF HEYE BLK</v>
          </cell>
        </row>
        <row r="1239">
          <cell r="B1239" t="str">
            <v>XMG31S-9MF(TSP)</v>
          </cell>
          <cell r="C1239" t="str">
            <v>WUBB319T-TSP02E</v>
          </cell>
          <cell r="D1239">
            <v>1</v>
          </cell>
          <cell r="E1239" t="str">
            <v>AB PP WC G31S-9 TLY-SLD MF PLUG BLK</v>
          </cell>
        </row>
        <row r="1240">
          <cell r="B1240" t="str">
            <v>XMG31S-9STD</v>
          </cell>
          <cell r="C1240" t="str">
            <v>WUBB319T-CPP02E</v>
          </cell>
          <cell r="D1240">
            <v>1</v>
          </cell>
          <cell r="E1240" t="str">
            <v>AB PP WC RBI-MGOLD G31-930 STUD</v>
          </cell>
        </row>
        <row r="1241">
          <cell r="B1241" t="str">
            <v>XMG31SG-10MF</v>
          </cell>
          <cell r="C1241" t="str">
            <v>WUBG31ZT-CP302E</v>
          </cell>
          <cell r="D1241">
            <v>1</v>
          </cell>
          <cell r="E1241" t="str">
            <v>AB PP WC RBI-MGOLD G31 MFGY STUD 1000CCA</v>
          </cell>
        </row>
        <row r="1242">
          <cell r="B1242" t="str">
            <v>XMG31SG-10MF(TSH)</v>
          </cell>
          <cell r="C1242" t="str">
            <v>WUBG31ZT-TS302E</v>
          </cell>
          <cell r="D1242">
            <v>1</v>
          </cell>
          <cell r="E1242" t="str">
            <v>AB PP WC G31S-10 TLY-SLD MF HEYE GRAY</v>
          </cell>
        </row>
        <row r="1243">
          <cell r="B1243" t="str">
            <v>XMG31SG-10MF(TSP)</v>
          </cell>
          <cell r="C1243" t="str">
            <v>WUBG31ZT-TSP02E</v>
          </cell>
          <cell r="D1243">
            <v>1</v>
          </cell>
          <cell r="E1243" t="str">
            <v>AB PP WC G31S-10 TLY-SLD MF PLUG GRAY</v>
          </cell>
        </row>
        <row r="1244">
          <cell r="B1244" t="str">
            <v>XMG31SG-10STD</v>
          </cell>
          <cell r="C1244" t="str">
            <v>WUBG31ZT-CPP02E</v>
          </cell>
          <cell r="D1244">
            <v>1</v>
          </cell>
          <cell r="E1244" t="str">
            <v>AB PP WC RBI G31-10 CP PLUG +L STUD GY</v>
          </cell>
        </row>
        <row r="1245">
          <cell r="B1245" t="str">
            <v>XMG31SG-6MF</v>
          </cell>
          <cell r="C1245" t="str">
            <v>WUBG316T-CP302E</v>
          </cell>
          <cell r="D1245">
            <v>1</v>
          </cell>
          <cell r="E1245" t="str">
            <v>AB PP WC RBI G31-6 CP HEYE +L STUD GRAY</v>
          </cell>
        </row>
        <row r="1246">
          <cell r="B1246" t="str">
            <v>XMG31SG-6MF(TSH)</v>
          </cell>
          <cell r="C1246" t="str">
            <v>WUBG316T-TS302E</v>
          </cell>
          <cell r="D1246">
            <v>1</v>
          </cell>
          <cell r="E1246" t="str">
            <v>AB PP WC G31S-6 TLY-SLD MF HEYE GRAY</v>
          </cell>
        </row>
        <row r="1247">
          <cell r="B1247" t="str">
            <v>XMG31SG-6MF(TSP)</v>
          </cell>
          <cell r="C1247" t="str">
            <v>WUBG316T-TSP02E</v>
          </cell>
          <cell r="D1247">
            <v>1</v>
          </cell>
          <cell r="E1247" t="str">
            <v>AB PP WC G31S-6 TLY-SLD MF PLUG GRAY</v>
          </cell>
        </row>
        <row r="1248">
          <cell r="B1248" t="str">
            <v>XMG31SG-6STD</v>
          </cell>
          <cell r="C1248" t="str">
            <v>WUBG316T-CPP02E</v>
          </cell>
          <cell r="D1248">
            <v>1</v>
          </cell>
          <cell r="E1248" t="str">
            <v>AB PP WC RBI G31-6 CP PLUG +L STUD GRAY</v>
          </cell>
        </row>
        <row r="1249">
          <cell r="B1249" t="str">
            <v>XMG31SG-7MF</v>
          </cell>
          <cell r="C1249" t="str">
            <v>WUBG317T-CP302E</v>
          </cell>
          <cell r="D1249">
            <v>1</v>
          </cell>
          <cell r="E1249" t="str">
            <v>AB PP WC RBI G31SG-7MF</v>
          </cell>
        </row>
        <row r="1250">
          <cell r="B1250" t="str">
            <v>XMG31SG-7MF(TSH)</v>
          </cell>
          <cell r="C1250" t="str">
            <v>WUBG317T-TS302E</v>
          </cell>
          <cell r="D1250">
            <v>1</v>
          </cell>
          <cell r="E1250" t="str">
            <v>AB PP WC G31S-7 TLY-SLD MF HEYE GRAY</v>
          </cell>
        </row>
        <row r="1251">
          <cell r="B1251" t="str">
            <v>XMG31SG-7MF(TSP)</v>
          </cell>
          <cell r="C1251" t="str">
            <v>WUBG317T-TSP02E</v>
          </cell>
          <cell r="D1251">
            <v>1</v>
          </cell>
          <cell r="E1251" t="str">
            <v>AB PP WC G31S-7 TLY-SLD MF PLUG GRAY</v>
          </cell>
        </row>
        <row r="1252">
          <cell r="B1252" t="str">
            <v>XMG31SG-7STD</v>
          </cell>
          <cell r="C1252" t="str">
            <v>WUBG317T-CPP02E</v>
          </cell>
          <cell r="D1252">
            <v>1</v>
          </cell>
          <cell r="E1252" t="str">
            <v>WC RBI G31SG-7 +L PLUG CP GRY</v>
          </cell>
        </row>
        <row r="1253">
          <cell r="B1253" t="str">
            <v>XMG31SG-8MF</v>
          </cell>
          <cell r="C1253" t="str">
            <v>WUBG318T-CP302E</v>
          </cell>
          <cell r="D1253">
            <v>1</v>
          </cell>
          <cell r="E1253" t="str">
            <v>AB PP WC RBI-MGOLD G31 MF STUD GY 800CCA</v>
          </cell>
        </row>
        <row r="1254">
          <cell r="B1254" t="str">
            <v>XMG31SG-8MF(TSH)</v>
          </cell>
          <cell r="C1254" t="str">
            <v>WUBG318T-TS302E</v>
          </cell>
          <cell r="D1254">
            <v>1</v>
          </cell>
          <cell r="E1254" t="str">
            <v>AB PP WC G31S-8 TLY-SLD MF HEYE GRAY</v>
          </cell>
        </row>
        <row r="1255">
          <cell r="B1255" t="str">
            <v>XMG31SG-8MF(TSP)</v>
          </cell>
          <cell r="C1255" t="str">
            <v>WUBG318T-TSP02E</v>
          </cell>
          <cell r="D1255">
            <v>1</v>
          </cell>
          <cell r="E1255" t="str">
            <v>AB PP WC G31S-8 TLY-SLD MF PLUG GRAY</v>
          </cell>
        </row>
        <row r="1256">
          <cell r="B1256" t="str">
            <v>XMG31SG-8STD</v>
          </cell>
          <cell r="C1256" t="str">
            <v>WUBG318T-CPP02E</v>
          </cell>
          <cell r="D1256">
            <v>1</v>
          </cell>
          <cell r="E1256" t="str">
            <v>AB PP WC RBI G31-8 CP PLUG +L STUD GRAY</v>
          </cell>
        </row>
        <row r="1257">
          <cell r="B1257" t="str">
            <v>XMG31SG-9MF</v>
          </cell>
          <cell r="C1257" t="str">
            <v>WUBG319T-CP302E</v>
          </cell>
          <cell r="D1257">
            <v>1</v>
          </cell>
          <cell r="E1257" t="str">
            <v>AB PP WC RBI-MGOLD G31-MF STUD GRAY 930-</v>
          </cell>
        </row>
        <row r="1258">
          <cell r="B1258" t="str">
            <v>XMG31SG-9MF(TSH)</v>
          </cell>
          <cell r="C1258" t="str">
            <v>WUBG319T-TS302E</v>
          </cell>
          <cell r="D1258">
            <v>1</v>
          </cell>
          <cell r="E1258" t="str">
            <v>AB PP WC G31S-9 TLY-SLD MF HEYE GRAY</v>
          </cell>
        </row>
        <row r="1259">
          <cell r="B1259" t="str">
            <v>XMG31SG-9MF(TSP)</v>
          </cell>
          <cell r="C1259" t="str">
            <v>WUBG319T-TSP02E</v>
          </cell>
          <cell r="D1259">
            <v>1</v>
          </cell>
          <cell r="E1259" t="str">
            <v>AB PP WC G31S-9 TLY-SLD MF PLUG GRAY</v>
          </cell>
        </row>
        <row r="1260">
          <cell r="B1260" t="str">
            <v>XMG31SG-9STD</v>
          </cell>
          <cell r="C1260" t="str">
            <v>WUBG319T-CPP02E</v>
          </cell>
          <cell r="D1260">
            <v>1</v>
          </cell>
          <cell r="E1260" t="str">
            <v>AB PP WC RBI-MGOLD G31-930G STUD</v>
          </cell>
        </row>
        <row r="1261">
          <cell r="B1261" t="str">
            <v>XMG34/78-5MF</v>
          </cell>
          <cell r="C1261" t="str">
            <v>WUBD785D-CP302E</v>
          </cell>
          <cell r="D1261">
            <v>1</v>
          </cell>
          <cell r="E1261" t="str">
            <v>AB PP WC RBI-MGOLD G34/78-   MF DT +L</v>
          </cell>
        </row>
        <row r="1262">
          <cell r="B1262" t="str">
            <v>XMG34/78-5MF(TSH)</v>
          </cell>
          <cell r="C1262" t="str">
            <v>WUBD785D-TS302E</v>
          </cell>
          <cell r="D1262">
            <v>1</v>
          </cell>
          <cell r="E1262" t="str">
            <v>AB PP WC RBI/DS G34/78-5MF TLY-SLD H-E +</v>
          </cell>
        </row>
        <row r="1263">
          <cell r="B1263" t="str">
            <v>XMG34/78-5MF(TSP)</v>
          </cell>
          <cell r="C1263" t="str">
            <v>WUBD785D-TSP02E</v>
          </cell>
          <cell r="D1263">
            <v>1</v>
          </cell>
          <cell r="E1263" t="str">
            <v>AB PP WC RBI/DS G34/78-5MF TLY-SLD PLUG</v>
          </cell>
        </row>
        <row r="1264">
          <cell r="B1264" t="str">
            <v>XMG34/78-5STD</v>
          </cell>
          <cell r="C1264" t="str">
            <v>WUBD785D-CPP02E</v>
          </cell>
          <cell r="D1264">
            <v>1</v>
          </cell>
          <cell r="E1264" t="str">
            <v>AB PP WC RBI-MGOLD G34/78-500 DT +L</v>
          </cell>
        </row>
        <row r="1265">
          <cell r="B1265" t="str">
            <v>XMG34/78-6MF</v>
          </cell>
          <cell r="C1265" t="str">
            <v>WUBD78DD-CP302E</v>
          </cell>
          <cell r="D1265">
            <v>1</v>
          </cell>
          <cell r="E1265" t="str">
            <v>AB PP WC RBI-MGOLD G34/78-650MF DT +L</v>
          </cell>
        </row>
        <row r="1266">
          <cell r="B1266" t="str">
            <v>XMG34/78-6MF(TSH)</v>
          </cell>
          <cell r="C1266" t="str">
            <v>WUBD786D-TS302E</v>
          </cell>
          <cell r="D1266">
            <v>1</v>
          </cell>
          <cell r="E1266" t="str">
            <v>AB PP WC RBI/DS G34/78-6MF TLY-SLD HE +L</v>
          </cell>
        </row>
        <row r="1267">
          <cell r="B1267" t="str">
            <v>XMG34/78-6MF(TSP)</v>
          </cell>
          <cell r="C1267" t="str">
            <v>WUBD786D-TSP02E</v>
          </cell>
          <cell r="D1267">
            <v>1</v>
          </cell>
          <cell r="E1267" t="str">
            <v>AB PP WC RBI/DS G34/78-6MF TLY-SLD PLUG</v>
          </cell>
        </row>
        <row r="1268">
          <cell r="B1268" t="str">
            <v>XMG34/78-6STD</v>
          </cell>
          <cell r="C1268" t="str">
            <v>WUBD78DD-CPP02E</v>
          </cell>
          <cell r="D1268">
            <v>1</v>
          </cell>
          <cell r="E1268" t="str">
            <v>AB PP WC RBI-MGOLD G34/78-650 DT +L</v>
          </cell>
        </row>
        <row r="1269">
          <cell r="B1269" t="str">
            <v>XMG34/78-8MF</v>
          </cell>
          <cell r="C1269" t="str">
            <v>WUBD788D-CP302E</v>
          </cell>
          <cell r="D1269">
            <v>1</v>
          </cell>
          <cell r="E1269" t="str">
            <v>AB PP WC RBI-MGOLD G34/78-850MF DT +L</v>
          </cell>
        </row>
        <row r="1270">
          <cell r="B1270" t="str">
            <v>XMG34/78-8MF(TSH)</v>
          </cell>
          <cell r="C1270" t="str">
            <v>WUBD788D-TS302E</v>
          </cell>
          <cell r="D1270">
            <v>1</v>
          </cell>
          <cell r="E1270" t="str">
            <v>AB PP WC RBI/DS G34/78-8MF T-SLD H-E +L</v>
          </cell>
        </row>
        <row r="1271">
          <cell r="B1271" t="str">
            <v>XMG34/78-8MF(TSP)</v>
          </cell>
          <cell r="C1271" t="str">
            <v>WUBD788D-TSP02E</v>
          </cell>
          <cell r="D1271">
            <v>1</v>
          </cell>
          <cell r="E1271" t="str">
            <v>AB PP WC RBI/DS G34/78-8MF T-SLD PLUG +L</v>
          </cell>
        </row>
        <row r="1272">
          <cell r="B1272" t="str">
            <v>XMG34/78-8STD</v>
          </cell>
          <cell r="C1272" t="str">
            <v>WUBD788D-CPP02E</v>
          </cell>
          <cell r="D1272">
            <v>1</v>
          </cell>
          <cell r="E1272" t="str">
            <v>AB PP WC RBI-MGOLD G34/78-850 DT +L</v>
          </cell>
        </row>
        <row r="1273">
          <cell r="B1273" t="str">
            <v>XMG34-5MF</v>
          </cell>
          <cell r="C1273" t="str">
            <v>WUBG345E-CP302E</v>
          </cell>
          <cell r="D1273">
            <v>1</v>
          </cell>
          <cell r="E1273" t="str">
            <v>WC RBI G34-5MF +L PUSH HE CP BLK</v>
          </cell>
        </row>
        <row r="1274">
          <cell r="B1274" t="str">
            <v>XMG34-5MF(TSH)</v>
          </cell>
          <cell r="C1274" t="str">
            <v>WUBG345E-TS302E</v>
          </cell>
          <cell r="D1274">
            <v>1</v>
          </cell>
          <cell r="E1274" t="str">
            <v>AB PP WC RBI G34-5MF +L TLY-SLD W HEYE</v>
          </cell>
        </row>
        <row r="1275">
          <cell r="B1275" t="str">
            <v>XMG34-5MF(TSP)</v>
          </cell>
          <cell r="C1275" t="str">
            <v>WUBG345E-TSP02E</v>
          </cell>
          <cell r="D1275">
            <v>1</v>
          </cell>
          <cell r="E1275" t="str">
            <v>AB PP WC RBI G34-5MF +L TLY-SLD PLUG</v>
          </cell>
        </row>
        <row r="1276">
          <cell r="B1276" t="str">
            <v>XMG34-5STD</v>
          </cell>
          <cell r="C1276" t="str">
            <v>WUBG345E-CPP02E</v>
          </cell>
          <cell r="D1276">
            <v>1</v>
          </cell>
          <cell r="E1276" t="str">
            <v>WC RBI G34-5MF +L PLUG CP BLK</v>
          </cell>
        </row>
        <row r="1277">
          <cell r="B1277" t="str">
            <v>XMG34-6MF</v>
          </cell>
          <cell r="C1277" t="str">
            <v>WUBG346E-CP302E</v>
          </cell>
          <cell r="D1277">
            <v>1</v>
          </cell>
          <cell r="E1277" t="str">
            <v>AB PP WC RBI-MGOLD G34-650MF AUTO +L</v>
          </cell>
        </row>
        <row r="1278">
          <cell r="B1278" t="str">
            <v>XMG34-6MF(TSH)</v>
          </cell>
          <cell r="C1278" t="str">
            <v>WUBG346E-TS302E</v>
          </cell>
          <cell r="D1278">
            <v>1</v>
          </cell>
          <cell r="E1278" t="str">
            <v>AB PP WC RBI/DS G34-6MF TLY-SLD H-E +L</v>
          </cell>
        </row>
        <row r="1279">
          <cell r="B1279" t="str">
            <v>XMG34-6MF(TSP)</v>
          </cell>
          <cell r="C1279" t="str">
            <v>WUBG346E-TSP02E</v>
          </cell>
          <cell r="D1279">
            <v>1</v>
          </cell>
          <cell r="E1279" t="str">
            <v>AB PP WC RBI/DS G34-6MF TLY-SLD PLUG +L</v>
          </cell>
        </row>
        <row r="1280">
          <cell r="B1280" t="str">
            <v>XMG34-6STD</v>
          </cell>
          <cell r="C1280" t="str">
            <v>WUBG346E-CPP02E</v>
          </cell>
          <cell r="D1280">
            <v>1</v>
          </cell>
          <cell r="E1280" t="str">
            <v>AB PP WC RBI-MGOLD G34-650 AUTO +L</v>
          </cell>
        </row>
        <row r="1281">
          <cell r="B1281" t="str">
            <v>XMG34R-5MF</v>
          </cell>
          <cell r="C1281" t="str">
            <v>WUBG345I-CP302E</v>
          </cell>
          <cell r="D1281">
            <v>1</v>
          </cell>
          <cell r="E1281" t="str">
            <v>WC RBI G34-5MF +R PUSH HE CP BLK</v>
          </cell>
        </row>
        <row r="1282">
          <cell r="B1282" t="str">
            <v>XMG34R-5MF(TSH)</v>
          </cell>
          <cell r="C1282" t="str">
            <v>WUBG345I-TS302E</v>
          </cell>
          <cell r="D1282">
            <v>1</v>
          </cell>
          <cell r="E1282" t="str">
            <v>WC RBI G34-5MF +R PUSH HE SLD BLK</v>
          </cell>
        </row>
        <row r="1283">
          <cell r="B1283" t="str">
            <v>XMG34R-5MF(TSP)</v>
          </cell>
          <cell r="C1283" t="str">
            <v>WUBG345I-TSP02E</v>
          </cell>
          <cell r="D1283">
            <v>1</v>
          </cell>
          <cell r="E1283" t="str">
            <v>WC RBI G34-5MF +R PLUG SLD BLK</v>
          </cell>
        </row>
        <row r="1284">
          <cell r="B1284" t="str">
            <v>XMG34R-5STD</v>
          </cell>
          <cell r="C1284" t="str">
            <v>WUBG345I-CPP02E</v>
          </cell>
          <cell r="D1284">
            <v>1</v>
          </cell>
          <cell r="E1284" t="str">
            <v>WC RBI G34-5MF +R PLUG CP BLK</v>
          </cell>
        </row>
        <row r="1285">
          <cell r="B1285" t="str">
            <v>XMG34R-6MF</v>
          </cell>
          <cell r="C1285" t="str">
            <v>WUBG346I-CP302E</v>
          </cell>
          <cell r="D1285">
            <v>1</v>
          </cell>
          <cell r="E1285" t="str">
            <v>AB PP WC RBI-MGOLD G34-650MF AUTO +R</v>
          </cell>
        </row>
        <row r="1286">
          <cell r="B1286" t="str">
            <v>XMG34R-6MF(TSH)</v>
          </cell>
          <cell r="C1286" t="str">
            <v>WUBG346I-TS302E</v>
          </cell>
          <cell r="D1286">
            <v>1</v>
          </cell>
          <cell r="E1286" t="str">
            <v>AB PP WC RBI-DS G34R-6MF TLY-SLD H.E.+R</v>
          </cell>
        </row>
        <row r="1287">
          <cell r="B1287" t="str">
            <v>XMG34R-6MF(TSP)</v>
          </cell>
          <cell r="C1287" t="str">
            <v>WUBG346I-TSP02E</v>
          </cell>
          <cell r="D1287">
            <v>1</v>
          </cell>
          <cell r="E1287" t="str">
            <v>AB PP WC RBI-DS G34R-6MF TLY-SLD PLUG +R</v>
          </cell>
        </row>
        <row r="1288">
          <cell r="B1288" t="str">
            <v>XMG34R-6STD</v>
          </cell>
          <cell r="C1288" t="str">
            <v>WUBG346I-CPP02E</v>
          </cell>
          <cell r="D1288">
            <v>1</v>
          </cell>
          <cell r="E1288" t="str">
            <v>AB PP WC RBI-MGOLD G34-650 AUTO +R</v>
          </cell>
        </row>
        <row r="1289">
          <cell r="B1289" t="str">
            <v>XMG35-5MF</v>
          </cell>
          <cell r="C1289" t="str">
            <v>WUBG355I-CP302E</v>
          </cell>
          <cell r="D1289">
            <v>1</v>
          </cell>
          <cell r="E1289" t="str">
            <v>AB PP WC RBI G35 MF CP +R AUTO 520CCA</v>
          </cell>
        </row>
        <row r="1290">
          <cell r="B1290" t="str">
            <v>XMG35-5MF(TSH)</v>
          </cell>
          <cell r="C1290" t="str">
            <v>WUBG355I-TS302E</v>
          </cell>
          <cell r="D1290">
            <v>1</v>
          </cell>
          <cell r="E1290" t="str">
            <v>AB PP WC RBI G35 TLY-SLD HEYE +R AUTO</v>
          </cell>
        </row>
        <row r="1291">
          <cell r="B1291" t="str">
            <v>XMG35-5MF(TSP)</v>
          </cell>
          <cell r="C1291" t="str">
            <v>WUBG355I-TSP02E</v>
          </cell>
          <cell r="D1291">
            <v>1</v>
          </cell>
          <cell r="E1291" t="str">
            <v>AB PP WC RBI/DS G35-5MF TLY-SLD PLUG +R</v>
          </cell>
        </row>
        <row r="1292">
          <cell r="B1292" t="str">
            <v>XMG35-5STD</v>
          </cell>
          <cell r="C1292" t="str">
            <v>WUBG355I-CPP02E</v>
          </cell>
          <cell r="D1292">
            <v>1</v>
          </cell>
          <cell r="E1292" t="str">
            <v>AB PP WC RBI G35 CP PLUG +L AUTO 520CCA</v>
          </cell>
        </row>
        <row r="1293">
          <cell r="B1293" t="str">
            <v>XMG35-6MF(TSP)</v>
          </cell>
          <cell r="C1293" t="str">
            <v>WUBG356I-TSP02E</v>
          </cell>
          <cell r="D1293">
            <v>1</v>
          </cell>
          <cell r="E1293" t="str">
            <v>AB PP WC RBI G35-6MF +R TLY-SLD PLUG</v>
          </cell>
        </row>
        <row r="1294">
          <cell r="B1294" t="str">
            <v>XMG35-6STD</v>
          </cell>
          <cell r="C1294" t="str">
            <v>WUBG356I-CPP02E</v>
          </cell>
          <cell r="D1294">
            <v>1</v>
          </cell>
          <cell r="E1294" t="str">
            <v>AB PP WC RBI G35-6MF +R CP/LP PLUG</v>
          </cell>
        </row>
        <row r="1295">
          <cell r="B1295" t="str">
            <v>XMG4-1000</v>
          </cell>
          <cell r="C1295" t="str">
            <v>WUBGR4ZI-CPN02E</v>
          </cell>
          <cell r="D1295">
            <v>1</v>
          </cell>
          <cell r="E1295" t="str">
            <v>AB PP WC RBI-MGOLD G4-1000</v>
          </cell>
        </row>
        <row r="1296">
          <cell r="B1296" t="str">
            <v>XMG42-3MF</v>
          </cell>
          <cell r="C1296" t="str">
            <v>WUBN55AI-TS202E</v>
          </cell>
          <cell r="D1296">
            <v>1</v>
          </cell>
          <cell r="E1296" t="str">
            <v>AB PP WC XM-RBI G42-3 DIN55 MF +R</v>
          </cell>
        </row>
        <row r="1297">
          <cell r="B1297" t="str">
            <v>XMG42-4MF</v>
          </cell>
          <cell r="C1297" t="str">
            <v>WUBN55CI-TS202E</v>
          </cell>
          <cell r="D1297">
            <v>1</v>
          </cell>
          <cell r="E1297" t="str">
            <v>AB PP WC XM-RBI G42-4 DIN55 MF +R</v>
          </cell>
        </row>
        <row r="1298">
          <cell r="B1298" t="str">
            <v>XMG4-800</v>
          </cell>
          <cell r="C1298" t="str">
            <v>WUBGR48I-CPN02E</v>
          </cell>
          <cell r="D1298">
            <v>1</v>
          </cell>
          <cell r="E1298" t="str">
            <v>AB PP WC RBI-MGOLD G4-800</v>
          </cell>
        </row>
        <row r="1299">
          <cell r="B1299" t="str">
            <v>XMG4-900</v>
          </cell>
          <cell r="C1299" t="str">
            <v>WUBGR49I-CPN02E</v>
          </cell>
          <cell r="D1299">
            <v>1</v>
          </cell>
          <cell r="E1299" t="str">
            <v>AB PP WC G4 6V 900 CCA</v>
          </cell>
        </row>
        <row r="1300">
          <cell r="B1300" t="str">
            <v>XMG51-4</v>
          </cell>
          <cell r="C1300" t="str">
            <v>WUBB244E-CP302E</v>
          </cell>
          <cell r="D1300">
            <v>1</v>
          </cell>
          <cell r="E1300" t="str">
            <v>AB PP WC RBI-MGOLD G51 STD +L</v>
          </cell>
        </row>
        <row r="1301">
          <cell r="B1301" t="str">
            <v>XMG51-4MF(TSH)</v>
          </cell>
          <cell r="C1301" t="str">
            <v>WUBB244E-TS302E</v>
          </cell>
          <cell r="D1301">
            <v>1</v>
          </cell>
          <cell r="E1301" t="str">
            <v>AB PP WC RBI G51-4MF TLY-SLD W HEYE</v>
          </cell>
        </row>
        <row r="1302">
          <cell r="B1302" t="str">
            <v>XMG51-4MF(TSP)</v>
          </cell>
          <cell r="C1302" t="str">
            <v>WUBB244E-TSP02E</v>
          </cell>
          <cell r="D1302">
            <v>1</v>
          </cell>
          <cell r="E1302" t="str">
            <v>AB PP WC RBI G51-4MF TLY-SLD PLUG</v>
          </cell>
        </row>
        <row r="1303">
          <cell r="B1303" t="str">
            <v>XMG51R-4</v>
          </cell>
          <cell r="C1303" t="str">
            <v>WUBB244I-CP302E</v>
          </cell>
          <cell r="D1303">
            <v>1</v>
          </cell>
          <cell r="E1303" t="str">
            <v>AB PP WC RBI-MGOLD G51R STD +R</v>
          </cell>
        </row>
        <row r="1304">
          <cell r="B1304" t="str">
            <v>XMG51R-4MF(TSH)</v>
          </cell>
          <cell r="C1304" t="str">
            <v>WUBB244I-TS302E</v>
          </cell>
          <cell r="D1304">
            <v>1</v>
          </cell>
          <cell r="E1304" t="str">
            <v>AB PP WC RBI G51R-4MF TLY-SLD W HEYE</v>
          </cell>
        </row>
        <row r="1305">
          <cell r="B1305" t="str">
            <v>XMG51R-4MF(TSP)</v>
          </cell>
          <cell r="C1305" t="str">
            <v>WUBB244I-TSP02E</v>
          </cell>
          <cell r="D1305">
            <v>1</v>
          </cell>
          <cell r="E1305" t="str">
            <v>AB PP WC RBI G51R-4MF TLY-SLD PLUG</v>
          </cell>
        </row>
        <row r="1306">
          <cell r="B1306" t="str">
            <v>XMG58-4MF(TSH)</v>
          </cell>
          <cell r="C1306" t="str">
            <v>WUBG584R-TS302E</v>
          </cell>
          <cell r="D1306">
            <v>1</v>
          </cell>
          <cell r="E1306" t="str">
            <v>AB PP WC RBI-DS G58-4MF TLY-SLD H.E. +L</v>
          </cell>
        </row>
        <row r="1307">
          <cell r="B1307" t="str">
            <v>XMG58-4MF(TSP)</v>
          </cell>
          <cell r="C1307" t="str">
            <v>WUBG584R-TSP02E</v>
          </cell>
          <cell r="D1307">
            <v>1</v>
          </cell>
          <cell r="E1307" t="str">
            <v>AB PP WC RBI-DS G58-4MF TLY-SLD PLUG +L</v>
          </cell>
        </row>
        <row r="1308">
          <cell r="B1308" t="str">
            <v>XMG58-5MF(TSH)</v>
          </cell>
          <cell r="C1308" t="str">
            <v>WUBG585R-TS302E</v>
          </cell>
          <cell r="D1308">
            <v>1</v>
          </cell>
          <cell r="E1308" t="str">
            <v>AB PP WC RBI-DS G58-5MF TLY-SLD H.E. +L</v>
          </cell>
        </row>
        <row r="1309">
          <cell r="B1309" t="str">
            <v>XMG58-5MF(TSP)</v>
          </cell>
          <cell r="C1309" t="str">
            <v>WUBG585R-TSP02E</v>
          </cell>
          <cell r="D1309">
            <v>1</v>
          </cell>
          <cell r="E1309" t="str">
            <v>AB PP WC RBI-DS G58-5MF TLY-SLD PLUG +L</v>
          </cell>
        </row>
        <row r="1310">
          <cell r="B1310" t="str">
            <v>XMG58R-4MF</v>
          </cell>
          <cell r="C1310" t="str">
            <v>WUBG584I-CP302E</v>
          </cell>
          <cell r="D1310">
            <v>1</v>
          </cell>
          <cell r="E1310" t="str">
            <v>AB PP WC G58-4MF CP +R HEYE AUTO</v>
          </cell>
        </row>
        <row r="1311">
          <cell r="B1311" t="str">
            <v>XMG58R-4MF(TSH)</v>
          </cell>
          <cell r="C1311" t="str">
            <v>WUBG584I-TS302E</v>
          </cell>
          <cell r="D1311">
            <v>1</v>
          </cell>
          <cell r="E1311" t="str">
            <v>AB PP WC RBI/DS G58-4MF TTLY-SLD H-E +R</v>
          </cell>
        </row>
        <row r="1312">
          <cell r="B1312" t="str">
            <v>XMG58R-4MF(TSP)</v>
          </cell>
          <cell r="C1312" t="str">
            <v>WUBG584I-TSP02E</v>
          </cell>
          <cell r="D1312">
            <v>1</v>
          </cell>
          <cell r="E1312" t="str">
            <v>AB PP WC RBI/DS G58-4MF TTLY-SLD PLUG +R</v>
          </cell>
        </row>
        <row r="1313">
          <cell r="B1313" t="str">
            <v>XMG58R-4STD</v>
          </cell>
          <cell r="C1313" t="str">
            <v>WUBG584I-CPP02E</v>
          </cell>
          <cell r="D1313">
            <v>1</v>
          </cell>
          <cell r="E1313" t="str">
            <v>AB PP WC G58-4MF CP +R PLUG AUTO</v>
          </cell>
        </row>
        <row r="1314">
          <cell r="B1314" t="str">
            <v>XMG58R-5MF</v>
          </cell>
          <cell r="C1314" t="str">
            <v>WUBG585I-CP302E</v>
          </cell>
          <cell r="D1314">
            <v>1</v>
          </cell>
          <cell r="E1314" t="str">
            <v>AB PP WC G58-5MF CP +R HEYE AUTO</v>
          </cell>
        </row>
        <row r="1315">
          <cell r="B1315" t="str">
            <v>XMG58R-5MF(TSH)</v>
          </cell>
          <cell r="C1315" t="str">
            <v>WUBG585I-TS302E</v>
          </cell>
          <cell r="D1315">
            <v>1</v>
          </cell>
          <cell r="E1315" t="str">
            <v>AB PP WC RBI/DS G58-5MF TTLY-SLD H-E +R</v>
          </cell>
        </row>
        <row r="1316">
          <cell r="B1316" t="str">
            <v>XMG58R-5MF(TSP)</v>
          </cell>
          <cell r="C1316" t="str">
            <v>WUBG585I-TSP02E</v>
          </cell>
          <cell r="D1316">
            <v>1</v>
          </cell>
          <cell r="E1316" t="str">
            <v>AB PP WC RBI/DS G58-5MF TTLY-SLD PLUG +R</v>
          </cell>
        </row>
        <row r="1317">
          <cell r="B1317" t="str">
            <v>XMG65-6MF</v>
          </cell>
          <cell r="C1317" t="str">
            <v>WUBG656E-CP302E</v>
          </cell>
          <cell r="D1317">
            <v>1</v>
          </cell>
          <cell r="E1317" t="str">
            <v>AB PP WC RBI-MGOLD G65-650MF AUTO +L</v>
          </cell>
        </row>
        <row r="1318">
          <cell r="B1318" t="str">
            <v>XMG65-6MF(TSH)</v>
          </cell>
          <cell r="C1318" t="str">
            <v>WUBG656R-TS302E</v>
          </cell>
          <cell r="D1318">
            <v>1</v>
          </cell>
          <cell r="E1318" t="str">
            <v>AB PP WC RBI/DS G65-6MF TLY-SLD H-E +L</v>
          </cell>
        </row>
        <row r="1319">
          <cell r="B1319" t="str">
            <v>XMG65-6MF(TSP)</v>
          </cell>
          <cell r="C1319" t="str">
            <v>WUBG656R-TSP02E</v>
          </cell>
          <cell r="D1319">
            <v>1</v>
          </cell>
          <cell r="E1319" t="str">
            <v>AB PP WC RBI/DS G65-6MF TLY-SLD PLUG +L</v>
          </cell>
        </row>
        <row r="1320">
          <cell r="B1320" t="str">
            <v>XMG65-6STD</v>
          </cell>
          <cell r="C1320" t="str">
            <v>WUBG656E-CPP02E</v>
          </cell>
          <cell r="D1320">
            <v>1</v>
          </cell>
          <cell r="E1320" t="str">
            <v>AB PP WC RBI-MGOLD G65-650 AUTO +L</v>
          </cell>
        </row>
        <row r="1321">
          <cell r="B1321" t="str">
            <v>XMG65-8MF</v>
          </cell>
          <cell r="C1321" t="str">
            <v>WUBG658E-CP302E</v>
          </cell>
          <cell r="D1321">
            <v>1</v>
          </cell>
          <cell r="E1321" t="str">
            <v>AB PP WC RBI-MGOLD G65-800MF AUTO +L</v>
          </cell>
        </row>
        <row r="1322">
          <cell r="B1322" t="str">
            <v>XMG65-8MF(TSH)</v>
          </cell>
          <cell r="C1322" t="str">
            <v>WUBG658E-TS302E</v>
          </cell>
          <cell r="D1322">
            <v>1</v>
          </cell>
          <cell r="E1322" t="str">
            <v>AB PP WC RBI/DS G65-8MF TLY-SLD H-E +L</v>
          </cell>
        </row>
        <row r="1323">
          <cell r="B1323" t="str">
            <v>XMG65-8MF(TSP)</v>
          </cell>
          <cell r="C1323" t="str">
            <v>WUBG658E-TSP02E</v>
          </cell>
          <cell r="D1323">
            <v>1</v>
          </cell>
          <cell r="E1323" t="str">
            <v>AB PP WC RBI/DS G65-8MF TLY-SLD PLUG +L</v>
          </cell>
        </row>
        <row r="1324">
          <cell r="B1324" t="str">
            <v>XMG65-8STD</v>
          </cell>
          <cell r="C1324" t="str">
            <v>WUBG658E-CPP02E</v>
          </cell>
          <cell r="D1324">
            <v>1</v>
          </cell>
          <cell r="E1324" t="str">
            <v>AB PP WC RBI-MGOLD G65-800 AUTO +L</v>
          </cell>
        </row>
        <row r="1325">
          <cell r="B1325" t="str">
            <v>XMG75-5MF</v>
          </cell>
          <cell r="C1325" t="str">
            <v>WUBG755S-CP302E</v>
          </cell>
          <cell r="D1325">
            <v>1</v>
          </cell>
          <cell r="E1325" t="str">
            <v>AB PP WC RBI-MGOLD G75-520MF ST +L</v>
          </cell>
        </row>
        <row r="1326">
          <cell r="B1326" t="str">
            <v>XMG75-5MF(TSH)</v>
          </cell>
          <cell r="C1326" t="str">
            <v>WUBG755S-TS302E</v>
          </cell>
          <cell r="D1326">
            <v>1</v>
          </cell>
          <cell r="E1326" t="str">
            <v>AB PP WC RBI/DS G75-5MF TLY-SLD H.E. +L</v>
          </cell>
        </row>
        <row r="1327">
          <cell r="B1327" t="str">
            <v>XMG75-5MF(TSP)</v>
          </cell>
          <cell r="C1327" t="str">
            <v>WUBG755S-TSP02E</v>
          </cell>
          <cell r="D1327">
            <v>1</v>
          </cell>
          <cell r="E1327" t="str">
            <v>AB PP WC RBI/DS G75-5MF TLY-SLD PLUG +L</v>
          </cell>
        </row>
        <row r="1328">
          <cell r="B1328" t="str">
            <v>XMG75-5STD</v>
          </cell>
          <cell r="C1328" t="str">
            <v>WUBG755S-CPP02E</v>
          </cell>
          <cell r="D1328">
            <v>1</v>
          </cell>
          <cell r="E1328" t="str">
            <v>AB PP WC RBI-MGOLD G75-520 ST +L</v>
          </cell>
        </row>
        <row r="1329">
          <cell r="B1329" t="str">
            <v>XMG75-6MF</v>
          </cell>
          <cell r="C1329" t="str">
            <v>WUBG756S-CP302E</v>
          </cell>
          <cell r="D1329">
            <v>1</v>
          </cell>
          <cell r="E1329" t="str">
            <v>AB PP WC RBI-MGOLD G75-600MF ST +L</v>
          </cell>
        </row>
        <row r="1330">
          <cell r="B1330" t="str">
            <v>XMG75-6MF(TSH)</v>
          </cell>
          <cell r="C1330" t="str">
            <v>WUBG756S-TS302E</v>
          </cell>
          <cell r="D1330">
            <v>1</v>
          </cell>
          <cell r="E1330" t="str">
            <v>AB PP WC RBI/DS G75-6MF TLY-SLD H.E. +L</v>
          </cell>
        </row>
        <row r="1331">
          <cell r="B1331" t="str">
            <v>XMG75-6MF(TSP)</v>
          </cell>
          <cell r="C1331" t="str">
            <v>WUBG756S-TSP02E</v>
          </cell>
          <cell r="D1331">
            <v>1</v>
          </cell>
          <cell r="E1331" t="str">
            <v>AB PP WC RBI/DS G75-6MF TLY-SLD PLUG +L</v>
          </cell>
        </row>
        <row r="1332">
          <cell r="B1332" t="str">
            <v>XMG75-6STD</v>
          </cell>
          <cell r="C1332" t="str">
            <v>WUBG756S-CPP02E</v>
          </cell>
          <cell r="D1332">
            <v>1</v>
          </cell>
          <cell r="E1332" t="str">
            <v>AB PP WC RBI-MGOLD G75-600 ST +L</v>
          </cell>
        </row>
        <row r="1333">
          <cell r="B1333" t="str">
            <v>XMG78-5MF</v>
          </cell>
          <cell r="C1333" t="str">
            <v>WUBG785S-CP302E</v>
          </cell>
          <cell r="D1333">
            <v>1</v>
          </cell>
          <cell r="E1333" t="str">
            <v>AB PP WC G78-5MF CP +L HEYE SIDE TER</v>
          </cell>
        </row>
        <row r="1334">
          <cell r="B1334" t="str">
            <v>XMG78-5MF(TSH)</v>
          </cell>
          <cell r="C1334" t="str">
            <v>WUBG785S-TS302E</v>
          </cell>
          <cell r="D1334">
            <v>1</v>
          </cell>
          <cell r="E1334" t="str">
            <v>AB PP WC RBI G78-5MF +L TLY-SLD W HEYE</v>
          </cell>
        </row>
        <row r="1335">
          <cell r="B1335" t="str">
            <v>XMG78-5MF(TSP)</v>
          </cell>
          <cell r="C1335" t="str">
            <v>WUBG785S-TSP02E</v>
          </cell>
          <cell r="D1335">
            <v>1</v>
          </cell>
          <cell r="E1335" t="str">
            <v>AB PP WC RBI G78-5MF +L TLY-SLD PLUG</v>
          </cell>
        </row>
        <row r="1336">
          <cell r="B1336" t="str">
            <v>XMG78-5STD</v>
          </cell>
          <cell r="C1336" t="str">
            <v>WUBG785S-CPP02E</v>
          </cell>
          <cell r="D1336">
            <v>1</v>
          </cell>
          <cell r="E1336" t="str">
            <v>AB PP WC G78-5MF CP +L PLUG SIDE TER</v>
          </cell>
        </row>
        <row r="1337">
          <cell r="B1337" t="str">
            <v>XMG78-6MF</v>
          </cell>
          <cell r="C1337" t="str">
            <v>WUBG786S-CP302E</v>
          </cell>
          <cell r="D1337">
            <v>1</v>
          </cell>
          <cell r="E1337" t="str">
            <v>AB PP WC RBI-MGOLD G78-650MF ST +L</v>
          </cell>
        </row>
        <row r="1338">
          <cell r="B1338" t="str">
            <v>XMG78-6MF(TSH)</v>
          </cell>
          <cell r="C1338" t="str">
            <v>WUBG786S-TS302E</v>
          </cell>
          <cell r="D1338">
            <v>1</v>
          </cell>
          <cell r="E1338" t="str">
            <v>AB PP WC RBI-DS G78-6MF TLY-SLD H.E.</v>
          </cell>
        </row>
        <row r="1339">
          <cell r="B1339" t="str">
            <v>XMG78-6MF(TSP)</v>
          </cell>
          <cell r="C1339" t="str">
            <v>WUBG786S-TSP02E</v>
          </cell>
          <cell r="D1339">
            <v>1</v>
          </cell>
          <cell r="E1339" t="str">
            <v>AB PP WC RBI-DS G78-6MF TLY-SLD PLUG</v>
          </cell>
        </row>
        <row r="1340">
          <cell r="B1340" t="str">
            <v>XMG78-6STD</v>
          </cell>
          <cell r="C1340" t="str">
            <v>WUBG786S-CPP02E</v>
          </cell>
          <cell r="D1340">
            <v>1</v>
          </cell>
          <cell r="E1340" t="str">
            <v>AB PP WC RBI-MGOLD G78-650 ST +L</v>
          </cell>
        </row>
        <row r="1341">
          <cell r="B1341" t="str">
            <v>XMG78-8MF(TSH)</v>
          </cell>
          <cell r="C1341" t="str">
            <v>WUBG788S-TS302E</v>
          </cell>
          <cell r="D1341">
            <v>1</v>
          </cell>
          <cell r="E1341" t="str">
            <v>AB PP WC RBI-DS G78-8 TLY-SLD HEYE +L</v>
          </cell>
        </row>
        <row r="1342">
          <cell r="B1342" t="str">
            <v>XMG78-8MF(TSP)</v>
          </cell>
          <cell r="C1342" t="str">
            <v>WUBG788S-TSP02E</v>
          </cell>
          <cell r="D1342">
            <v>1</v>
          </cell>
          <cell r="E1342" t="str">
            <v>AB PP WC RBI-DS G78-8 TLY-SLD PLUG +L</v>
          </cell>
        </row>
        <row r="1343">
          <cell r="B1343" t="str">
            <v>XMG91-6MF</v>
          </cell>
          <cell r="C1343" t="str">
            <v>WUBN66DI-TS202E</v>
          </cell>
          <cell r="D1343">
            <v>1</v>
          </cell>
          <cell r="E1343" t="str">
            <v>AB PP WC XM-RBI G91-6 DIN66 MF +R</v>
          </cell>
        </row>
        <row r="1344">
          <cell r="B1344" t="str">
            <v>XMG93-7MF</v>
          </cell>
          <cell r="C1344" t="str">
            <v>WUBN88CI-TS202E</v>
          </cell>
          <cell r="D1344">
            <v>1</v>
          </cell>
          <cell r="E1344" t="str">
            <v>AB PP WC RBI G93-MF 780-A +R (DIN88)</v>
          </cell>
        </row>
        <row r="1345">
          <cell r="B1345" t="str">
            <v>XMGC2-17S</v>
          </cell>
          <cell r="C1345" t="str">
            <v>WUBGC2SF-SPN02E</v>
          </cell>
          <cell r="D1345">
            <v>1</v>
          </cell>
          <cell r="E1345" t="str">
            <v>AB PP WC RBI-MGOLD GC2-17S</v>
          </cell>
        </row>
        <row r="1346">
          <cell r="B1346" t="str">
            <v>XMGC2-19S</v>
          </cell>
          <cell r="C1346" t="str">
            <v>WUBGC2TF-SPN02E</v>
          </cell>
          <cell r="D1346">
            <v>1</v>
          </cell>
          <cell r="E1346" t="str">
            <v>AB PP WC RBI-MGOLD GC2-19S</v>
          </cell>
        </row>
        <row r="1347">
          <cell r="B1347" t="str">
            <v>XMGC2-6V-20S</v>
          </cell>
          <cell r="C1347" t="str">
            <v>WUBGC2UF-SPN02E</v>
          </cell>
          <cell r="D1347">
            <v>1</v>
          </cell>
          <cell r="E1347" t="str">
            <v>AB PP WC GC2 6V 20PPC SPL TERMINAL</v>
          </cell>
        </row>
        <row r="1348">
          <cell r="B1348" t="str">
            <v>XMGC2-8V(13PPC)</v>
          </cell>
          <cell r="C1348" t="str">
            <v>WUBGC8RF-SPN02E</v>
          </cell>
          <cell r="D1348">
            <v>1</v>
          </cell>
          <cell r="E1348" t="str">
            <v>PP RBI GC2-8V(13PPC) WET CHARGED</v>
          </cell>
        </row>
        <row r="1349">
          <cell r="B1349" t="str">
            <v>XMN200P</v>
          </cell>
          <cell r="C1349" t="str">
            <v>WSPH52WL-SPN10E</v>
          </cell>
          <cell r="D1349">
            <v>1</v>
          </cell>
          <cell r="E1349" t="str">
            <v>AB PP DRY TO WET SUPER POWER RUSSIA N200</v>
          </cell>
        </row>
        <row r="1350">
          <cell r="B1350" t="str">
            <v>XYB24ALS-P</v>
          </cell>
          <cell r="C1350" t="str">
            <v>WXYB24BL-TS300L</v>
          </cell>
          <cell r="D1350">
            <v>1</v>
          </cell>
          <cell r="E1350" t="str">
            <v>AB PP WC XY IMPORT SUB B24 +R</v>
          </cell>
        </row>
        <row r="1351">
          <cell r="B1351" t="str">
            <v>XYB24BLS-P</v>
          </cell>
          <cell r="C1351" t="str">
            <v>WXYB24DL-TS300L</v>
          </cell>
          <cell r="D1351">
            <v>1</v>
          </cell>
          <cell r="E1351" t="str">
            <v>AB PP WC XY B24 +R</v>
          </cell>
        </row>
        <row r="1352">
          <cell r="B1352" t="str">
            <v>XYB24BRS-P</v>
          </cell>
          <cell r="C1352" t="str">
            <v>WXYB24BR-TS300L</v>
          </cell>
          <cell r="D1352">
            <v>1</v>
          </cell>
          <cell r="E1352" t="str">
            <v>AB PP WC XY B24 +L</v>
          </cell>
        </row>
        <row r="1353">
          <cell r="B1353" t="str">
            <v>XYD26AL-P</v>
          </cell>
          <cell r="C1353" t="str">
            <v>WXYD26BL-TS300L</v>
          </cell>
          <cell r="D1353">
            <v>1</v>
          </cell>
          <cell r="E1353" t="str">
            <v>AB PP WC XY N50/2SM +R</v>
          </cell>
        </row>
        <row r="1354">
          <cell r="B1354" t="str">
            <v>XYD26BL-P</v>
          </cell>
          <cell r="C1354" t="str">
            <v>WXYD26CL-TS300L</v>
          </cell>
          <cell r="D1354">
            <v>1</v>
          </cell>
          <cell r="E1354" t="str">
            <v>AB PP WC XY N50/2SM +R</v>
          </cell>
        </row>
        <row r="1355">
          <cell r="B1355" t="str">
            <v>XYD26BR-P</v>
          </cell>
          <cell r="C1355" t="str">
            <v>WXYD26CR-TS300L</v>
          </cell>
          <cell r="D1355">
            <v>1</v>
          </cell>
          <cell r="E1355" t="str">
            <v>AB PP WC XY N50/2SM +L</v>
          </cell>
        </row>
        <row r="1356">
          <cell r="B1356" t="str">
            <v>XYD31AL-P</v>
          </cell>
          <cell r="C1356" t="str">
            <v>WXYD31AL-TS300L</v>
          </cell>
          <cell r="D1356">
            <v>1</v>
          </cell>
          <cell r="E1356" t="str">
            <v>AB PP WC XY N70/3SM +R</v>
          </cell>
        </row>
        <row r="1357">
          <cell r="B1357" t="str">
            <v>XYD31AR-P</v>
          </cell>
          <cell r="C1357" t="str">
            <v>WXYD31AR-TS300L</v>
          </cell>
          <cell r="D1357">
            <v>1</v>
          </cell>
          <cell r="E1357" t="str">
            <v>AB PP WC XY N70/3SM +L</v>
          </cell>
        </row>
        <row r="1358">
          <cell r="B1358" t="str">
            <v>XYD31BL-P</v>
          </cell>
          <cell r="C1358" t="str">
            <v>WXYD31CL-TS300L</v>
          </cell>
          <cell r="D1358">
            <v>1</v>
          </cell>
          <cell r="E1358" t="str">
            <v>AB PP WC XY N70/3SM +R</v>
          </cell>
        </row>
        <row r="1359">
          <cell r="B1359" t="str">
            <v>XYD31BR-P</v>
          </cell>
          <cell r="C1359" t="str">
            <v>WXYD31CR-TS300L</v>
          </cell>
          <cell r="D1359">
            <v>1</v>
          </cell>
          <cell r="E1359" t="str">
            <v>AB PP WC D31/N70 +L</v>
          </cell>
        </row>
        <row r="1360">
          <cell r="B1360" t="str">
            <v>XYDIN55-P</v>
          </cell>
          <cell r="C1360" t="str">
            <v>WXYN55EL-TS100L</v>
          </cell>
          <cell r="D1360">
            <v>1</v>
          </cell>
          <cell r="E1360" t="str">
            <v>AB PP WC XY-IMPORT SUBS DIN55  +R</v>
          </cell>
        </row>
        <row r="1361">
          <cell r="B1361" t="str">
            <v>XYDIN66-P</v>
          </cell>
          <cell r="C1361" t="str">
            <v>WXYN66CL-TS100L</v>
          </cell>
          <cell r="D1361">
            <v>1</v>
          </cell>
          <cell r="E1361" t="str">
            <v>AB PP WC XY-IMPORT SUBS DIN66  +R</v>
          </cell>
        </row>
        <row r="1362">
          <cell r="B1362" t="str">
            <v>XYDIN88-P</v>
          </cell>
          <cell r="C1362" t="str">
            <v>WXYN88BL-TS100L</v>
          </cell>
          <cell r="D1362">
            <v>1</v>
          </cell>
          <cell r="E1362" t="str">
            <v>AB PP WC XY-IMPORT SUBS DIN88  +R</v>
          </cell>
        </row>
        <row r="1363">
          <cell r="B1363" t="str">
            <v>XYG31S-9MF</v>
          </cell>
          <cell r="C1363" t="str">
            <v>WXYB31ET-TS300L</v>
          </cell>
          <cell r="D1363">
            <v>1</v>
          </cell>
          <cell r="E1363" t="str">
            <v>AB PP GP XY IMPORT SUB G31S-9MF</v>
          </cell>
        </row>
        <row r="1364">
          <cell r="B1364" t="str">
            <v>XYG34/78-6MF</v>
          </cell>
          <cell r="C1364" t="str">
            <v>WXYD78CD-TS300L</v>
          </cell>
          <cell r="D1364">
            <v>1</v>
          </cell>
          <cell r="E1364" t="str">
            <v>AB PP WC XY G34/78-6 +R</v>
          </cell>
        </row>
        <row r="1365">
          <cell r="B1365" t="str">
            <v>XYG65-6MF</v>
          </cell>
          <cell r="C1365" t="str">
            <v>WXYG65ER-TS300L</v>
          </cell>
          <cell r="D1365">
            <v>1</v>
          </cell>
          <cell r="E1365" t="str">
            <v>AB PP WC XY IMPORT SUB G65-6MF</v>
          </cell>
        </row>
        <row r="1366">
          <cell r="B1366" t="str">
            <v>XZB24BLS-P</v>
          </cell>
          <cell r="C1366" t="str">
            <v>WXZB24BL-TS300L</v>
          </cell>
          <cell r="D1366">
            <v>1</v>
          </cell>
          <cell r="E1366" t="str">
            <v>AB PP WC XZ-IMPORT SUBS B24 AUTO +R</v>
          </cell>
        </row>
        <row r="1367">
          <cell r="B1367" t="str">
            <v>XZD22CL-P</v>
          </cell>
          <cell r="C1367" t="str">
            <v>WXZD23DL-TS300L</v>
          </cell>
          <cell r="D1367">
            <v>1</v>
          </cell>
          <cell r="E1367" t="str">
            <v>AB PP WC XZ NS50/1SM +R</v>
          </cell>
        </row>
        <row r="1368">
          <cell r="B1368" t="str">
            <v>XZD26BL-P</v>
          </cell>
          <cell r="C1368" t="str">
            <v>WXZD26CL-TS300L</v>
          </cell>
          <cell r="D1368">
            <v>1</v>
          </cell>
          <cell r="E1368" t="str">
            <v>AB PP WC XZ N50/2SM +R</v>
          </cell>
        </row>
        <row r="1369">
          <cell r="B1369" t="str">
            <v>XZD26BR-P</v>
          </cell>
          <cell r="C1369" t="str">
            <v>WXZD26CR-TS300L</v>
          </cell>
          <cell r="D1369">
            <v>1</v>
          </cell>
          <cell r="E1369" t="str">
            <v>AB PP WC XZ N50/2SM +L</v>
          </cell>
        </row>
        <row r="1370">
          <cell r="B1370" t="str">
            <v>XZD31BL-P</v>
          </cell>
          <cell r="C1370" t="str">
            <v>WXZD31CL-TS300L</v>
          </cell>
          <cell r="D1370">
            <v>1</v>
          </cell>
          <cell r="E1370" t="str">
            <v>AB PP WC XZ N70/3SM +R</v>
          </cell>
        </row>
        <row r="1371">
          <cell r="B1371" t="str">
            <v>XZD31BR-P</v>
          </cell>
          <cell r="C1371" t="str">
            <v>WXZD31CR-TS300L</v>
          </cell>
          <cell r="D1371">
            <v>1</v>
          </cell>
          <cell r="E1371" t="str">
            <v>AB PP WC XZ N70/3SM +L</v>
          </cell>
        </row>
        <row r="1372">
          <cell r="B1372" t="str">
            <v>XZDIN55-P</v>
          </cell>
          <cell r="C1372" t="str">
            <v>WXZN55EL-TS100L</v>
          </cell>
          <cell r="D1372">
            <v>1</v>
          </cell>
          <cell r="E1372" t="str">
            <v>AB PP WC XZ DIN55 +R</v>
          </cell>
        </row>
        <row r="1373">
          <cell r="B1373" t="str">
            <v>XZDIN66-P</v>
          </cell>
          <cell r="C1373" t="str">
            <v>WXZN66CL-TS100L</v>
          </cell>
          <cell r="D1373">
            <v>1</v>
          </cell>
          <cell r="E1373" t="str">
            <v>AB PP WC XZ DIN66 +R</v>
          </cell>
        </row>
        <row r="1374">
          <cell r="B1374" t="str">
            <v>XZDIN88-P</v>
          </cell>
          <cell r="C1374" t="str">
            <v>WXZN88BL-TS100L</v>
          </cell>
          <cell r="D1374">
            <v>1</v>
          </cell>
          <cell r="E1374" t="str">
            <v>AB PP WC XZ DIN88 +R</v>
          </cell>
        </row>
        <row r="1375">
          <cell r="B1375" t="str">
            <v>XZNS40CLS-P</v>
          </cell>
          <cell r="C1375" t="str">
            <v>WXZB20BL-TS100L</v>
          </cell>
          <cell r="D1375">
            <v>1</v>
          </cell>
          <cell r="E1375" t="str">
            <v>AB PP WC XZ NS40 +R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IRN"/>
      <sheetName val="VERSION"/>
      <sheetName val="SCRATCH"/>
      <sheetName val="CODES"/>
      <sheetName val="BATTCODES"/>
      <sheetName val="WITHOUT PACKAGING"/>
      <sheetName val="WITH PACKAGING-FG"/>
      <sheetName val="OLD CODES FOR DELETION"/>
    </sheetNames>
    <sheetDataSet>
      <sheetData sheetId="0">
        <row r="4">
          <cell r="B4" t="str">
            <v>ACC24ALD-P</v>
          </cell>
          <cell r="C4" t="str">
            <v>EACC24BL-SPN00L</v>
          </cell>
          <cell r="D4">
            <v>1</v>
          </cell>
          <cell r="E4" t="str">
            <v>AB PP DC ACE C24 +R</v>
          </cell>
        </row>
        <row r="5">
          <cell r="B5" t="str">
            <v>ACD22ALD-P</v>
          </cell>
          <cell r="C5" t="str">
            <v>EACD23AL-SPN00L</v>
          </cell>
          <cell r="D5">
            <v>1</v>
          </cell>
          <cell r="E5" t="str">
            <v>AB PP DC ACE 1SMF/D22 +R</v>
          </cell>
        </row>
        <row r="6">
          <cell r="B6" t="str">
            <v>ACD26ALD-P</v>
          </cell>
          <cell r="C6" t="str">
            <v>EACD26AL-SPN00L</v>
          </cell>
          <cell r="D6">
            <v>1</v>
          </cell>
          <cell r="E6" t="str">
            <v>AB PP DC ACE 2SMF/D26 +R</v>
          </cell>
        </row>
        <row r="7">
          <cell r="B7" t="str">
            <v>ACD31ALD-P</v>
          </cell>
          <cell r="C7" t="str">
            <v>EACD31AL-SPN00L</v>
          </cell>
          <cell r="D7">
            <v>1</v>
          </cell>
          <cell r="E7" t="str">
            <v>AB PP DC ACE 3SMF/D31 +R</v>
          </cell>
        </row>
        <row r="8">
          <cell r="B8" t="str">
            <v>ACE41ALD-P</v>
          </cell>
          <cell r="C8" t="str">
            <v>EACE41AL-SPN00L</v>
          </cell>
          <cell r="D8">
            <v>1</v>
          </cell>
          <cell r="E8" t="str">
            <v>AB PP DC ACE-OMMC N100 +R AUTO</v>
          </cell>
        </row>
        <row r="9">
          <cell r="B9" t="str">
            <v>ACF51ALD-P</v>
          </cell>
          <cell r="C9" t="str">
            <v>EACF51BL-SPN00L</v>
          </cell>
          <cell r="D9">
            <v>1</v>
          </cell>
          <cell r="E9" t="str">
            <v>AB PP DC ACE 2D/F51AL +R</v>
          </cell>
        </row>
        <row r="10">
          <cell r="B10" t="str">
            <v>ACG51ALD-P</v>
          </cell>
          <cell r="C10" t="str">
            <v>EACG51AL-SPN00L</v>
          </cell>
          <cell r="D10">
            <v>1</v>
          </cell>
          <cell r="E10" t="str">
            <v>AB PP DC ACE G51 +R</v>
          </cell>
        </row>
        <row r="11">
          <cell r="B11" t="str">
            <v>ACH52ALD-P</v>
          </cell>
          <cell r="C11" t="str">
            <v>EACH52BL-SPN00L</v>
          </cell>
          <cell r="D11">
            <v>1</v>
          </cell>
          <cell r="E11" t="str">
            <v>AB PP DC ACE-OMMC N200 +R AUTO</v>
          </cell>
        </row>
        <row r="12">
          <cell r="B12" t="str">
            <v>AERON100P</v>
          </cell>
          <cell r="C12" t="str">
            <v>DUBE416R-SPN19E</v>
          </cell>
          <cell r="D12">
            <v>1</v>
          </cell>
          <cell r="E12" t="str">
            <v>AB PP DC AERO-JAPAN N100 +L</v>
          </cell>
        </row>
        <row r="13">
          <cell r="B13" t="str">
            <v>AERON120P</v>
          </cell>
          <cell r="C13" t="str">
            <v>DUBF517L-SPN19E</v>
          </cell>
          <cell r="D13">
            <v>1</v>
          </cell>
          <cell r="E13" t="str">
            <v>AB PP DC UNBRANDED (AERO) N120P</v>
          </cell>
        </row>
        <row r="14">
          <cell r="B14" t="str">
            <v>AERON150P</v>
          </cell>
          <cell r="C14" t="str">
            <v>DUBG518L-SPN19E</v>
          </cell>
          <cell r="D14">
            <v>1</v>
          </cell>
          <cell r="E14" t="str">
            <v>AB PP DC UNBRANDED (AERO) N150P</v>
          </cell>
        </row>
        <row r="15">
          <cell r="B15" t="str">
            <v>AERON200P</v>
          </cell>
          <cell r="C15" t="str">
            <v>DUBH52YL-SPN19E</v>
          </cell>
          <cell r="D15">
            <v>1</v>
          </cell>
          <cell r="E15" t="str">
            <v>AB PP DC UNBRANDED (AERO) N200P</v>
          </cell>
        </row>
        <row r="16">
          <cell r="B16" t="str">
            <v>ARN70Z-MF-P</v>
          </cell>
          <cell r="C16" t="str">
            <v>WOYG27ER-CP320E</v>
          </cell>
          <cell r="D16">
            <v>1</v>
          </cell>
          <cell r="E16" t="str">
            <v>AB PP WC ARROW-INDIA N70Z AUTO +L</v>
          </cell>
        </row>
        <row r="17">
          <cell r="B17" t="str">
            <v>ARNS40ZL-MF-P</v>
          </cell>
          <cell r="C17" t="str">
            <v>WOYB20CB-CP120E</v>
          </cell>
          <cell r="D17">
            <v>1</v>
          </cell>
          <cell r="E17" t="str">
            <v>AB PP WC ARROW-INDIA NS40ZL JIS +R</v>
          </cell>
        </row>
        <row r="18">
          <cell r="B18" t="str">
            <v>ARNS40Z-MF-P</v>
          </cell>
          <cell r="C18" t="str">
            <v>WOYB20CA-CP120E</v>
          </cell>
          <cell r="D18">
            <v>1</v>
          </cell>
          <cell r="E18" t="str">
            <v>AB PP WC ARROW-INDIA NS40Z JIS +L</v>
          </cell>
        </row>
        <row r="19">
          <cell r="B19" t="str">
            <v>ARNS60ZLS-MF-P</v>
          </cell>
          <cell r="C19" t="str">
            <v>WOYB24DL-CP320E</v>
          </cell>
          <cell r="D19">
            <v>1</v>
          </cell>
          <cell r="E19" t="str">
            <v>AB PP WC ARROW-INDIA NS60ZLS AUTO +R</v>
          </cell>
        </row>
        <row r="20">
          <cell r="B20" t="str">
            <v>ARNS70L-MF-P</v>
          </cell>
          <cell r="C20" t="str">
            <v>WOYG24DL-CP320E</v>
          </cell>
          <cell r="D20">
            <v>1</v>
          </cell>
          <cell r="E20" t="str">
            <v>AB PP WC ARROW-INDIA NS70L AUTO +R</v>
          </cell>
        </row>
        <row r="21">
          <cell r="B21" t="str">
            <v>ARNS70-MF-P</v>
          </cell>
          <cell r="C21" t="str">
            <v>WOYG24DR-CP320E</v>
          </cell>
          <cell r="D21">
            <v>1</v>
          </cell>
          <cell r="E21" t="str">
            <v>AB PP WC ARROW-INDIA NS70 AUTO +L</v>
          </cell>
        </row>
        <row r="22">
          <cell r="B22" t="str">
            <v>ARNX120-MF-P</v>
          </cell>
          <cell r="C22" t="str">
            <v>WOYG27GR-CP320E</v>
          </cell>
          <cell r="D22">
            <v>1</v>
          </cell>
          <cell r="E22" t="str">
            <v>AB PP WC ARROW-INDIA NX120 AUTO +L</v>
          </cell>
        </row>
        <row r="23">
          <cell r="B23" t="str">
            <v>BB95D31LD-P</v>
          </cell>
          <cell r="C23" t="str">
            <v>DMCD31EL-SPN26E</v>
          </cell>
          <cell r="D23">
            <v>1</v>
          </cell>
          <cell r="E23" t="str">
            <v>AB PP DC BHATIA BROS.-UAE N70/D31 +R</v>
          </cell>
        </row>
        <row r="24">
          <cell r="B24" t="str">
            <v>BB95D31RD-P</v>
          </cell>
          <cell r="C24" t="str">
            <v>DMCD31ER-SPN26E</v>
          </cell>
          <cell r="D24">
            <v>1</v>
          </cell>
          <cell r="E24" t="str">
            <v>AB PP DC BHATIA BROS.-UAE N70/D31 +L</v>
          </cell>
        </row>
        <row r="25">
          <cell r="B25" t="str">
            <v>BBB20ALS-P</v>
          </cell>
          <cell r="C25" t="str">
            <v>WMGB20BB-TS126E</v>
          </cell>
          <cell r="D25">
            <v>1</v>
          </cell>
          <cell r="E25" t="str">
            <v>AB PP WC BHATIA BROS.-UAE NS40/B20 +R</v>
          </cell>
        </row>
        <row r="26">
          <cell r="B26" t="str">
            <v>BBD26ALD-P</v>
          </cell>
          <cell r="C26" t="str">
            <v>DMCD26DL-SPN26E</v>
          </cell>
          <cell r="D26">
            <v>1</v>
          </cell>
          <cell r="E26" t="str">
            <v>AB PP DC BHATIA-UAE D26 +R AUTO</v>
          </cell>
        </row>
        <row r="27">
          <cell r="B27" t="str">
            <v>BBD31ALD-P</v>
          </cell>
          <cell r="C27" t="str">
            <v>DMCD31CL-SPN26E</v>
          </cell>
          <cell r="D27">
            <v>1</v>
          </cell>
          <cell r="E27" t="str">
            <v>AB PP DC BHATIA-UAE D31 +R AUTO</v>
          </cell>
        </row>
        <row r="28">
          <cell r="B28" t="str">
            <v>BBD31ARD-P</v>
          </cell>
          <cell r="C28" t="str">
            <v>DMCD31CR-SPN26E</v>
          </cell>
          <cell r="D28">
            <v>1</v>
          </cell>
          <cell r="E28" t="str">
            <v>AB PP DC BHATIA-UAE D31 +L AUTO</v>
          </cell>
        </row>
        <row r="29">
          <cell r="B29" t="str">
            <v>BBE41BRD-P</v>
          </cell>
          <cell r="C29" t="str">
            <v>DMTE41CR-SPN26E</v>
          </cell>
          <cell r="D29">
            <v>1</v>
          </cell>
          <cell r="E29" t="str">
            <v>DELETED MATERIAL! DO NOT USE! DCN# 13705</v>
          </cell>
        </row>
        <row r="30">
          <cell r="B30" t="str">
            <v>BBMFN55-P</v>
          </cell>
          <cell r="C30" t="str">
            <v>WMGN55EL-TS126E</v>
          </cell>
          <cell r="D30">
            <v>1</v>
          </cell>
          <cell r="E30" t="str">
            <v>AB PP WC BHATIA BROS.-UAE DIN55 +R</v>
          </cell>
        </row>
        <row r="31">
          <cell r="B31" t="str">
            <v>BBMFN66-P</v>
          </cell>
          <cell r="C31" t="str">
            <v>WMGN66DL-TS126E</v>
          </cell>
          <cell r="D31">
            <v>1</v>
          </cell>
          <cell r="E31" t="str">
            <v>AB PP WC BHATIA BROS.-UAE DIN66 +R</v>
          </cell>
        </row>
        <row r="32">
          <cell r="B32" t="str">
            <v>BBMFN88-P</v>
          </cell>
          <cell r="C32" t="str">
            <v>WMGN88CL-TS126E</v>
          </cell>
          <cell r="D32">
            <v>1</v>
          </cell>
          <cell r="E32" t="str">
            <v>AB PP WC BHATIA BROS.-UAE DIN88 +R</v>
          </cell>
        </row>
        <row r="33">
          <cell r="B33" t="str">
            <v>BBN120D-P</v>
          </cell>
          <cell r="C33" t="str">
            <v>DMTF51CL-SPN26E</v>
          </cell>
          <cell r="D33">
            <v>1</v>
          </cell>
          <cell r="E33" t="str">
            <v>DELETED MATERIAL! DO NOT USE! DCN# 13705</v>
          </cell>
        </row>
        <row r="34">
          <cell r="B34" t="str">
            <v>BBN150D-P</v>
          </cell>
          <cell r="C34" t="str">
            <v>DMTG51CL-SPN26E</v>
          </cell>
          <cell r="D34">
            <v>1</v>
          </cell>
          <cell r="E34" t="str">
            <v>DELETED MATERIAL! DO NOT USE! DCN# 13705</v>
          </cell>
        </row>
        <row r="35">
          <cell r="B35" t="str">
            <v>BBN200D-P</v>
          </cell>
          <cell r="C35" t="str">
            <v>DMTH52BL-SPN26E</v>
          </cell>
          <cell r="D35">
            <v>1</v>
          </cell>
          <cell r="E35" t="str">
            <v>DELETED MATERIAL! DO NOT USE! DCN# 13705</v>
          </cell>
        </row>
        <row r="36">
          <cell r="B36" t="str">
            <v>BBN40L-P</v>
          </cell>
          <cell r="C36" t="str">
            <v>WMGC24DL-TS126E</v>
          </cell>
          <cell r="D36">
            <v>1</v>
          </cell>
          <cell r="E36" t="str">
            <v>AB PP WC BHATIA BROS.-UAE N40/C24 +R</v>
          </cell>
        </row>
        <row r="37">
          <cell r="B37" t="str">
            <v>BBN40-P</v>
          </cell>
          <cell r="C37" t="str">
            <v>WMGC24DR-TS126E</v>
          </cell>
          <cell r="D37">
            <v>1</v>
          </cell>
          <cell r="E37" t="str">
            <v>AB PP WC BHATIA BROS.-UAE N40/C24 +L</v>
          </cell>
        </row>
        <row r="38">
          <cell r="B38" t="str">
            <v>BBN50L-P</v>
          </cell>
          <cell r="C38" t="str">
            <v>WMGG24BL-TS326E</v>
          </cell>
          <cell r="D38">
            <v>1</v>
          </cell>
          <cell r="E38" t="str">
            <v>AB PP WC BHATIA BROS.-UAE N50/G24 +R</v>
          </cell>
        </row>
        <row r="39">
          <cell r="B39" t="str">
            <v>BBN50-P</v>
          </cell>
          <cell r="C39" t="str">
            <v>WMGG24BR-TS326E</v>
          </cell>
          <cell r="D39">
            <v>1</v>
          </cell>
          <cell r="E39" t="str">
            <v>AB PP WC BHATIA BROS.-UAE N50/G24 +L</v>
          </cell>
        </row>
        <row r="40">
          <cell r="B40" t="str">
            <v>BBNS50L-P</v>
          </cell>
          <cell r="C40" t="str">
            <v>WMGD236E-TS326E</v>
          </cell>
          <cell r="D40">
            <v>1</v>
          </cell>
          <cell r="E40" t="str">
            <v>AB PP WC BHATIA BROS.-UAE NS50/D23 +R</v>
          </cell>
        </row>
        <row r="41">
          <cell r="B41" t="str">
            <v>BBNS60ZL-P</v>
          </cell>
          <cell r="C41" t="str">
            <v>WMGB24DB-TS326E</v>
          </cell>
          <cell r="D41">
            <v>1</v>
          </cell>
          <cell r="E41" t="str">
            <v>AB PP WC BHATIA BROS.-UAE NS60/B24 +R</v>
          </cell>
        </row>
        <row r="42">
          <cell r="B42" t="str">
            <v>BBNS70L-P</v>
          </cell>
          <cell r="C42" t="str">
            <v>WMGG24DL-TS326E</v>
          </cell>
          <cell r="D42">
            <v>1</v>
          </cell>
          <cell r="E42" t="str">
            <v>AB PP WC BHATIA BROS.-UAE NS70/G24 +R</v>
          </cell>
        </row>
        <row r="43">
          <cell r="B43" t="str">
            <v>BJB24L-3MF-P</v>
          </cell>
          <cell r="C43" t="str">
            <v>WMGB24CB-CP422E</v>
          </cell>
          <cell r="D43">
            <v>1</v>
          </cell>
          <cell r="E43" t="str">
            <v>AB PP WC BANICS-JAPN ACSBLE B24-3MF +R J</v>
          </cell>
        </row>
        <row r="44">
          <cell r="B44" t="str">
            <v>BJB24R-3MF-P</v>
          </cell>
          <cell r="C44" t="str">
            <v>WMGB24CA-CP422E</v>
          </cell>
          <cell r="D44">
            <v>1</v>
          </cell>
          <cell r="E44" t="str">
            <v>AB PP WC BANICS-JAPN ACSBLE B24-3MF +L</v>
          </cell>
        </row>
        <row r="45">
          <cell r="B45" t="str">
            <v>BJF51DLD-P</v>
          </cell>
          <cell r="C45" t="str">
            <v>DMCF51DL-SPN22E</v>
          </cell>
          <cell r="D45">
            <v>1</v>
          </cell>
          <cell r="E45" t="str">
            <v>AB PP DC BANICS-JAPN F51/N120 +R AUTO</v>
          </cell>
        </row>
        <row r="46">
          <cell r="B46" t="str">
            <v>BJG24L-6MF-P</v>
          </cell>
          <cell r="C46" t="str">
            <v>WMGG24FL-CP422E</v>
          </cell>
          <cell r="D46">
            <v>1</v>
          </cell>
          <cell r="E46" t="str">
            <v>AB PP WC BANICS-JAPN ACSBLE G24-6MF +R</v>
          </cell>
        </row>
        <row r="47">
          <cell r="B47" t="str">
            <v>BJG24R-6MF-P</v>
          </cell>
          <cell r="C47" t="str">
            <v>WMGG24FR-CP422E</v>
          </cell>
          <cell r="D47">
            <v>1</v>
          </cell>
          <cell r="E47" t="str">
            <v>AB PP WC BANICS-JAPN ACSBLE G24-6MF +L</v>
          </cell>
        </row>
        <row r="48">
          <cell r="B48" t="str">
            <v>BJG25-5MF-P</v>
          </cell>
          <cell r="C48" t="str">
            <v>WMGG25DR-CP422E</v>
          </cell>
          <cell r="D48">
            <v>1</v>
          </cell>
          <cell r="E48" t="str">
            <v>AB PP WC BANICS-JAPN ACSBLE G25-5MF +L</v>
          </cell>
        </row>
        <row r="49">
          <cell r="B49" t="str">
            <v>BJG27L-7MF-P</v>
          </cell>
          <cell r="C49" t="str">
            <v>WMGG27HL-CP422E</v>
          </cell>
          <cell r="D49">
            <v>1</v>
          </cell>
          <cell r="E49" t="str">
            <v>AB PP WC BANICS-JAPN ACSBLE G27-7MF +R</v>
          </cell>
        </row>
        <row r="50">
          <cell r="B50" t="str">
            <v>BJG27R-7MF-P</v>
          </cell>
          <cell r="C50" t="str">
            <v>WMGG27HR-CP422E</v>
          </cell>
          <cell r="D50">
            <v>1</v>
          </cell>
          <cell r="E50" t="str">
            <v>AB PP WC BANICS-JAPN ACSBLE G27-7MF +L</v>
          </cell>
        </row>
        <row r="51">
          <cell r="B51" t="str">
            <v>BJG35-5MF-P</v>
          </cell>
          <cell r="C51" t="str">
            <v>WMGG35DL-CP422E</v>
          </cell>
          <cell r="D51">
            <v>1</v>
          </cell>
          <cell r="E51" t="str">
            <v>AB PP WC BANICS-JAPN ACSBLE G35-5MF +R</v>
          </cell>
        </row>
        <row r="52">
          <cell r="B52" t="str">
            <v>BJGC2-6VZ (220)</v>
          </cell>
          <cell r="C52" t="str">
            <v>DMCGC2TZ-SPN22E</v>
          </cell>
          <cell r="D52">
            <v>1</v>
          </cell>
          <cell r="E52" t="str">
            <v>AB PP DC BANICS-JAPN GC2-6V(220) DFP</v>
          </cell>
        </row>
        <row r="53">
          <cell r="B53" t="str">
            <v>BJH52-12MF-P</v>
          </cell>
          <cell r="C53" t="str">
            <v>WMGH52XI-SPN22E</v>
          </cell>
          <cell r="D53">
            <v>1</v>
          </cell>
          <cell r="E53" t="str">
            <v>AB PP WC BANICS-JAPN ACSBLE H52/8D +R</v>
          </cell>
        </row>
        <row r="54">
          <cell r="B54" t="str">
            <v>CF32C24R-MF-P</v>
          </cell>
          <cell r="C54" t="str">
            <v>WSGC24BR-CP127E</v>
          </cell>
          <cell r="D54">
            <v>1</v>
          </cell>
          <cell r="E54" t="str">
            <v>AB PP WC COASTFIELD-SC GOLD N40/C24 AUTO</v>
          </cell>
        </row>
        <row r="55">
          <cell r="B55" t="str">
            <v>CF32C24R-P</v>
          </cell>
          <cell r="C55" t="str">
            <v>WMGC24AR-CP127E</v>
          </cell>
          <cell r="D55">
            <v>1</v>
          </cell>
          <cell r="E55" t="str">
            <v>AB PP WC COASTFIELD-MGOLD N40 AUTO +L</v>
          </cell>
        </row>
        <row r="56">
          <cell r="B56" t="str">
            <v>CF48D26L-MF-P</v>
          </cell>
          <cell r="C56" t="str">
            <v>WSGG24BL-CP327E</v>
          </cell>
          <cell r="D56">
            <v>1</v>
          </cell>
          <cell r="E56" t="str">
            <v>AB PP WC COASTFIELD MF 48D26L +R</v>
          </cell>
        </row>
        <row r="57">
          <cell r="B57" t="str">
            <v>CF48D26R-MF-P</v>
          </cell>
          <cell r="C57" t="str">
            <v>WSGG24BR-CP327E</v>
          </cell>
          <cell r="D57">
            <v>1</v>
          </cell>
          <cell r="E57" t="str">
            <v>AB PP WC COASTFIELD MF 48D26R +L</v>
          </cell>
        </row>
        <row r="58">
          <cell r="B58" t="str">
            <v>CF65D31L-MF-P</v>
          </cell>
          <cell r="C58" t="str">
            <v>WSGG27DL-CP327E</v>
          </cell>
          <cell r="D58">
            <v>1</v>
          </cell>
          <cell r="E58" t="str">
            <v>AB PP WC COASTFIELD MF 65D31L +R</v>
          </cell>
        </row>
        <row r="59">
          <cell r="B59" t="str">
            <v>CF65D31R-MF-P</v>
          </cell>
          <cell r="C59" t="str">
            <v>WSGG27DR-CP327E</v>
          </cell>
          <cell r="D59">
            <v>1</v>
          </cell>
          <cell r="E59" t="str">
            <v>AB PP WC COASTFIELD MF 65D31R +L</v>
          </cell>
        </row>
        <row r="60">
          <cell r="B60" t="str">
            <v>CFB20ALS-MF-P</v>
          </cell>
          <cell r="C60" t="str">
            <v>WMGB20BL-CP127E</v>
          </cell>
          <cell r="D60">
            <v>1</v>
          </cell>
          <cell r="E60" t="str">
            <v>AB PP WC COASTFIELD-PNG NS40 +R AUTO</v>
          </cell>
        </row>
        <row r="61">
          <cell r="B61" t="str">
            <v>CFB20ARS-MF-P</v>
          </cell>
          <cell r="C61" t="str">
            <v>WMGB20BR-CP127E</v>
          </cell>
          <cell r="D61">
            <v>1</v>
          </cell>
          <cell r="E61" t="str">
            <v>AB PP WC COASTFIELD-PNG NS40 +L AUTO</v>
          </cell>
        </row>
        <row r="62">
          <cell r="B62" t="str">
            <v>CFB20ARS-P</v>
          </cell>
          <cell r="C62" t="str">
            <v>WSGB20BL-CP127E</v>
          </cell>
          <cell r="D62">
            <v>1</v>
          </cell>
          <cell r="E62" t="str">
            <v>AB PP WC COASTFIELD-SUPCHA NS40 +L</v>
          </cell>
        </row>
        <row r="63">
          <cell r="B63" t="str">
            <v>CFB24ALS-MF-P</v>
          </cell>
          <cell r="C63" t="str">
            <v>WMGB24AL-CP327E</v>
          </cell>
          <cell r="D63">
            <v>1</v>
          </cell>
          <cell r="E63" t="str">
            <v>AB PP WC COASTFIELD-PNG NS60 +R AUTO</v>
          </cell>
        </row>
        <row r="64">
          <cell r="B64" t="str">
            <v>CFB24ARS-MF-P</v>
          </cell>
          <cell r="C64" t="str">
            <v>WMGB24AR-CP327E</v>
          </cell>
          <cell r="D64">
            <v>1</v>
          </cell>
          <cell r="E64" t="str">
            <v>AB PP WC COASTFIELD-PNG NS60 +L AUTO</v>
          </cell>
        </row>
        <row r="65">
          <cell r="B65" t="str">
            <v>CFC24AL-MF-P</v>
          </cell>
          <cell r="C65" t="str">
            <v>WMGC24BL-CP127E</v>
          </cell>
          <cell r="D65">
            <v>1</v>
          </cell>
          <cell r="E65" t="str">
            <v>AB PP WC COASTFIELD-PNG N40 +R AUTO</v>
          </cell>
        </row>
        <row r="66">
          <cell r="B66" t="str">
            <v>CFC24AR-MF-P</v>
          </cell>
          <cell r="C66" t="str">
            <v>WMGC24BR-CP127E</v>
          </cell>
          <cell r="D66">
            <v>1</v>
          </cell>
          <cell r="E66" t="str">
            <v>AB PP WC COASTFIELD-PNG N40 +L AUTO</v>
          </cell>
        </row>
        <row r="67">
          <cell r="B67" t="str">
            <v>CFC24AR-P</v>
          </cell>
          <cell r="C67" t="str">
            <v>WSGC24AR-CP127E</v>
          </cell>
          <cell r="D67">
            <v>1</v>
          </cell>
          <cell r="E67" t="str">
            <v>AB PP WC COASTFIELD-SUPCHA N40 +L</v>
          </cell>
        </row>
        <row r="68">
          <cell r="B68" t="str">
            <v>CFD26AL-MF-P</v>
          </cell>
          <cell r="C68" t="str">
            <v>WMGG24AL-CP327E</v>
          </cell>
          <cell r="D68">
            <v>1</v>
          </cell>
          <cell r="E68" t="str">
            <v>AB PP WC COASTFIELD-PNG N50 +R AUTO</v>
          </cell>
        </row>
        <row r="69">
          <cell r="B69" t="str">
            <v>CFD26AR-MF-P</v>
          </cell>
          <cell r="C69" t="str">
            <v>WMGG24AR-CP327E</v>
          </cell>
          <cell r="D69">
            <v>1</v>
          </cell>
          <cell r="E69" t="str">
            <v>AB PP WC COASTFIELD-PNG N50 +L AUTO</v>
          </cell>
        </row>
        <row r="70">
          <cell r="B70" t="str">
            <v>CFD26BL-MF-P</v>
          </cell>
          <cell r="C70" t="str">
            <v>WMGG24CL-CP327E</v>
          </cell>
          <cell r="D70">
            <v>1</v>
          </cell>
          <cell r="E70" t="str">
            <v>AB PP WC COASTFIELD-PNG N50Z +R AUTO</v>
          </cell>
        </row>
        <row r="71">
          <cell r="B71" t="str">
            <v>CFD26BR-MF-P</v>
          </cell>
          <cell r="C71" t="str">
            <v>WMGG24CR-CP327E</v>
          </cell>
          <cell r="D71">
            <v>1</v>
          </cell>
          <cell r="E71" t="str">
            <v>AB PP WC COASTFIELD-PNG N50Z +L AUTO</v>
          </cell>
        </row>
        <row r="72">
          <cell r="B72" t="str">
            <v>CFD31AL-MF-P</v>
          </cell>
          <cell r="C72" t="str">
            <v>WMGG27AL-CP327E</v>
          </cell>
          <cell r="D72">
            <v>1</v>
          </cell>
          <cell r="E72" t="str">
            <v>AB PP WC COASTFIELD-PNG N70 +R AUTO</v>
          </cell>
        </row>
        <row r="73">
          <cell r="B73" t="str">
            <v>CFD31AR-MF-P</v>
          </cell>
          <cell r="C73" t="str">
            <v>WMGG27AR-CP327E</v>
          </cell>
          <cell r="D73">
            <v>1</v>
          </cell>
          <cell r="E73" t="str">
            <v>AB PP WC COASTFIELD-PNG N70 +L AUTO</v>
          </cell>
        </row>
        <row r="74">
          <cell r="B74" t="str">
            <v>CFD31BL-MF-P</v>
          </cell>
          <cell r="C74" t="str">
            <v>WMGG27CL-CP327E</v>
          </cell>
          <cell r="D74">
            <v>1</v>
          </cell>
          <cell r="E74" t="str">
            <v>AB PP WC COASTFIELD-PNG N70Z +R AUTO</v>
          </cell>
        </row>
        <row r="75">
          <cell r="B75" t="str">
            <v>CFD31BR-MF-P</v>
          </cell>
          <cell r="C75" t="str">
            <v>WMGG27CR-CP327E</v>
          </cell>
          <cell r="D75">
            <v>1</v>
          </cell>
          <cell r="E75" t="str">
            <v>AB PP WC COASTFIELD-PNG N70Z +L AUTO</v>
          </cell>
        </row>
        <row r="76">
          <cell r="B76" t="str">
            <v>CFE41BLD-P</v>
          </cell>
          <cell r="C76" t="str">
            <v>DMTE41CL-SPN27E</v>
          </cell>
          <cell r="D76">
            <v>1</v>
          </cell>
          <cell r="E76" t="str">
            <v>AB PP DC COASTFIELD-PNG N100 +R AUTO</v>
          </cell>
        </row>
        <row r="77">
          <cell r="B77" t="str">
            <v>CFE41BRD-P</v>
          </cell>
          <cell r="C77" t="str">
            <v>DMTE41CR-SPN27E</v>
          </cell>
          <cell r="D77">
            <v>1</v>
          </cell>
          <cell r="E77" t="str">
            <v>AB PP DC COASTFIELD-PNG N100 +L AUTO</v>
          </cell>
        </row>
        <row r="78">
          <cell r="B78" t="str">
            <v>CFMFM50-P</v>
          </cell>
          <cell r="C78" t="str">
            <v>WSMD26DF-CP427E</v>
          </cell>
          <cell r="D78">
            <v>1</v>
          </cell>
          <cell r="E78" t="str">
            <v>AB PP WC COASTFIELD M50 MF SPCL BUSH</v>
          </cell>
        </row>
        <row r="79">
          <cell r="B79" t="str">
            <v>CFMFM70-P</v>
          </cell>
          <cell r="C79" t="str">
            <v>WSMD31HF-CP427E</v>
          </cell>
          <cell r="D79">
            <v>1</v>
          </cell>
          <cell r="E79" t="str">
            <v>AB PP WC COASTFIELD M70 MF SPCL BUSH</v>
          </cell>
        </row>
        <row r="80">
          <cell r="B80" t="str">
            <v>CFN120D-P</v>
          </cell>
          <cell r="C80" t="str">
            <v>DMTF51CL-SPN27E</v>
          </cell>
          <cell r="D80">
            <v>1</v>
          </cell>
          <cell r="E80" t="str">
            <v>AB PP DC COASTFIELD-PNG N120  AUTO</v>
          </cell>
        </row>
        <row r="81">
          <cell r="B81" t="str">
            <v>CFN150D-P</v>
          </cell>
          <cell r="C81" t="str">
            <v>DMTG51BL-SPN27E</v>
          </cell>
          <cell r="D81">
            <v>1</v>
          </cell>
          <cell r="E81" t="str">
            <v>AB PP DC COASTFIELD-PNG N150  AUTO</v>
          </cell>
        </row>
        <row r="82">
          <cell r="B82" t="str">
            <v>CFN200D-P</v>
          </cell>
          <cell r="C82" t="str">
            <v>DMTH52BL-SPN27E</v>
          </cell>
          <cell r="D82">
            <v>1</v>
          </cell>
          <cell r="E82" t="str">
            <v>DELETED MATERIAL! DO NOT USE! DCN# 13705</v>
          </cell>
        </row>
        <row r="83">
          <cell r="B83" t="str">
            <v>CFN200MF-P</v>
          </cell>
          <cell r="C83" t="str">
            <v>WMTH52EL-CP327E</v>
          </cell>
          <cell r="D83">
            <v>1</v>
          </cell>
          <cell r="E83" t="str">
            <v>AB PP WC COASTFIELD N200 MF</v>
          </cell>
        </row>
        <row r="84">
          <cell r="B84" t="str">
            <v>CFNS40Z-MF-P</v>
          </cell>
          <cell r="C84" t="str">
            <v>WMGB20CR-CP127E</v>
          </cell>
          <cell r="D84">
            <v>1</v>
          </cell>
          <cell r="E84" t="str">
            <v>AB PP WC COASTFIELD-MGOLD NS40Z +L</v>
          </cell>
        </row>
        <row r="85">
          <cell r="B85" t="str">
            <v>CFNS40Z-P</v>
          </cell>
          <cell r="C85" t="str">
            <v>WSGB20CR-CP127E</v>
          </cell>
          <cell r="D85">
            <v>1</v>
          </cell>
          <cell r="E85" t="str">
            <v>AB PP WC COASTFIELD-SUPCHA NS40Z +L</v>
          </cell>
        </row>
        <row r="86">
          <cell r="B86" t="str">
            <v>CHC24AL-P</v>
          </cell>
          <cell r="C86" t="str">
            <v>WCHC24BL-CPN00L</v>
          </cell>
          <cell r="D86">
            <v>1</v>
          </cell>
          <cell r="E86" t="str">
            <v>AB PP WC CHAMPION 1SNF/C24AL +R</v>
          </cell>
        </row>
        <row r="87">
          <cell r="B87" t="str">
            <v>CHD23BL-P</v>
          </cell>
          <cell r="C87" t="str">
            <v>WCHD23BL-CPN00L</v>
          </cell>
          <cell r="D87">
            <v>1</v>
          </cell>
          <cell r="E87" t="str">
            <v>AB PP WC CHAMPION 1SMF/D23BL +R</v>
          </cell>
        </row>
        <row r="88">
          <cell r="B88" t="str">
            <v>CHD26BL-P</v>
          </cell>
          <cell r="C88" t="str">
            <v>WCHD26BL-CPN00L</v>
          </cell>
          <cell r="D88">
            <v>1</v>
          </cell>
          <cell r="E88" t="str">
            <v>AB PP WC CHAMPION 2SMF/D26BL +R</v>
          </cell>
        </row>
        <row r="89">
          <cell r="B89" t="str">
            <v>CHD31AL-P</v>
          </cell>
          <cell r="C89" t="str">
            <v>WCHD31BL-CPN00L</v>
          </cell>
          <cell r="D89">
            <v>1</v>
          </cell>
          <cell r="E89" t="str">
            <v>AB PP WC CHAMPION 3SMF/D31AL +R</v>
          </cell>
        </row>
        <row r="90">
          <cell r="B90" t="str">
            <v>CHE41BLD-P</v>
          </cell>
          <cell r="C90" t="str">
            <v>ECHE41CL-SPN00L</v>
          </cell>
          <cell r="D90">
            <v>1</v>
          </cell>
          <cell r="E90" t="str">
            <v>AB PP DC CHAMPION 6SMF/E41BL +R</v>
          </cell>
        </row>
        <row r="91">
          <cell r="B91" t="str">
            <v>CHF51BLD-P</v>
          </cell>
          <cell r="C91" t="str">
            <v>ECHF51BL-SPN00L</v>
          </cell>
          <cell r="D91">
            <v>1</v>
          </cell>
          <cell r="E91" t="str">
            <v>AB PP DC CHAMPION 2D/F51BL +R (N120)</v>
          </cell>
        </row>
        <row r="92">
          <cell r="B92" t="str">
            <v>CHG51BLD-P</v>
          </cell>
          <cell r="C92" t="str">
            <v>ECHG51BL-SPN00L</v>
          </cell>
          <cell r="D92">
            <v>1</v>
          </cell>
          <cell r="E92" t="str">
            <v>AB PP DC CHAMPION 4D/G51BL +R (N150)</v>
          </cell>
        </row>
        <row r="93">
          <cell r="B93" t="str">
            <v>CHH52ALD-P</v>
          </cell>
          <cell r="C93" t="str">
            <v>ECHH52BL-SPN00L</v>
          </cell>
          <cell r="D93">
            <v>1</v>
          </cell>
          <cell r="E93" t="str">
            <v>8D CHAMPION CHH52ALD-P</v>
          </cell>
        </row>
        <row r="94">
          <cell r="B94" t="str">
            <v>CHN50ZL-MF-P</v>
          </cell>
          <cell r="C94" t="str">
            <v>WCHG24CL-CP315E</v>
          </cell>
          <cell r="D94">
            <v>1</v>
          </cell>
          <cell r="E94" t="str">
            <v>AB PP WC ABM-CHAMPION N50Z +R</v>
          </cell>
        </row>
        <row r="95">
          <cell r="B95" t="str">
            <v>CHN50Z-MF-P</v>
          </cell>
          <cell r="C95" t="str">
            <v>WCHG24CR-CP315E</v>
          </cell>
          <cell r="D95">
            <v>1</v>
          </cell>
          <cell r="E95" t="str">
            <v>AB PP WC ABM-CHAMPION N50Z +L</v>
          </cell>
        </row>
        <row r="96">
          <cell r="B96" t="str">
            <v>CHN70L-MF-P</v>
          </cell>
          <cell r="C96" t="str">
            <v>WCHG27CL-CP315E</v>
          </cell>
          <cell r="D96">
            <v>1</v>
          </cell>
          <cell r="E96" t="str">
            <v>AB PP WC ABM-CHAMPION N70 +R</v>
          </cell>
        </row>
        <row r="97">
          <cell r="B97" t="str">
            <v>CHN70-MF-P</v>
          </cell>
          <cell r="C97" t="str">
            <v>WCHG27CR-CP315E</v>
          </cell>
          <cell r="D97">
            <v>1</v>
          </cell>
          <cell r="E97" t="str">
            <v>AB PP WC ABM-CHAMPION N70 +L</v>
          </cell>
        </row>
        <row r="98">
          <cell r="B98" t="str">
            <v>CHN70ZL-MF-P</v>
          </cell>
          <cell r="C98" t="str">
            <v>WCHG27EL-CP315E</v>
          </cell>
          <cell r="D98">
            <v>1</v>
          </cell>
          <cell r="E98" t="str">
            <v>AB PP WC ABM-CHAMPION N70Z +R</v>
          </cell>
        </row>
        <row r="99">
          <cell r="B99" t="str">
            <v>CHN70Z-MF-P</v>
          </cell>
          <cell r="C99" t="str">
            <v>WCHG27ER-CP315E</v>
          </cell>
          <cell r="D99">
            <v>1</v>
          </cell>
          <cell r="E99" t="str">
            <v>AB PP WC ABM-CHAMPION N70Z +L</v>
          </cell>
        </row>
        <row r="100">
          <cell r="B100" t="str">
            <v>CHNS40ZL-MF-P</v>
          </cell>
          <cell r="C100" t="str">
            <v>WCHB20CB-CP115E</v>
          </cell>
          <cell r="D100">
            <v>1</v>
          </cell>
          <cell r="E100" t="str">
            <v>AB PP WC ABM-CHAMPION NS40Z +R</v>
          </cell>
        </row>
        <row r="101">
          <cell r="B101" t="str">
            <v>CHNS40Z-MF-P</v>
          </cell>
          <cell r="C101" t="str">
            <v>WCHB20CA-CP115E</v>
          </cell>
          <cell r="D101">
            <v>1</v>
          </cell>
          <cell r="E101" t="str">
            <v>AB PP WC ABM-CHAMPION NS40Z +L</v>
          </cell>
        </row>
        <row r="102">
          <cell r="B102" t="str">
            <v>CHNS50L-MF-P</v>
          </cell>
          <cell r="C102" t="str">
            <v>WCPD23BL-CP315E</v>
          </cell>
          <cell r="D102">
            <v>1</v>
          </cell>
          <cell r="E102" t="str">
            <v>AB PP WC ABM-CHAMPION NS50 +R</v>
          </cell>
        </row>
        <row r="103">
          <cell r="B103" t="str">
            <v>CHNS50-MF-P</v>
          </cell>
          <cell r="C103" t="str">
            <v>WCPD23BR-CP315E</v>
          </cell>
          <cell r="D103">
            <v>1</v>
          </cell>
          <cell r="E103" t="str">
            <v>AB PP WC ABM-CHAMPION NS50 +L</v>
          </cell>
        </row>
        <row r="104">
          <cell r="B104" t="str">
            <v>CHNS50ZL-MF-P</v>
          </cell>
          <cell r="C104" t="str">
            <v>WCHD23CL-CP315E</v>
          </cell>
          <cell r="D104">
            <v>1</v>
          </cell>
          <cell r="E104" t="str">
            <v>AB PP WC ABM-CHAMPION NS50Z +R</v>
          </cell>
        </row>
        <row r="105">
          <cell r="B105" t="str">
            <v>CHNS50Z-MF-P</v>
          </cell>
          <cell r="C105" t="str">
            <v>WCHD23CR-CP315E</v>
          </cell>
          <cell r="D105">
            <v>1</v>
          </cell>
          <cell r="E105" t="str">
            <v>AB PP WC ABM-CHAMPION NS50Z +L</v>
          </cell>
        </row>
        <row r="106">
          <cell r="B106" t="str">
            <v>CHNS60L-MF-P</v>
          </cell>
          <cell r="C106" t="str">
            <v>WCHB24BB-CP315E</v>
          </cell>
          <cell r="D106">
            <v>1</v>
          </cell>
          <cell r="E106" t="str">
            <v>AB PP WC ABM-CHAMPION NS60 +R</v>
          </cell>
        </row>
        <row r="107">
          <cell r="B107" t="str">
            <v>CHNS60LS-MF-P</v>
          </cell>
          <cell r="C107" t="str">
            <v>WCHB24BL-CP315E</v>
          </cell>
          <cell r="D107">
            <v>1</v>
          </cell>
          <cell r="E107" t="str">
            <v>AB PP WC ABM-CHAMPION NS60LS +R</v>
          </cell>
        </row>
        <row r="108">
          <cell r="B108" t="str">
            <v>CHNS60-MF-P</v>
          </cell>
          <cell r="C108" t="str">
            <v>WCHB24BA-CP315E</v>
          </cell>
          <cell r="D108">
            <v>1</v>
          </cell>
          <cell r="E108" t="str">
            <v>AB PP WC ABM-CHAMPION NS60 +L</v>
          </cell>
        </row>
        <row r="109">
          <cell r="B109" t="str">
            <v>CHNS60S-MF-P</v>
          </cell>
          <cell r="C109" t="str">
            <v>WCHB24BR-CP315E</v>
          </cell>
          <cell r="D109">
            <v>1</v>
          </cell>
          <cell r="E109" t="str">
            <v>AB PP WC ABM-CHAMPION NS60S +L</v>
          </cell>
        </row>
        <row r="110">
          <cell r="B110" t="str">
            <v>CHNS60ZL-MF-P</v>
          </cell>
          <cell r="C110" t="str">
            <v>WCHB24DB-CP315E</v>
          </cell>
          <cell r="D110">
            <v>1</v>
          </cell>
          <cell r="E110" t="str">
            <v>AB PP WC ABM-CHAMPION NS60Z +R</v>
          </cell>
        </row>
        <row r="111">
          <cell r="B111" t="str">
            <v>CHNS60ZLS-MF-P</v>
          </cell>
          <cell r="C111" t="str">
            <v>WCHB24DL-CP315E</v>
          </cell>
          <cell r="D111">
            <v>1</v>
          </cell>
          <cell r="E111" t="str">
            <v>AB PP WC ABM-CHAMPION NS60ZS +R</v>
          </cell>
        </row>
        <row r="112">
          <cell r="B112" t="str">
            <v>CHNS60Z-MF-P</v>
          </cell>
          <cell r="C112" t="str">
            <v>WCHB24DA-CP315E</v>
          </cell>
          <cell r="D112">
            <v>1</v>
          </cell>
          <cell r="E112" t="str">
            <v>AB PP WC ABM-CHAMPION NS60Z +L</v>
          </cell>
        </row>
        <row r="113">
          <cell r="B113" t="str">
            <v>CHNS60ZS-MF-P</v>
          </cell>
          <cell r="C113" t="str">
            <v>WCHB24DR-CP315E</v>
          </cell>
          <cell r="D113">
            <v>1</v>
          </cell>
          <cell r="E113" t="str">
            <v>AB PP WC ABM-CHAMPION NS60ZS +L</v>
          </cell>
        </row>
        <row r="114">
          <cell r="B114" t="str">
            <v>CHNS70L-MF-P</v>
          </cell>
          <cell r="C114" t="str">
            <v>WCHG24DL-CP315E</v>
          </cell>
          <cell r="D114">
            <v>1</v>
          </cell>
          <cell r="E114" t="str">
            <v>AB PP WC ABM-CHAMPION NS70 +R</v>
          </cell>
        </row>
        <row r="115">
          <cell r="B115" t="str">
            <v>CHNS70-MF-P</v>
          </cell>
          <cell r="C115" t="str">
            <v>WCHG24DR-CP315E</v>
          </cell>
          <cell r="D115">
            <v>1</v>
          </cell>
          <cell r="E115" t="str">
            <v>AB PP WC ABM-CHAMPION NS70 +L</v>
          </cell>
        </row>
        <row r="116">
          <cell r="B116" t="str">
            <v>CHNX110L-MF-P</v>
          </cell>
          <cell r="C116" t="str">
            <v>WCHG24EL-CP315E</v>
          </cell>
          <cell r="D116">
            <v>1</v>
          </cell>
          <cell r="E116" t="str">
            <v>AB PP WC ABM-CHAMPION NX110 +R</v>
          </cell>
        </row>
        <row r="117">
          <cell r="B117" t="str">
            <v>CHNX110-MF-P</v>
          </cell>
          <cell r="C117" t="str">
            <v>WCHG24ER-CP315E</v>
          </cell>
          <cell r="D117">
            <v>1</v>
          </cell>
          <cell r="E117" t="str">
            <v>AB PP WC ABM-CHAMPION NX110 +L</v>
          </cell>
        </row>
        <row r="118">
          <cell r="B118" t="str">
            <v>CHNX120L-MF-P</v>
          </cell>
          <cell r="C118" t="str">
            <v>WCHG27GL-CP315E</v>
          </cell>
          <cell r="D118">
            <v>1</v>
          </cell>
          <cell r="E118" t="str">
            <v>AB PP WC ABM-CHAMPION NX120 +R</v>
          </cell>
        </row>
        <row r="119">
          <cell r="B119" t="str">
            <v>CHNX120-MF-P</v>
          </cell>
          <cell r="C119" t="str">
            <v>WCHG27GR-CP315E</v>
          </cell>
          <cell r="D119">
            <v>1</v>
          </cell>
          <cell r="E119" t="str">
            <v>AB PP WC ABM-CHAMPION NX120 +L</v>
          </cell>
        </row>
        <row r="120">
          <cell r="B120" t="str">
            <v>CLG49-MF-P</v>
          </cell>
          <cell r="C120" t="str">
            <v>WCLG49AL-CP115E</v>
          </cell>
          <cell r="D120">
            <v>1</v>
          </cell>
          <cell r="E120" t="str">
            <v>AB PP WC ABM-CHALLENGER  DIN100/G49 +R</v>
          </cell>
        </row>
        <row r="121">
          <cell r="B121" t="str">
            <v>CLMFN55-P</v>
          </cell>
          <cell r="C121" t="str">
            <v>WCLN55EL-CP115E</v>
          </cell>
          <cell r="D121">
            <v>1</v>
          </cell>
          <cell r="E121" t="str">
            <v>AB PP WC ABM-CHALLENGER DIN55 +R</v>
          </cell>
        </row>
        <row r="122">
          <cell r="B122" t="str">
            <v>CLMFN55R-P</v>
          </cell>
          <cell r="C122" t="str">
            <v>WCLN55ER-CP115E</v>
          </cell>
          <cell r="D122">
            <v>1</v>
          </cell>
          <cell r="E122" t="str">
            <v>AB PP WC ABM-CHALLENGER DIN55 +L</v>
          </cell>
        </row>
        <row r="123">
          <cell r="B123" t="str">
            <v>CLMFN66-P</v>
          </cell>
          <cell r="C123" t="str">
            <v>WCLN66DL-CP115E</v>
          </cell>
          <cell r="D123">
            <v>1</v>
          </cell>
          <cell r="E123" t="str">
            <v>AB PP WC ABM-CHALLENGER DIN66 +R</v>
          </cell>
        </row>
        <row r="124">
          <cell r="B124" t="str">
            <v>CLMFN66R-P</v>
          </cell>
          <cell r="C124" t="str">
            <v>WCLN66DR-CP115E</v>
          </cell>
          <cell r="D124">
            <v>1</v>
          </cell>
          <cell r="E124" t="str">
            <v>AB PP WC ABM-CHALLENGER DIN66 +L</v>
          </cell>
        </row>
        <row r="125">
          <cell r="B125" t="str">
            <v>CLMFN88-P</v>
          </cell>
          <cell r="C125" t="str">
            <v>WCLN88BL-CP115E</v>
          </cell>
          <cell r="D125">
            <v>1</v>
          </cell>
          <cell r="E125" t="str">
            <v>AB PP WC ABM-CHALLENGER DIN88 +R</v>
          </cell>
        </row>
        <row r="126">
          <cell r="B126" t="str">
            <v>CLN50ZL-MF-P</v>
          </cell>
          <cell r="C126" t="str">
            <v>WCLG24CL-CP315E</v>
          </cell>
          <cell r="D126">
            <v>1</v>
          </cell>
          <cell r="E126" t="str">
            <v>AB PP WC ABM-CHALLENGER N50Z +R</v>
          </cell>
        </row>
        <row r="127">
          <cell r="B127" t="str">
            <v>CLN50Z-MF-P</v>
          </cell>
          <cell r="C127" t="str">
            <v>WCLG24CR-CP315E</v>
          </cell>
          <cell r="D127">
            <v>1</v>
          </cell>
          <cell r="E127" t="str">
            <v>AB PP WC ABM-CHALLENGER N50Z +L</v>
          </cell>
        </row>
        <row r="128">
          <cell r="B128" t="str">
            <v>CLN70L-MF-P</v>
          </cell>
          <cell r="C128" t="str">
            <v>WCLG27CL-CP315E</v>
          </cell>
          <cell r="D128">
            <v>1</v>
          </cell>
          <cell r="E128" t="str">
            <v>AB PP WC ABM-CHALLENGER N70 +R</v>
          </cell>
        </row>
        <row r="129">
          <cell r="B129" t="str">
            <v>CLN70-MF-P</v>
          </cell>
          <cell r="C129" t="str">
            <v>WCLG27CR-CP315E</v>
          </cell>
          <cell r="D129">
            <v>1</v>
          </cell>
          <cell r="E129" t="str">
            <v>AB PP WC ABM-CHALLENGER N70 +L</v>
          </cell>
        </row>
        <row r="130">
          <cell r="B130" t="str">
            <v>CLN70ZL-MF-P</v>
          </cell>
          <cell r="C130" t="str">
            <v>WCLG27EL-CP315E</v>
          </cell>
          <cell r="D130">
            <v>1</v>
          </cell>
          <cell r="E130" t="str">
            <v>AB PP WC ABM-CHALLENGER N70Z +R</v>
          </cell>
        </row>
        <row r="131">
          <cell r="B131" t="str">
            <v>CLN70Z-MF-P</v>
          </cell>
          <cell r="C131" t="str">
            <v>WCLG27ER-CP315E</v>
          </cell>
          <cell r="D131">
            <v>1</v>
          </cell>
          <cell r="E131" t="str">
            <v>AB PP WC ABM-CHALLENGER N70Z +L</v>
          </cell>
        </row>
        <row r="132">
          <cell r="B132" t="str">
            <v>CLNS40L-MF-P</v>
          </cell>
          <cell r="C132" t="str">
            <v>WCLB20BB-CP115E</v>
          </cell>
          <cell r="D132">
            <v>1</v>
          </cell>
          <cell r="E132" t="str">
            <v>AB PP WC ABM-CHALLENGER NS40 +R</v>
          </cell>
        </row>
        <row r="133">
          <cell r="B133" t="str">
            <v>CLNS40-MF-P</v>
          </cell>
          <cell r="C133" t="str">
            <v>WCLB20AB-CP115E</v>
          </cell>
          <cell r="D133">
            <v>1</v>
          </cell>
          <cell r="E133" t="str">
            <v>AB PP WC ABM-CHALLENGER NS40 +L</v>
          </cell>
        </row>
        <row r="134">
          <cell r="B134" t="str">
            <v>CLNS40ZL-MF-P</v>
          </cell>
          <cell r="C134" t="str">
            <v>WCLB20CB-CP115E</v>
          </cell>
          <cell r="D134">
            <v>1</v>
          </cell>
          <cell r="E134" t="str">
            <v>AB PP WC ABM-CHALLENGER NS40Z +R</v>
          </cell>
        </row>
        <row r="135">
          <cell r="B135" t="str">
            <v>CLNS40Z-MF-P</v>
          </cell>
          <cell r="C135" t="str">
            <v>WCLB20CA-CP115E</v>
          </cell>
          <cell r="D135">
            <v>1</v>
          </cell>
          <cell r="E135" t="str">
            <v>AB PP WC ABM CHALLENGER NS40Z +L</v>
          </cell>
        </row>
        <row r="136">
          <cell r="B136" t="str">
            <v>CLNS50L-MF-P</v>
          </cell>
          <cell r="C136" t="str">
            <v>WCLD23BL-CP315E</v>
          </cell>
          <cell r="D136">
            <v>1</v>
          </cell>
          <cell r="E136" t="str">
            <v>AB PP WC ABM-CHALLENGER NS50 +R</v>
          </cell>
        </row>
        <row r="137">
          <cell r="B137" t="str">
            <v>CLNS50-MF-P</v>
          </cell>
          <cell r="C137" t="str">
            <v>WCLD23BR-CP315E</v>
          </cell>
          <cell r="D137">
            <v>1</v>
          </cell>
          <cell r="E137" t="str">
            <v>AB PP WC ABM-CHALLENGER NS50 +L</v>
          </cell>
        </row>
        <row r="138">
          <cell r="B138" t="str">
            <v>CLNS50ZL-MF-P</v>
          </cell>
          <cell r="C138" t="str">
            <v>WCLD23CL-CP315E</v>
          </cell>
          <cell r="D138">
            <v>1</v>
          </cell>
          <cell r="E138" t="str">
            <v>AB PP WC ABM-CHALLENGER NS50Z +R</v>
          </cell>
        </row>
        <row r="139">
          <cell r="B139" t="str">
            <v>CLNS50Z-MF-P</v>
          </cell>
          <cell r="C139" t="str">
            <v>WCLD23CR-CP315E</v>
          </cell>
          <cell r="D139">
            <v>1</v>
          </cell>
          <cell r="E139" t="str">
            <v>AB PP WC ABM-CHALLENGER NS50Z +L</v>
          </cell>
        </row>
        <row r="140">
          <cell r="B140" t="str">
            <v>CLNS60L-MF-P</v>
          </cell>
          <cell r="C140" t="str">
            <v>WCLB24BB-CP315E</v>
          </cell>
          <cell r="D140">
            <v>1</v>
          </cell>
          <cell r="E140" t="str">
            <v>AB PP WC ABM-CHALLENGER NS60L +R</v>
          </cell>
        </row>
        <row r="141">
          <cell r="B141" t="str">
            <v>CLNS60LS-MF-P</v>
          </cell>
          <cell r="C141" t="str">
            <v>WCLB24BL-CP315E</v>
          </cell>
          <cell r="D141">
            <v>1</v>
          </cell>
          <cell r="E141" t="str">
            <v>AB PP WC ABM-CHALLENGER NS60LS +R</v>
          </cell>
        </row>
        <row r="142">
          <cell r="B142" t="str">
            <v>CLNS60-MF-P</v>
          </cell>
          <cell r="C142" t="str">
            <v>WCLB24BA-CP315E</v>
          </cell>
          <cell r="D142">
            <v>1</v>
          </cell>
          <cell r="E142" t="str">
            <v>AB PP WC ABM-CHALLENGER NS60 +L</v>
          </cell>
        </row>
        <row r="143">
          <cell r="B143" t="str">
            <v>CLNS60S-MF-P</v>
          </cell>
          <cell r="C143" t="str">
            <v>WCLB24BR-CP315E</v>
          </cell>
          <cell r="D143">
            <v>1</v>
          </cell>
          <cell r="E143" t="str">
            <v>AB PP WC ABM-CHALLENGER NS60S +L</v>
          </cell>
        </row>
        <row r="144">
          <cell r="B144" t="str">
            <v>CLNS60ZL-MF-P</v>
          </cell>
          <cell r="C144" t="str">
            <v>WCLB24DB-CP315E</v>
          </cell>
          <cell r="D144">
            <v>1</v>
          </cell>
          <cell r="E144" t="str">
            <v>AB PP WC ABM-CHALLENGER NS60Z +R</v>
          </cell>
        </row>
        <row r="145">
          <cell r="B145" t="str">
            <v>CLNS60ZLS-MF-P</v>
          </cell>
          <cell r="C145" t="str">
            <v>WCLB24DL-CP315E</v>
          </cell>
          <cell r="D145">
            <v>1</v>
          </cell>
          <cell r="E145" t="str">
            <v>AB PP WC ABM-CHALLENGER NS60ZS +R</v>
          </cell>
        </row>
        <row r="146">
          <cell r="B146" t="str">
            <v>CLNS60Z-MF-P</v>
          </cell>
          <cell r="C146" t="str">
            <v>WCLB24DA-CP315E</v>
          </cell>
          <cell r="D146">
            <v>1</v>
          </cell>
          <cell r="E146" t="str">
            <v>AB PP WC ABM-CHALLENGER NS60Z +L</v>
          </cell>
        </row>
        <row r="147">
          <cell r="B147" t="str">
            <v>CLNS60ZS-MF-P</v>
          </cell>
          <cell r="C147" t="str">
            <v>WCLB24DR-CP315E</v>
          </cell>
          <cell r="D147">
            <v>1</v>
          </cell>
          <cell r="E147" t="str">
            <v>AB PP WC ABM-CHALLENGER NS60ZS +L</v>
          </cell>
        </row>
        <row r="148">
          <cell r="B148" t="str">
            <v>CLNS70L-MF-P</v>
          </cell>
          <cell r="C148" t="str">
            <v>WCLG24DL-CP315E</v>
          </cell>
          <cell r="D148">
            <v>1</v>
          </cell>
          <cell r="E148" t="str">
            <v>AB PP WC ABM-CHALLENGER NS70 +R</v>
          </cell>
        </row>
        <row r="149">
          <cell r="B149" t="str">
            <v>CLNS70-MF-P</v>
          </cell>
          <cell r="C149" t="str">
            <v>WCLG24DR-CP315E</v>
          </cell>
          <cell r="D149">
            <v>1</v>
          </cell>
          <cell r="E149" t="str">
            <v>AB PP WC ABM-CHALLENGER NS70 +L</v>
          </cell>
        </row>
        <row r="150">
          <cell r="B150" t="str">
            <v>CLNX110L-MF-P</v>
          </cell>
          <cell r="C150" t="str">
            <v>WCLG24EL-CP315E</v>
          </cell>
          <cell r="D150">
            <v>1</v>
          </cell>
          <cell r="E150" t="str">
            <v>AB PP WC ABM-CHALLENGER NX110 +R</v>
          </cell>
        </row>
        <row r="151">
          <cell r="B151" t="str">
            <v>CLNX110-MF-P</v>
          </cell>
          <cell r="C151" t="str">
            <v>WCLG24ER-CP315E</v>
          </cell>
          <cell r="D151">
            <v>1</v>
          </cell>
          <cell r="E151" t="str">
            <v>AB PP WC ABM-CHALLENGER NX110 +L</v>
          </cell>
        </row>
        <row r="152">
          <cell r="B152" t="str">
            <v>CLNX120L-MF-P</v>
          </cell>
          <cell r="C152" t="str">
            <v>WCLG27GL-CP315E</v>
          </cell>
          <cell r="D152">
            <v>1</v>
          </cell>
          <cell r="E152" t="str">
            <v>AB PP WC ABM-CHALLENGER NX120L +R</v>
          </cell>
        </row>
        <row r="153">
          <cell r="B153" t="str">
            <v>CLNX120-MF-P</v>
          </cell>
          <cell r="C153" t="str">
            <v>WCLG27GR-CP315E</v>
          </cell>
          <cell r="D153">
            <v>1</v>
          </cell>
          <cell r="E153" t="str">
            <v>AB PP WC ABM-CHALLENGER NX120 +L</v>
          </cell>
        </row>
        <row r="154">
          <cell r="B154" t="str">
            <v>DFC24ALD-P</v>
          </cell>
          <cell r="C154" t="str">
            <v>EDFC24BL-SPN00L</v>
          </cell>
          <cell r="D154">
            <v>1</v>
          </cell>
          <cell r="E154" t="str">
            <v>AB PP DC DYNAFORCE 1SNF/C24AL +R</v>
          </cell>
        </row>
        <row r="155">
          <cell r="B155" t="str">
            <v>DFD22ALD-P</v>
          </cell>
          <cell r="C155" t="str">
            <v>EDFD23AL-SPN00L</v>
          </cell>
          <cell r="D155">
            <v>1</v>
          </cell>
          <cell r="E155" t="str">
            <v>AB PP DC DYNAFORCE 1SMF/D22AL +R</v>
          </cell>
        </row>
        <row r="156">
          <cell r="B156" t="str">
            <v>DFD26ALD-P</v>
          </cell>
          <cell r="C156" t="str">
            <v>EDFD26AL-SPN00L</v>
          </cell>
          <cell r="D156">
            <v>1</v>
          </cell>
          <cell r="E156" t="str">
            <v>AB PP DC DYNAFORCE 2SMF/D26AL +R</v>
          </cell>
        </row>
        <row r="157">
          <cell r="B157" t="str">
            <v>DFD31ALD-P</v>
          </cell>
          <cell r="C157" t="str">
            <v>EDFD31AL-SPN00L</v>
          </cell>
          <cell r="D157">
            <v>1</v>
          </cell>
          <cell r="E157" t="str">
            <v>AB PP DC DYNAFORCE 3SMF/D31AL +R</v>
          </cell>
        </row>
        <row r="158">
          <cell r="B158" t="str">
            <v>DFE41ALD-P</v>
          </cell>
          <cell r="C158" t="str">
            <v>EDFE41AL-SPN00L</v>
          </cell>
          <cell r="D158">
            <v>1</v>
          </cell>
          <cell r="E158" t="str">
            <v>AB PP DC DYNAFORCE-OMMC N100 +R AUTO</v>
          </cell>
        </row>
        <row r="159">
          <cell r="B159" t="str">
            <v>DFF51ALD-P</v>
          </cell>
          <cell r="C159" t="str">
            <v>EDFF51BL-SPN00L</v>
          </cell>
          <cell r="D159">
            <v>1</v>
          </cell>
          <cell r="E159" t="str">
            <v>AB PP DC DYNAFORCE 2D/F51AL +R</v>
          </cell>
        </row>
        <row r="160">
          <cell r="B160" t="str">
            <v>DFG51ALD-P</v>
          </cell>
          <cell r="C160" t="str">
            <v>EDFG51AL-SPN00L</v>
          </cell>
          <cell r="D160">
            <v>1</v>
          </cell>
          <cell r="E160" t="str">
            <v>AB PP DC DYNAFORCE G51 +R</v>
          </cell>
        </row>
        <row r="161">
          <cell r="B161" t="str">
            <v>DFH52ALD-P</v>
          </cell>
          <cell r="C161" t="str">
            <v>EDFH52BL-SPN00L</v>
          </cell>
          <cell r="D161">
            <v>1</v>
          </cell>
          <cell r="E161" t="str">
            <v>AB PP DC DYNAFORCE 8D/H52AL (N200)</v>
          </cell>
        </row>
        <row r="162">
          <cell r="B162" t="str">
            <v>DPB20ALS-P</v>
          </cell>
          <cell r="C162" t="str">
            <v>WDPB20DL-CPN00L</v>
          </cell>
          <cell r="D162">
            <v>1</v>
          </cell>
          <cell r="E162" t="str">
            <v>AB PP WC MER-DPOWER B20L/NS40L +R</v>
          </cell>
        </row>
        <row r="163">
          <cell r="B163" t="str">
            <v>DPC24ALD-P</v>
          </cell>
          <cell r="C163" t="str">
            <v>EDPC24BL-SPN00L</v>
          </cell>
          <cell r="D163">
            <v>1</v>
          </cell>
          <cell r="E163" t="str">
            <v>AB PP DC DYNAPOWER 1SNF/C24AL +R</v>
          </cell>
        </row>
        <row r="164">
          <cell r="B164" t="str">
            <v>DPC24BL-P</v>
          </cell>
          <cell r="C164" t="str">
            <v>WDPC24BL-CPN00L</v>
          </cell>
          <cell r="D164">
            <v>1</v>
          </cell>
          <cell r="E164" t="str">
            <v>AB PP WC DYNAPOWER 1SNF/C24BL +R</v>
          </cell>
        </row>
        <row r="165">
          <cell r="B165" t="str">
            <v>DPD22BLD-P</v>
          </cell>
          <cell r="C165" t="str">
            <v>EDPD23AL-SPN00L</v>
          </cell>
          <cell r="D165">
            <v>1</v>
          </cell>
          <cell r="E165" t="str">
            <v>AB PP DC DYNAPOWER 1SMF/D22BL +R</v>
          </cell>
        </row>
        <row r="166">
          <cell r="B166" t="str">
            <v>DPD23BL-P</v>
          </cell>
          <cell r="C166" t="str">
            <v>WDPD23BL-CPN00L</v>
          </cell>
          <cell r="D166">
            <v>1</v>
          </cell>
          <cell r="E166" t="str">
            <v>AB PP WC DYNAPOWER MF D23 +R AUTO</v>
          </cell>
        </row>
        <row r="167">
          <cell r="B167" t="str">
            <v>DPD26BLD-P</v>
          </cell>
          <cell r="C167" t="str">
            <v>EDPD26AL-SPN00L</v>
          </cell>
          <cell r="D167">
            <v>1</v>
          </cell>
          <cell r="E167" t="str">
            <v>AB PP DC DYNAPOWER 2SMF/D26BL +R</v>
          </cell>
        </row>
        <row r="168">
          <cell r="B168" t="str">
            <v>DPD26BL-P</v>
          </cell>
          <cell r="C168" t="str">
            <v>WDPD26BL-CPN00L</v>
          </cell>
          <cell r="D168">
            <v>1</v>
          </cell>
          <cell r="E168" t="str">
            <v>AB PP WC DYNAPOWER 2SMF/D26BL +R</v>
          </cell>
        </row>
        <row r="169">
          <cell r="B169" t="str">
            <v>DPD31ALD-P</v>
          </cell>
          <cell r="C169" t="str">
            <v>EDPD31BL-SPN00L</v>
          </cell>
          <cell r="D169">
            <v>1</v>
          </cell>
          <cell r="E169" t="str">
            <v>AB PP DC DYNAPOWER 3SM/N70L +R</v>
          </cell>
        </row>
        <row r="170">
          <cell r="B170" t="str">
            <v>DPD31AL-P</v>
          </cell>
          <cell r="C170" t="str">
            <v>WDPD31BL-CPN00L</v>
          </cell>
          <cell r="D170">
            <v>1</v>
          </cell>
          <cell r="E170" t="str">
            <v>AB PP WC DYNAPOWER MF D31 +R AUTO</v>
          </cell>
        </row>
        <row r="171">
          <cell r="B171" t="str">
            <v>DPE41BLD-P</v>
          </cell>
          <cell r="C171" t="str">
            <v>EDPE41AL-SPN00L</v>
          </cell>
          <cell r="D171">
            <v>1</v>
          </cell>
          <cell r="E171" t="str">
            <v>AB PP DC DYNAPOWER 6SMF/E41BL +R</v>
          </cell>
        </row>
        <row r="172">
          <cell r="B172" t="str">
            <v>DPF51BLD-P</v>
          </cell>
          <cell r="C172" t="str">
            <v>EDPF51CL-SPN00L</v>
          </cell>
          <cell r="D172">
            <v>1</v>
          </cell>
          <cell r="E172" t="str">
            <v>AB PP DC DYNAPOWER 2D/F51BL +R</v>
          </cell>
        </row>
        <row r="173">
          <cell r="B173" t="str">
            <v>DPG49-MF-P</v>
          </cell>
          <cell r="C173" t="str">
            <v>WDPG49AL-TS118E</v>
          </cell>
          <cell r="D173">
            <v>1</v>
          </cell>
          <cell r="E173" t="str">
            <v>AB PP WC KAISHEN-DPOWER  DIN100/G49 +R</v>
          </cell>
        </row>
        <row r="174">
          <cell r="B174" t="str">
            <v>DPG51BLD-P</v>
          </cell>
          <cell r="C174" t="str">
            <v>EDPG51DL-SPN00L</v>
          </cell>
          <cell r="D174">
            <v>1</v>
          </cell>
          <cell r="E174" t="str">
            <v>AB PP DC DYNAPOWER 4D/G51BL +R</v>
          </cell>
        </row>
        <row r="175">
          <cell r="B175" t="str">
            <v>DPMFN55-P</v>
          </cell>
          <cell r="C175" t="str">
            <v>WDPN55EL-TS118E</v>
          </cell>
          <cell r="D175">
            <v>1</v>
          </cell>
          <cell r="E175" t="str">
            <v>AB PP WC DP-KAISHEN DIN55 MF +R</v>
          </cell>
        </row>
        <row r="176">
          <cell r="B176" t="str">
            <v>DPMFN55R-P</v>
          </cell>
          <cell r="C176" t="str">
            <v>WDPN55ER-TS118E</v>
          </cell>
          <cell r="D176">
            <v>1</v>
          </cell>
          <cell r="E176" t="str">
            <v>AB PP WC DP-KAISHEN DIN55-MF +L</v>
          </cell>
        </row>
        <row r="177">
          <cell r="B177" t="str">
            <v>DPMFN66-P</v>
          </cell>
          <cell r="C177" t="str">
            <v>WDPN66DL-TS118E</v>
          </cell>
          <cell r="D177">
            <v>1</v>
          </cell>
          <cell r="E177" t="str">
            <v>AB PP WC DP-KAISHEN DIN66 MF +R</v>
          </cell>
        </row>
        <row r="178">
          <cell r="B178" t="str">
            <v>DPMFN66R-P</v>
          </cell>
          <cell r="C178" t="str">
            <v>WDPN66DR-TS118E</v>
          </cell>
          <cell r="D178">
            <v>1</v>
          </cell>
          <cell r="E178" t="str">
            <v>AB PP WC DP-KAISHEN DIN66-MF +L</v>
          </cell>
        </row>
        <row r="179">
          <cell r="B179" t="str">
            <v>DPMFN88-P</v>
          </cell>
          <cell r="C179" t="str">
            <v>WDPN88BL-TS118E</v>
          </cell>
          <cell r="D179">
            <v>1</v>
          </cell>
          <cell r="E179" t="str">
            <v>AB PP WC DP-KAISHEN DIN88 MF +R</v>
          </cell>
        </row>
        <row r="180">
          <cell r="B180" t="str">
            <v>DPMFN88R-P</v>
          </cell>
          <cell r="C180" t="str">
            <v>WDPN88BR-TS118E</v>
          </cell>
          <cell r="D180">
            <v>1</v>
          </cell>
          <cell r="E180" t="str">
            <v>AB PP WC DP-KAISHEN DIN88-MF +L</v>
          </cell>
        </row>
        <row r="181">
          <cell r="B181" t="str">
            <v>DPNS40ZL-MF-P</v>
          </cell>
          <cell r="C181" t="str">
            <v>WDPB20CC-TS118E</v>
          </cell>
          <cell r="D181">
            <v>1</v>
          </cell>
          <cell r="E181" t="str">
            <v>AB PP WC DP-KAISHEN NS40ZL-MF +R SML</v>
          </cell>
        </row>
        <row r="182">
          <cell r="B182" t="str">
            <v>DPNS60LS-MF-P</v>
          </cell>
          <cell r="C182" t="str">
            <v>WDPB24BL-CP318E</v>
          </cell>
          <cell r="D182">
            <v>1</v>
          </cell>
          <cell r="E182" t="str">
            <v>AB PP WC DP-KAISHEN NS60LS-MF +L STD</v>
          </cell>
        </row>
        <row r="183">
          <cell r="B183" t="str">
            <v>DPNS60S-MF-P</v>
          </cell>
          <cell r="C183" t="str">
            <v>WDPB24BR-CP318E</v>
          </cell>
          <cell r="D183">
            <v>1</v>
          </cell>
          <cell r="E183" t="str">
            <v>AB PP WC DP-KAISHEN NS60S-MF +L STD</v>
          </cell>
        </row>
        <row r="184">
          <cell r="B184" t="str">
            <v>DPNS70L-MF-P</v>
          </cell>
          <cell r="C184" t="str">
            <v>WDPG24DL-CP318E</v>
          </cell>
          <cell r="D184">
            <v>1</v>
          </cell>
          <cell r="E184" t="str">
            <v>AB PP WC DP-KAISHEN NS70L-MF +R STD</v>
          </cell>
        </row>
        <row r="185">
          <cell r="B185" t="str">
            <v>DPNS70-MF-P</v>
          </cell>
          <cell r="C185" t="str">
            <v>WDPG24DR-CP318E</v>
          </cell>
          <cell r="D185">
            <v>1</v>
          </cell>
          <cell r="E185" t="str">
            <v>AB PP WC DP-KAISHEN NS70-MF +L STD</v>
          </cell>
        </row>
        <row r="186">
          <cell r="B186" t="str">
            <v>DSC24CLD-P</v>
          </cell>
          <cell r="C186" t="str">
            <v>EDSC24EL-SPN00L</v>
          </cell>
          <cell r="D186">
            <v>1</v>
          </cell>
          <cell r="E186" t="str">
            <v>AB PP DC DYNAPOWER SP C24 +R AUTO</v>
          </cell>
        </row>
        <row r="187">
          <cell r="B187" t="str">
            <v>DSD22BLD-P</v>
          </cell>
          <cell r="C187" t="str">
            <v>EDSD23DL-SPN00L</v>
          </cell>
          <cell r="D187">
            <v>1</v>
          </cell>
          <cell r="E187" t="str">
            <v>AB PP DC DYNAPOWER SP D22 +R AUTO</v>
          </cell>
        </row>
        <row r="188">
          <cell r="B188" t="str">
            <v>DSD26BLD-P</v>
          </cell>
          <cell r="C188" t="str">
            <v>EDSD26DL-SPN00L</v>
          </cell>
          <cell r="D188">
            <v>1</v>
          </cell>
          <cell r="E188" t="str">
            <v>AB PP DC DYNAPOWER SP D26 +R AUTO</v>
          </cell>
        </row>
        <row r="189">
          <cell r="B189" t="str">
            <v>DSD31BLD-P</v>
          </cell>
          <cell r="C189" t="str">
            <v>EDSD31DL-SPN00L</v>
          </cell>
          <cell r="D189">
            <v>1</v>
          </cell>
          <cell r="E189" t="str">
            <v>AB PP DC DYNAPOWER SP D31 +R AUTO</v>
          </cell>
        </row>
        <row r="190">
          <cell r="B190" t="str">
            <v>DSE41BLD-P</v>
          </cell>
          <cell r="C190" t="str">
            <v>EDSE41DL-SPN00L</v>
          </cell>
          <cell r="D190">
            <v>1</v>
          </cell>
          <cell r="E190" t="str">
            <v>AB PP DC DYNAPOWER SP E41 +R AUTO</v>
          </cell>
        </row>
        <row r="191">
          <cell r="B191" t="str">
            <v>DSF51BLD-P</v>
          </cell>
          <cell r="C191" t="str">
            <v>EDSF51CL-SPN00L</v>
          </cell>
          <cell r="D191">
            <v>1</v>
          </cell>
          <cell r="E191" t="str">
            <v>AB PP DC DYNAPOWER SP F51 +R AUTO</v>
          </cell>
        </row>
        <row r="192">
          <cell r="B192" t="str">
            <v>DSG51BLD-P</v>
          </cell>
          <cell r="C192" t="str">
            <v>EDSG51DL-SPN00L</v>
          </cell>
          <cell r="D192">
            <v>1</v>
          </cell>
          <cell r="E192" t="str">
            <v>AB PP DC DYNAPOWER SP G51 +R AUTO</v>
          </cell>
        </row>
        <row r="193">
          <cell r="B193" t="str">
            <v>DXB20ALS-P</v>
          </cell>
          <cell r="C193" t="str">
            <v>WDXB20DL-CPN00L</v>
          </cell>
          <cell r="D193">
            <v>1</v>
          </cell>
          <cell r="E193" t="str">
            <v>AB PP WC DYNAPOWER XTP NS40L/B20L +R</v>
          </cell>
        </row>
        <row r="194">
          <cell r="B194" t="str">
            <v>DXB24ARS-P</v>
          </cell>
          <cell r="C194" t="str">
            <v>WDXB24DR-CPN00L</v>
          </cell>
          <cell r="D194">
            <v>1</v>
          </cell>
          <cell r="E194" t="str">
            <v>AB PP WC DYNAPOWER XTP 1SNF/B24R +L</v>
          </cell>
        </row>
        <row r="195">
          <cell r="B195" t="str">
            <v>DXC24BL-P</v>
          </cell>
          <cell r="C195" t="str">
            <v>WDXC24DL-CPN00L</v>
          </cell>
          <cell r="D195">
            <v>1</v>
          </cell>
          <cell r="E195" t="str">
            <v>AB PP WC DYNAPOWER XTP 1SNF/C24BL +R</v>
          </cell>
        </row>
        <row r="196">
          <cell r="B196" t="str">
            <v>DXD23BL-P</v>
          </cell>
          <cell r="C196" t="str">
            <v>WDXD23DL-CPN00L</v>
          </cell>
          <cell r="D196">
            <v>1</v>
          </cell>
          <cell r="E196" t="str">
            <v>AB PP WC DYNAPOWER XTP 1SMF/D23BL +R</v>
          </cell>
        </row>
        <row r="197">
          <cell r="B197" t="str">
            <v>DXD23BR-MF-P</v>
          </cell>
          <cell r="C197" t="str">
            <v>WDXD23DR-CPN00L</v>
          </cell>
          <cell r="D197">
            <v>1</v>
          </cell>
          <cell r="E197" t="str">
            <v>AB PP WC DYNAPOWER XTP 1SMF/D23BR MF +L</v>
          </cell>
        </row>
        <row r="198">
          <cell r="B198" t="str">
            <v>DXD26BL-P</v>
          </cell>
          <cell r="C198" t="str">
            <v>WDXD26DL-CPN00L</v>
          </cell>
          <cell r="D198">
            <v>1</v>
          </cell>
          <cell r="E198" t="str">
            <v>AB PP WC DYNAPOWER XTP 2SMF/D26BL +R</v>
          </cell>
        </row>
        <row r="199">
          <cell r="B199" t="str">
            <v>DXD26BR-MF-P</v>
          </cell>
          <cell r="C199" t="str">
            <v>WDXD26DR-CPN00L</v>
          </cell>
          <cell r="D199">
            <v>1</v>
          </cell>
          <cell r="E199" t="str">
            <v>AB PP WC DYNAPOWER XTP 2SMF/D26BR MF +L</v>
          </cell>
        </row>
        <row r="200">
          <cell r="B200" t="str">
            <v>DXD31BL-P</v>
          </cell>
          <cell r="C200" t="str">
            <v>WDXD31DL-CPN00L</v>
          </cell>
          <cell r="D200">
            <v>1</v>
          </cell>
          <cell r="E200" t="str">
            <v>AB PP WC DYNAPOWER XTP 3SMF/D31BL +R</v>
          </cell>
        </row>
        <row r="201">
          <cell r="B201" t="str">
            <v>DXD31CR-MF-P</v>
          </cell>
          <cell r="C201" t="str">
            <v>WDXD31DR-CPN00L</v>
          </cell>
          <cell r="D201">
            <v>1</v>
          </cell>
          <cell r="E201" t="str">
            <v>AB PP WC DYNAPOWER XTP 3SMF/D31CR MF +L</v>
          </cell>
        </row>
        <row r="202">
          <cell r="B202" t="str">
            <v>EAERON120P</v>
          </cell>
          <cell r="C202" t="str">
            <v>EUBF517L-SPN19E</v>
          </cell>
          <cell r="D202">
            <v>1</v>
          </cell>
          <cell r="E202" t="str">
            <v>EX PCKD DC UNBRANDED (AERO) N120P</v>
          </cell>
        </row>
        <row r="203">
          <cell r="B203" t="str">
            <v>EAERON150P</v>
          </cell>
          <cell r="C203" t="str">
            <v>EUBG518L-SPN19E</v>
          </cell>
          <cell r="D203">
            <v>1</v>
          </cell>
          <cell r="E203" t="str">
            <v>EX PCKD DC UNBRANDED (AERO) N150P</v>
          </cell>
        </row>
        <row r="204">
          <cell r="B204" t="str">
            <v>EAERON200P</v>
          </cell>
          <cell r="C204" t="str">
            <v>EUBH52YL-SPN19E</v>
          </cell>
          <cell r="D204">
            <v>1</v>
          </cell>
          <cell r="E204" t="str">
            <v>EX PCKD DC UNBRANDED (AERO) N200P</v>
          </cell>
        </row>
        <row r="205">
          <cell r="B205" t="str">
            <v>EBB95D31LD-P</v>
          </cell>
          <cell r="C205" t="str">
            <v>EMCD31EL-SPN26E</v>
          </cell>
          <cell r="D205">
            <v>1</v>
          </cell>
          <cell r="E205" t="str">
            <v>EX PCKD DC BHATIA BROS.-UAE N70/D31 +R</v>
          </cell>
        </row>
        <row r="206">
          <cell r="B206" t="str">
            <v>EBB95D31RD-P</v>
          </cell>
          <cell r="C206" t="str">
            <v>EMCD31ER-SPN26E</v>
          </cell>
          <cell r="D206">
            <v>1</v>
          </cell>
          <cell r="E206" t="str">
            <v>EX PCKD DC BHATIA BROS.-UAE N70/D31 +L</v>
          </cell>
        </row>
        <row r="207">
          <cell r="B207" t="str">
            <v>EBBD26ALD-P</v>
          </cell>
          <cell r="C207" t="str">
            <v>EMCD26DL-SPN26E</v>
          </cell>
          <cell r="D207">
            <v>1</v>
          </cell>
          <cell r="E207" t="str">
            <v>EX PCKD DC BHATIA-UAE D26 +R AUTO</v>
          </cell>
        </row>
        <row r="208">
          <cell r="B208" t="str">
            <v>EBBD31ALD-P</v>
          </cell>
          <cell r="C208" t="str">
            <v>EMCD31CL-SPN26E</v>
          </cell>
          <cell r="D208">
            <v>1</v>
          </cell>
          <cell r="E208" t="str">
            <v>EX PCKD DC BHATIA-UAE D31 +R AUTO</v>
          </cell>
        </row>
        <row r="209">
          <cell r="B209" t="str">
            <v>EBBD31ARD-P</v>
          </cell>
          <cell r="C209" t="str">
            <v>EMCD31CR-SPN26E</v>
          </cell>
          <cell r="D209">
            <v>1</v>
          </cell>
          <cell r="E209" t="str">
            <v>EX PCKD DC BHATIA-UAE D31 +L AUTO</v>
          </cell>
        </row>
        <row r="210">
          <cell r="B210" t="str">
            <v>EBBE41BRD-P</v>
          </cell>
          <cell r="C210" t="str">
            <v>EMTE41CR-SPN26E</v>
          </cell>
          <cell r="D210">
            <v>1</v>
          </cell>
          <cell r="E210" t="str">
            <v>EX PCKD DC BHATIA BROS.-UAE N100/E41 +L</v>
          </cell>
        </row>
        <row r="211">
          <cell r="B211" t="str">
            <v>EBBN120D-P</v>
          </cell>
          <cell r="C211" t="str">
            <v>EMTF51CL-SPN26E</v>
          </cell>
          <cell r="D211">
            <v>1</v>
          </cell>
          <cell r="E211" t="str">
            <v>EX PCKD DC BHATIA BROS.-UAE N120 + R</v>
          </cell>
        </row>
        <row r="212">
          <cell r="B212" t="str">
            <v>EBBN150D-P</v>
          </cell>
          <cell r="C212" t="str">
            <v>EMTG51CL-SPN26E</v>
          </cell>
          <cell r="D212">
            <v>1</v>
          </cell>
          <cell r="E212" t="str">
            <v>EX PCKD DC BHATIA BROS.-UAE N150 + R</v>
          </cell>
        </row>
        <row r="213">
          <cell r="B213" t="str">
            <v>EBBN200D-P</v>
          </cell>
          <cell r="C213" t="str">
            <v>EMTH52BL-SPN26E</v>
          </cell>
          <cell r="D213">
            <v>1</v>
          </cell>
          <cell r="E213" t="str">
            <v>EX PCKD DC BHATIA BROS.-UAE N200 +R</v>
          </cell>
        </row>
        <row r="214">
          <cell r="B214" t="str">
            <v>EBJF51DLD-P</v>
          </cell>
          <cell r="C214" t="str">
            <v>EMCF51DL-SPN22E</v>
          </cell>
          <cell r="D214">
            <v>1</v>
          </cell>
          <cell r="E214" t="str">
            <v>EX PCKD DC BANICS-JAPN F51/N120 +R AUTO</v>
          </cell>
        </row>
        <row r="215">
          <cell r="B215" t="str">
            <v>EFC24ALD-P</v>
          </cell>
          <cell r="C215" t="str">
            <v>EEFC24BL-SPN00L</v>
          </cell>
          <cell r="D215">
            <v>1</v>
          </cell>
          <cell r="E215" t="str">
            <v>AB PP DC ENFORCER-LM 1SNF/N40L +R</v>
          </cell>
        </row>
        <row r="216">
          <cell r="B216" t="str">
            <v>EFD22BLD-P</v>
          </cell>
          <cell r="C216" t="str">
            <v>EEFD23BL-SPN00L</v>
          </cell>
          <cell r="D216">
            <v>1</v>
          </cell>
          <cell r="E216" t="str">
            <v>AB PP DC ENFORCER-LM 1SMF/NS50L +R</v>
          </cell>
        </row>
        <row r="217">
          <cell r="B217" t="str">
            <v>EFD26BLD-P</v>
          </cell>
          <cell r="C217" t="str">
            <v>EEFD26BL-SPN00L</v>
          </cell>
          <cell r="D217">
            <v>1</v>
          </cell>
          <cell r="E217" t="str">
            <v>AB PP DC ENFORCER-LM 2SMF/N50L +R</v>
          </cell>
        </row>
        <row r="218">
          <cell r="B218" t="str">
            <v>EFD31ALD-P</v>
          </cell>
          <cell r="C218" t="str">
            <v>EEFD31BL-SPN00L</v>
          </cell>
          <cell r="D218">
            <v>1</v>
          </cell>
          <cell r="E218" t="str">
            <v>AB PP DC ENFORCER-LM 3SMF/N70L +R</v>
          </cell>
        </row>
        <row r="219">
          <cell r="B219" t="str">
            <v>EFE41ALD-P</v>
          </cell>
          <cell r="C219" t="str">
            <v>EEFE41BL-SPN00L</v>
          </cell>
          <cell r="D219">
            <v>1</v>
          </cell>
          <cell r="E219" t="str">
            <v>AB PP DC ENFORCER-LM E41/N100 +R</v>
          </cell>
        </row>
        <row r="220">
          <cell r="B220" t="str">
            <v>EFF51ALD-P</v>
          </cell>
          <cell r="C220" t="str">
            <v>EEFF51BL-SPN00L</v>
          </cell>
          <cell r="D220">
            <v>1</v>
          </cell>
          <cell r="E220" t="str">
            <v>AB PP DC ENFORCER-LM F51/N120 +R</v>
          </cell>
        </row>
        <row r="221">
          <cell r="B221" t="str">
            <v>EFG51BLD-P</v>
          </cell>
          <cell r="C221" t="str">
            <v>EEFG51BL-SPN00L</v>
          </cell>
          <cell r="D221">
            <v>1</v>
          </cell>
          <cell r="E221" t="str">
            <v>AB PP DC ENFORCER-LM G51/N150 +R</v>
          </cell>
        </row>
        <row r="222">
          <cell r="B222" t="str">
            <v>EFH52ALD-P</v>
          </cell>
          <cell r="C222" t="str">
            <v>EEFH52BL-SPN00L</v>
          </cell>
          <cell r="D222">
            <v>1</v>
          </cell>
          <cell r="E222" t="str">
            <v>AB PP DC ENFORCER-LM H53/N200 +R</v>
          </cell>
        </row>
        <row r="223">
          <cell r="B223" t="str">
            <v>ELB20ALD-P</v>
          </cell>
          <cell r="C223" t="str">
            <v>EELB20AL-CPN00L</v>
          </cell>
          <cell r="D223">
            <v>1</v>
          </cell>
          <cell r="E223" t="str">
            <v>AB PP DC ELECTRON B20 +R</v>
          </cell>
        </row>
        <row r="224">
          <cell r="B224" t="str">
            <v>ELB20ALS-P</v>
          </cell>
          <cell r="C224" t="str">
            <v>WELB20DL-CPN00L</v>
          </cell>
          <cell r="D224">
            <v>1</v>
          </cell>
          <cell r="E224" t="str">
            <v>AB PP WC ELECTRON B20 +R</v>
          </cell>
        </row>
        <row r="225">
          <cell r="B225" t="str">
            <v>ELC24ALD-P</v>
          </cell>
          <cell r="C225" t="str">
            <v>EELC24AL-SPN00L</v>
          </cell>
          <cell r="D225">
            <v>1</v>
          </cell>
          <cell r="E225" t="str">
            <v>AB PP DC ELECTRON 1SNF/C24 +R</v>
          </cell>
        </row>
        <row r="226">
          <cell r="B226" t="str">
            <v>ELD22ALD-P</v>
          </cell>
          <cell r="C226" t="str">
            <v>EELD23AL-SPN00L</v>
          </cell>
          <cell r="D226">
            <v>1</v>
          </cell>
          <cell r="E226" t="str">
            <v>AB PP DC ELECTRON 1SMF/D22 +R</v>
          </cell>
        </row>
        <row r="227">
          <cell r="B227" t="str">
            <v>ELD26ALD-P</v>
          </cell>
          <cell r="C227" t="str">
            <v>EELD26AL-SPN00L</v>
          </cell>
          <cell r="D227">
            <v>1</v>
          </cell>
          <cell r="E227" t="str">
            <v>AB PP DC ELECTRON 2SMF/D26 +R</v>
          </cell>
        </row>
        <row r="228">
          <cell r="B228" t="str">
            <v>ELD31ALD-P</v>
          </cell>
          <cell r="C228" t="str">
            <v>EELD31AL-SPN00L</v>
          </cell>
          <cell r="D228">
            <v>1</v>
          </cell>
          <cell r="E228" t="str">
            <v>AB PP DC ELECTRON 3SMF/D31 +R</v>
          </cell>
        </row>
        <row r="229">
          <cell r="B229" t="str">
            <v>ELE41ALD-P</v>
          </cell>
          <cell r="C229" t="str">
            <v>EELE41AL-SPN00L</v>
          </cell>
          <cell r="D229">
            <v>1</v>
          </cell>
          <cell r="E229" t="str">
            <v>AB PP DC ELECTRON 6SMF/E41 +R</v>
          </cell>
        </row>
        <row r="230">
          <cell r="B230" t="str">
            <v>ELF51ALD-P</v>
          </cell>
          <cell r="C230" t="str">
            <v>EELF51AL-SPN00L</v>
          </cell>
          <cell r="D230">
            <v>1</v>
          </cell>
          <cell r="E230" t="str">
            <v>AB PP DC ELECTRON 2D/F51 +R</v>
          </cell>
        </row>
        <row r="231">
          <cell r="B231" t="str">
            <v>ELG51ALD-P</v>
          </cell>
          <cell r="C231" t="str">
            <v>EELG51AL-SPN00L</v>
          </cell>
          <cell r="D231">
            <v>1</v>
          </cell>
          <cell r="E231" t="str">
            <v>AB PP DC ELECTRON G51/N150</v>
          </cell>
        </row>
        <row r="232">
          <cell r="B232" t="str">
            <v>ELH52ALD-P</v>
          </cell>
          <cell r="C232" t="str">
            <v>EELH52AL-SPN00L</v>
          </cell>
          <cell r="D232">
            <v>1</v>
          </cell>
          <cell r="E232" t="str">
            <v>AB PP DC ELECTRON 8D/H52 +R</v>
          </cell>
        </row>
        <row r="233">
          <cell r="B233" t="str">
            <v>EMC95D31LD-P</v>
          </cell>
          <cell r="C233" t="str">
            <v>EMCD316L-SPN28E</v>
          </cell>
          <cell r="D233">
            <v>1</v>
          </cell>
          <cell r="E233" t="str">
            <v>EX PCKD DC AB PP MOTCO 95D31L +R</v>
          </cell>
        </row>
        <row r="234">
          <cell r="B234" t="str">
            <v>EMC95D31RD-P</v>
          </cell>
          <cell r="C234" t="str">
            <v>EMCD316R-SPN28E</v>
          </cell>
          <cell r="D234">
            <v>1</v>
          </cell>
          <cell r="E234" t="str">
            <v>EX PCKD DC AB PP MOTCO 95D31R +L</v>
          </cell>
        </row>
        <row r="235">
          <cell r="B235" t="str">
            <v>ESC65D26LD-P</v>
          </cell>
          <cell r="C235" t="str">
            <v>ESGD26CL-SPN12E</v>
          </cell>
          <cell r="D235">
            <v>1</v>
          </cell>
          <cell r="E235" t="str">
            <v>EX PCKD DC AB PP SUNNY CHINA 65D26L +R</v>
          </cell>
        </row>
        <row r="236">
          <cell r="B236" t="str">
            <v>ESC65D26RD-P</v>
          </cell>
          <cell r="C236" t="str">
            <v>ESGD26CR-SPN12E</v>
          </cell>
          <cell r="D236">
            <v>1</v>
          </cell>
          <cell r="E236" t="str">
            <v>EX PCKD DC AB PP SUNNY CHINA 65D26R +L</v>
          </cell>
        </row>
        <row r="237">
          <cell r="B237" t="str">
            <v>ESC75D26LD-P</v>
          </cell>
          <cell r="C237" t="str">
            <v>ESGD26DL-SPN12E</v>
          </cell>
          <cell r="D237">
            <v>1</v>
          </cell>
          <cell r="E237" t="str">
            <v>EX PCKD DC TRUCK MSTR-IRAQ N150 AUTO + R</v>
          </cell>
        </row>
        <row r="238">
          <cell r="B238" t="str">
            <v>ESC75D26RD-P</v>
          </cell>
          <cell r="C238" t="str">
            <v>ESGD26DR-SPN12E</v>
          </cell>
          <cell r="D238">
            <v>1</v>
          </cell>
          <cell r="E238" t="str">
            <v>EX PCKD DC HK-SCGOLD 75D26R +L</v>
          </cell>
        </row>
        <row r="239">
          <cell r="B239" t="str">
            <v>ESC75D31LD-P</v>
          </cell>
          <cell r="C239" t="str">
            <v>ESGD31DL-SPN12E</v>
          </cell>
          <cell r="D239">
            <v>1</v>
          </cell>
          <cell r="E239" t="str">
            <v>EX PCKD DC HK-SCGOLD 75D31L +R</v>
          </cell>
        </row>
        <row r="240">
          <cell r="B240" t="str">
            <v>ESC75D31RD-P</v>
          </cell>
          <cell r="C240" t="str">
            <v>ESGD31DR-SPN12E</v>
          </cell>
          <cell r="D240">
            <v>1</v>
          </cell>
          <cell r="E240" t="str">
            <v>EX PCKD DC HK-SCGOLD 75D31R +L</v>
          </cell>
        </row>
        <row r="241">
          <cell r="B241" t="str">
            <v>ESC80D26LD-P</v>
          </cell>
          <cell r="C241" t="str">
            <v>ESGD26EL-SPN12E</v>
          </cell>
          <cell r="D241">
            <v>1</v>
          </cell>
          <cell r="E241" t="str">
            <v>EX PCKD DC HK-SCGOLD 80D26L +R</v>
          </cell>
        </row>
        <row r="242">
          <cell r="B242" t="str">
            <v>ESC80D26RD-P</v>
          </cell>
          <cell r="C242" t="str">
            <v>ESGD26ER-SPN12E</v>
          </cell>
          <cell r="D242">
            <v>1</v>
          </cell>
          <cell r="E242" t="str">
            <v>EX PCKD DC HK-SCGOLD 80D26R +L</v>
          </cell>
        </row>
        <row r="243">
          <cell r="B243" t="str">
            <v>ESC95D31LD-P</v>
          </cell>
          <cell r="C243" t="str">
            <v>ESGD31EL-SPN12E</v>
          </cell>
          <cell r="D243">
            <v>1</v>
          </cell>
          <cell r="E243" t="str">
            <v>EX PCKD DC HK-SCGOLD  95D31L +R</v>
          </cell>
        </row>
        <row r="244">
          <cell r="B244" t="str">
            <v>ESC95D31RD-P</v>
          </cell>
          <cell r="C244" t="str">
            <v>ESGD31ER-SPN12E</v>
          </cell>
          <cell r="D244">
            <v>1</v>
          </cell>
          <cell r="E244" t="str">
            <v>EX PCKD DC HK-SCGOLD  95D31R +L</v>
          </cell>
        </row>
        <row r="245">
          <cell r="B245" t="str">
            <v>ESCD50Z-P</v>
          </cell>
          <cell r="C245" t="str">
            <v>EATD26OF-SPN03E</v>
          </cell>
          <cell r="D245">
            <v>1</v>
          </cell>
          <cell r="E245" t="str">
            <v>EX PCKD DC EX- SUPCHA DEEP CYCLE N50 +R</v>
          </cell>
        </row>
        <row r="246">
          <cell r="B246" t="str">
            <v>ESCD70Z-P</v>
          </cell>
          <cell r="C246" t="str">
            <v>EATD31PF-SPN03E</v>
          </cell>
          <cell r="D246">
            <v>1</v>
          </cell>
          <cell r="E246" t="str">
            <v>EX PCKD DC EX- SUPCHA DEEP CYCLE N70 +R</v>
          </cell>
        </row>
        <row r="247">
          <cell r="B247" t="str">
            <v>ESCE41BRD-P</v>
          </cell>
          <cell r="C247" t="str">
            <v>ESCE41CR-SPN12E</v>
          </cell>
          <cell r="D247">
            <v>1</v>
          </cell>
          <cell r="E247" t="str">
            <v>EX PCKD DC HK-SCCLASSIC N100 +L</v>
          </cell>
        </row>
        <row r="248">
          <cell r="B248" t="str">
            <v>ESCN120P</v>
          </cell>
          <cell r="C248" t="str">
            <v>ESCF518L-SPN03E</v>
          </cell>
          <cell r="D248">
            <v>1</v>
          </cell>
          <cell r="E248" t="str">
            <v>EX PCKD DC EX-SUPCHA N120L (21-PPC)</v>
          </cell>
        </row>
        <row r="249">
          <cell r="B249" t="str">
            <v>ESCN150P</v>
          </cell>
          <cell r="C249" t="str">
            <v>ESCG519L-SPN03E</v>
          </cell>
          <cell r="D249">
            <v>1</v>
          </cell>
          <cell r="E249" t="str">
            <v>EX PCKD DC EX-SUPCHA N150 (25-PPC)</v>
          </cell>
        </row>
        <row r="250">
          <cell r="B250" t="str">
            <v>ESCN200P</v>
          </cell>
          <cell r="C250" t="str">
            <v>ESCH52YL-SPN03E</v>
          </cell>
          <cell r="D250">
            <v>1</v>
          </cell>
          <cell r="E250" t="str">
            <v>EX PCKD DC EX-SUPCHA N200 (27 PPC)</v>
          </cell>
        </row>
        <row r="251">
          <cell r="B251" t="str">
            <v>ESCNZD50Z-P</v>
          </cell>
          <cell r="C251" t="str">
            <v>EATD26OF-SPN04E</v>
          </cell>
          <cell r="D251">
            <v>1</v>
          </cell>
          <cell r="E251" t="str">
            <v>EX PCKD DC NZ AMP-TECH D50Z +L AUTO 80AH</v>
          </cell>
        </row>
        <row r="252">
          <cell r="B252" t="str">
            <v>ESCNZD70Z-P</v>
          </cell>
          <cell r="C252" t="str">
            <v>EATD31PF-SPN04E</v>
          </cell>
          <cell r="D252">
            <v>1</v>
          </cell>
          <cell r="E252" t="str">
            <v>EX PCKD DC NZ AMP-TECH D70Z +L AUTO 100A</v>
          </cell>
        </row>
        <row r="253">
          <cell r="B253" t="str">
            <v>ESCNZN120D-P</v>
          </cell>
          <cell r="C253" t="str">
            <v>ESCF518L-SPN04E</v>
          </cell>
          <cell r="D253">
            <v>1</v>
          </cell>
          <cell r="E253" t="str">
            <v>EX PCKD DC NZ SCCLASSIC EHD N120 AUTO +R</v>
          </cell>
        </row>
        <row r="254">
          <cell r="B254" t="str">
            <v>ESCNZN150D-P</v>
          </cell>
          <cell r="C254" t="str">
            <v>ESCG519L-SPN04E</v>
          </cell>
          <cell r="D254">
            <v>1</v>
          </cell>
          <cell r="E254" t="str">
            <v>EX PCKD DC NZ SCCLASSIC EHD N150 AUTO +R</v>
          </cell>
        </row>
        <row r="255">
          <cell r="B255" t="str">
            <v>ESCNZN200D-P</v>
          </cell>
          <cell r="C255" t="str">
            <v>ESCH52YL-SPN04E</v>
          </cell>
          <cell r="D255">
            <v>1</v>
          </cell>
          <cell r="E255" t="str">
            <v>EX PCKD DC NZ SCCLASSIC EHD N200 AUTO +R</v>
          </cell>
        </row>
        <row r="256">
          <cell r="B256" t="str">
            <v>ESCNZN25D-P</v>
          </cell>
          <cell r="C256" t="str">
            <v>ESCGC29L-SPN04E</v>
          </cell>
          <cell r="D256">
            <v>1</v>
          </cell>
          <cell r="E256" t="str">
            <v>EX PCKD DC NZ SCCLASSIC EHD N25 6V AUTO</v>
          </cell>
        </row>
        <row r="257">
          <cell r="B257" t="str">
            <v>ESSN200D-P</v>
          </cell>
          <cell r="C257" t="str">
            <v>EMTH52BL-SPN14E</v>
          </cell>
          <cell r="D257">
            <v>1</v>
          </cell>
          <cell r="E257" t="str">
            <v>EX PCKD DC SINMA SINGAPORE N200</v>
          </cell>
        </row>
        <row r="258">
          <cell r="B258" t="str">
            <v>ESUNN120P</v>
          </cell>
          <cell r="C258" t="str">
            <v>ESCF51CL-SPN12E</v>
          </cell>
          <cell r="D258">
            <v>1</v>
          </cell>
          <cell r="E258" t="str">
            <v>EX PCKD DC CHINA-SUNNY N120/2D</v>
          </cell>
        </row>
        <row r="259">
          <cell r="B259" t="str">
            <v>ESUNN150P</v>
          </cell>
          <cell r="C259" t="str">
            <v>ESCG51BL-SPN12E</v>
          </cell>
          <cell r="D259">
            <v>1</v>
          </cell>
          <cell r="E259" t="str">
            <v>EX PCKD DC CHINA-SUNNY N150/4D</v>
          </cell>
        </row>
        <row r="260">
          <cell r="B260" t="str">
            <v>ESUNN200P</v>
          </cell>
          <cell r="C260" t="str">
            <v>ESCH52FL-SPN12E</v>
          </cell>
          <cell r="D260">
            <v>1</v>
          </cell>
          <cell r="E260" t="str">
            <v>EX PCKD DC CHINA-SUNNY N200/8D</v>
          </cell>
        </row>
        <row r="261">
          <cell r="B261" t="str">
            <v>EUB4DLT-7</v>
          </cell>
          <cell r="C261" t="str">
            <v>UUB4DT7I-SPN01E</v>
          </cell>
          <cell r="D261">
            <v>1</v>
          </cell>
          <cell r="E261" t="str">
            <v>EX PCKD GP RBI 4DLT-7 W ACCS</v>
          </cell>
        </row>
        <row r="262">
          <cell r="B262" t="str">
            <v>EUB4DP-1000</v>
          </cell>
          <cell r="C262" t="str">
            <v>UUB4DPZI-SPN01E</v>
          </cell>
          <cell r="D262">
            <v>1</v>
          </cell>
          <cell r="E262" t="e">
            <v>#N/A</v>
          </cell>
        </row>
        <row r="263">
          <cell r="B263" t="str">
            <v>EUB4DP-800</v>
          </cell>
          <cell r="C263" t="str">
            <v>UUB4DP8L-SPN01E</v>
          </cell>
          <cell r="D263">
            <v>1</v>
          </cell>
          <cell r="E263" t="str">
            <v>EX PCKD GP RBI 4DP-800</v>
          </cell>
        </row>
        <row r="264">
          <cell r="B264" t="str">
            <v>EUB8DMF-1100</v>
          </cell>
          <cell r="C264" t="str">
            <v>UUBH52YI-CPH01E</v>
          </cell>
          <cell r="D264">
            <v>1</v>
          </cell>
          <cell r="E264" t="str">
            <v>EX PCKD GP RBI 8DMF-1100 W ACCESSORIES</v>
          </cell>
        </row>
        <row r="265">
          <cell r="B265" t="str">
            <v>EUB8DMF-1300</v>
          </cell>
          <cell r="C265" t="str">
            <v>UUBH52WI-CPH01E</v>
          </cell>
          <cell r="D265">
            <v>1</v>
          </cell>
          <cell r="E265" t="str">
            <v>EX PCKD GP RBI 8DMF-1300 W ACCESSORIES</v>
          </cell>
        </row>
        <row r="266">
          <cell r="B266" t="str">
            <v>EUB8DP-1000</v>
          </cell>
          <cell r="C266" t="str">
            <v>UUBH52ZI-CPH01E</v>
          </cell>
          <cell r="D266">
            <v>1</v>
          </cell>
          <cell r="E266" t="str">
            <v>EX PCKD GP RBI 8D-1000 AUTO W ACCS</v>
          </cell>
        </row>
        <row r="267">
          <cell r="B267" t="str">
            <v>EUB8DP-1200</v>
          </cell>
          <cell r="C267" t="str">
            <v>UUBH52XI-CPN01E</v>
          </cell>
          <cell r="D267">
            <v>1</v>
          </cell>
          <cell r="E267" t="str">
            <v>EX PCKD GP RBI 8D-1200 AUTO W ACCS</v>
          </cell>
        </row>
        <row r="268">
          <cell r="B268" t="str">
            <v>EUBG22F-3</v>
          </cell>
          <cell r="C268" t="str">
            <v>UUBG223I-CPH01E</v>
          </cell>
          <cell r="D268">
            <v>1</v>
          </cell>
          <cell r="E268" t="str">
            <v>EX PCKD GP RBI G22F-3 +R W ACCS</v>
          </cell>
        </row>
        <row r="269">
          <cell r="B269" t="str">
            <v>EUBG22F-5</v>
          </cell>
          <cell r="C269" t="str">
            <v>UUBG225I-CPH01E</v>
          </cell>
          <cell r="D269">
            <v>1</v>
          </cell>
          <cell r="E269" t="str">
            <v>EX PCKD GP RBI G22F-5 +R W ACCS</v>
          </cell>
        </row>
        <row r="270">
          <cell r="B270" t="str">
            <v>EUBG22NF-4</v>
          </cell>
          <cell r="C270" t="str">
            <v>UUBC244I-CPH01E</v>
          </cell>
          <cell r="D270">
            <v>1</v>
          </cell>
          <cell r="E270" t="str">
            <v>EX PCKD GP RBI G22NF-4 +R W ACCS</v>
          </cell>
        </row>
        <row r="271">
          <cell r="B271" t="str">
            <v>EUBG22NFC-4</v>
          </cell>
          <cell r="C271" t="str">
            <v>UUBC244E-CPH01E</v>
          </cell>
          <cell r="D271">
            <v>1</v>
          </cell>
          <cell r="E271" t="str">
            <v>EX PCKD GP RBI G22NF-4 +L W ACCS</v>
          </cell>
        </row>
        <row r="272">
          <cell r="B272" t="str">
            <v>EUBG24-4MF</v>
          </cell>
          <cell r="C272" t="str">
            <v>UUBG244E-CPH01E</v>
          </cell>
          <cell r="D272">
            <v>1</v>
          </cell>
          <cell r="E272" t="str">
            <v>EX PCKD GP RBI G24-4MF +L W ACCESORIES</v>
          </cell>
        </row>
        <row r="273">
          <cell r="B273" t="str">
            <v>EUBG24-4SM</v>
          </cell>
          <cell r="C273" t="str">
            <v>UUBG244F-CPH01E</v>
          </cell>
          <cell r="D273">
            <v>1</v>
          </cell>
          <cell r="E273" t="str">
            <v>EX PCKD GP RBI G24-4SM +L W ACCESORIES</v>
          </cell>
        </row>
        <row r="274">
          <cell r="B274" t="str">
            <v>EUBG24-5MF</v>
          </cell>
          <cell r="C274" t="str">
            <v>UUBG245E-CPH01E</v>
          </cell>
          <cell r="D274">
            <v>1</v>
          </cell>
          <cell r="E274" t="str">
            <v>EX PCKD GP RBI G24-5MF +L W ACCESORIES</v>
          </cell>
        </row>
        <row r="275">
          <cell r="B275" t="str">
            <v>EUBG24-5SM</v>
          </cell>
          <cell r="C275" t="str">
            <v>UUBG245F-CPH01E</v>
          </cell>
          <cell r="D275">
            <v>1</v>
          </cell>
          <cell r="E275" t="str">
            <v>EX PCKD GP RBI G24-5SM +L W ACCESORIES</v>
          </cell>
        </row>
        <row r="276">
          <cell r="B276" t="str">
            <v>EUBG24-60MCRD</v>
          </cell>
          <cell r="C276" t="str">
            <v>UUBG24NM-CPN01E</v>
          </cell>
          <cell r="D276">
            <v>1</v>
          </cell>
          <cell r="E276" t="str">
            <v>EX PCKD GP RBI G24-60MCRD +L W ACCS</v>
          </cell>
        </row>
        <row r="277">
          <cell r="B277" t="str">
            <v>EUBG24-6MF</v>
          </cell>
          <cell r="C277" t="str">
            <v>UUBG246E-CPH01E</v>
          </cell>
          <cell r="D277">
            <v>1</v>
          </cell>
          <cell r="E277" t="str">
            <v>EX PCKD GP RBI G24-6MF +L W ACCESORIES</v>
          </cell>
        </row>
        <row r="278">
          <cell r="B278" t="str">
            <v>EUBG24-75MCRD</v>
          </cell>
          <cell r="C278" t="str">
            <v>UUBG24OM-CPN01E</v>
          </cell>
          <cell r="D278">
            <v>1</v>
          </cell>
          <cell r="E278" t="str">
            <v>EX PCKD GP RBI G24-75MCRD +L W ACCS</v>
          </cell>
        </row>
        <row r="279">
          <cell r="B279" t="str">
            <v>EUBG24-7MF</v>
          </cell>
          <cell r="C279" t="str">
            <v>UUBG247E-CPH01E</v>
          </cell>
          <cell r="D279">
            <v>1</v>
          </cell>
          <cell r="E279" t="str">
            <v>EX PCKD GP RBI G24-7MF +L W ACCESORIES</v>
          </cell>
        </row>
        <row r="280">
          <cell r="B280" t="str">
            <v>EUBG24-90MCRD</v>
          </cell>
          <cell r="C280" t="str">
            <v>UUBG24PM-CPN01E</v>
          </cell>
          <cell r="D280">
            <v>1</v>
          </cell>
          <cell r="E280" t="str">
            <v>EX PCKD GP RBI G24-90MCRD +L W ACCS</v>
          </cell>
        </row>
        <row r="281">
          <cell r="B281" t="str">
            <v>EUBG24F-4MF</v>
          </cell>
          <cell r="C281" t="str">
            <v>UUBG244I-CPH01E</v>
          </cell>
          <cell r="D281">
            <v>1</v>
          </cell>
          <cell r="E281" t="str">
            <v>EX PCKD GP RBI G24F-4MF +R W ACCS</v>
          </cell>
        </row>
        <row r="282">
          <cell r="B282" t="str">
            <v>EUBG24F-5MF</v>
          </cell>
          <cell r="C282" t="str">
            <v>UUBG245I-CPH01E</v>
          </cell>
          <cell r="D282">
            <v>1</v>
          </cell>
          <cell r="E282" t="str">
            <v>EX PCKD GP RBI G24F-5MF +R W ACCS</v>
          </cell>
        </row>
        <row r="283">
          <cell r="B283" t="str">
            <v>EUBG24F-6MF</v>
          </cell>
          <cell r="C283" t="str">
            <v>UUBG246I-CPH01E</v>
          </cell>
          <cell r="D283">
            <v>1</v>
          </cell>
          <cell r="E283" t="str">
            <v>EX PCKD GP RBI G24F-6MF +R W ACCS</v>
          </cell>
        </row>
        <row r="284">
          <cell r="B284" t="str">
            <v>EUBG24F-7MF</v>
          </cell>
          <cell r="C284" t="str">
            <v>UUBG247I-CPH01E</v>
          </cell>
          <cell r="D284">
            <v>1</v>
          </cell>
          <cell r="E284" t="str">
            <v>EX PCKD GP RBI G24F-7MF WITH ACCESORIES</v>
          </cell>
        </row>
        <row r="285">
          <cell r="B285" t="str">
            <v>EUBG25/75-4MF</v>
          </cell>
          <cell r="C285" t="str">
            <v>UUBD754D-CPH01E</v>
          </cell>
          <cell r="D285">
            <v>1</v>
          </cell>
          <cell r="E285" t="str">
            <v>EX PCKD GP RBI G25/75-4MF +L W ACCS</v>
          </cell>
        </row>
        <row r="286">
          <cell r="B286" t="str">
            <v>EUBG25/75-5MF</v>
          </cell>
          <cell r="C286" t="str">
            <v>UUBD755D-CPH01E</v>
          </cell>
          <cell r="D286">
            <v>1</v>
          </cell>
          <cell r="E286" t="str">
            <v>EX PCKD GP RBI G25/75-5MF +L W ACCS</v>
          </cell>
        </row>
        <row r="287">
          <cell r="B287" t="str">
            <v>EUBG25/75-6MF</v>
          </cell>
          <cell r="C287" t="str">
            <v>UUBD756D-CPH01E</v>
          </cell>
          <cell r="D287">
            <v>1</v>
          </cell>
          <cell r="E287" t="str">
            <v>EX PCKD GP RBI G25/75-6MF +L W ACCS</v>
          </cell>
        </row>
        <row r="288">
          <cell r="B288" t="str">
            <v>EUBG25-5MF</v>
          </cell>
          <cell r="C288" t="str">
            <v>UUBG255E-CPH01E</v>
          </cell>
          <cell r="D288">
            <v>1</v>
          </cell>
          <cell r="E288" t="str">
            <v>EX PCKD GP RBI G25-5MF +L W ACCS</v>
          </cell>
        </row>
        <row r="289">
          <cell r="B289" t="str">
            <v>EUBG25-6MF</v>
          </cell>
          <cell r="C289" t="str">
            <v>UUBG256E-CPH01E</v>
          </cell>
          <cell r="D289">
            <v>1</v>
          </cell>
          <cell r="E289" t="str">
            <v>EX PCKD GP RBI G25-6MF +L W ACCESORIES</v>
          </cell>
        </row>
        <row r="290">
          <cell r="B290" t="str">
            <v>EUBG27-105MCRD</v>
          </cell>
          <cell r="C290" t="str">
            <v>UUBG27QM-CPN01E</v>
          </cell>
          <cell r="D290">
            <v>1</v>
          </cell>
          <cell r="E290" t="str">
            <v>EX PCKD GP RBI G27-105MCRD +L W ACCS</v>
          </cell>
        </row>
        <row r="291">
          <cell r="B291" t="str">
            <v>EUBG27-6MF</v>
          </cell>
          <cell r="C291" t="str">
            <v>UUBG276E-CPH01E</v>
          </cell>
          <cell r="D291">
            <v>1</v>
          </cell>
          <cell r="E291" t="str">
            <v>EX PCKD GP RBI G27-6MF +L W ACCS</v>
          </cell>
        </row>
        <row r="292">
          <cell r="B292" t="str">
            <v>EUBG27-7MF</v>
          </cell>
          <cell r="C292" t="str">
            <v>UUBG277E-CPH01E</v>
          </cell>
          <cell r="D292">
            <v>1</v>
          </cell>
          <cell r="E292" t="str">
            <v>EX PCKD GP RBI G27-7MF +L W ACCS</v>
          </cell>
        </row>
        <row r="293">
          <cell r="B293" t="str">
            <v>EUBG27-90MCRD</v>
          </cell>
          <cell r="C293" t="str">
            <v>UUBG27PM-CPN01E</v>
          </cell>
          <cell r="D293">
            <v>1</v>
          </cell>
          <cell r="E293" t="str">
            <v>EX PCKD GP RBI G27-90MCRD +L W ACCS</v>
          </cell>
        </row>
        <row r="294">
          <cell r="B294" t="str">
            <v>EUBG27F-6MF</v>
          </cell>
          <cell r="C294" t="str">
            <v>UUBG276I-CPH01E</v>
          </cell>
          <cell r="D294">
            <v>1</v>
          </cell>
          <cell r="E294" t="str">
            <v>EX PCKD GP RBI G27F-6MF +R W ACCS</v>
          </cell>
        </row>
        <row r="295">
          <cell r="B295" t="str">
            <v>EUBG27F-7MF</v>
          </cell>
          <cell r="C295" t="str">
            <v>UUBG277I-CPH01E</v>
          </cell>
          <cell r="D295">
            <v>1</v>
          </cell>
          <cell r="E295" t="str">
            <v>EX PCKD GP RBI G27F-7MF +R W ACCS</v>
          </cell>
        </row>
        <row r="296">
          <cell r="B296" t="str">
            <v>EUBG31A-10MF</v>
          </cell>
          <cell r="C296" t="str">
            <v>UUBB31ZE-CPH01E</v>
          </cell>
          <cell r="D296">
            <v>1</v>
          </cell>
          <cell r="E296" t="str">
            <v>EX PCKD GP RBI UB G31-MF AUTO BLK 1000 C</v>
          </cell>
        </row>
        <row r="297">
          <cell r="B297" t="str">
            <v>EUBG31A-6MF</v>
          </cell>
          <cell r="C297" t="str">
            <v>UUBB316E-CPH01E</v>
          </cell>
          <cell r="D297">
            <v>1</v>
          </cell>
          <cell r="E297" t="str">
            <v>EX PCKD GP RBI G31A-6MF</v>
          </cell>
        </row>
        <row r="298">
          <cell r="B298" t="str">
            <v>EUBG31A-7MF</v>
          </cell>
          <cell r="C298" t="str">
            <v>UUBB317E-CPH01E</v>
          </cell>
          <cell r="D298">
            <v>1</v>
          </cell>
          <cell r="E298" t="str">
            <v>EX PCKD GP RBI G31A-7MF W ACCS</v>
          </cell>
        </row>
        <row r="299">
          <cell r="B299" t="str">
            <v>EUBG31A-8MF</v>
          </cell>
          <cell r="C299" t="str">
            <v>UUBB318E-CPH01E</v>
          </cell>
          <cell r="D299">
            <v>1</v>
          </cell>
          <cell r="E299" t="str">
            <v>EX PCKD GP RBI UB G31-8MF AUTO BLK 800-C</v>
          </cell>
        </row>
        <row r="300">
          <cell r="B300" t="str">
            <v>EUBG31A-9MF</v>
          </cell>
          <cell r="C300" t="str">
            <v>UUBB319E-CPH01E</v>
          </cell>
          <cell r="D300">
            <v>1</v>
          </cell>
          <cell r="E300" t="str">
            <v>EX PCKD GP RBI G31A-9MF W ACCS</v>
          </cell>
        </row>
        <row r="301">
          <cell r="B301" t="str">
            <v>EUBG31AG-10MF</v>
          </cell>
          <cell r="C301" t="str">
            <v>UUBG31ZE-CPH01E</v>
          </cell>
          <cell r="D301">
            <v>1</v>
          </cell>
          <cell r="E301" t="str">
            <v>EX PCKD GP RBI G31AG-10MF +L W ACCS</v>
          </cell>
        </row>
        <row r="302">
          <cell r="B302" t="str">
            <v>EUBG31AG-6MF</v>
          </cell>
          <cell r="C302" t="str">
            <v>UUBG316E-CPH01E</v>
          </cell>
          <cell r="D302">
            <v>1</v>
          </cell>
          <cell r="E302" t="str">
            <v>EX PCKD GP RBI G31AG-6MF</v>
          </cell>
        </row>
        <row r="303">
          <cell r="B303" t="str">
            <v>EUBG31AG-7MF</v>
          </cell>
          <cell r="C303" t="str">
            <v>UUBG317E-CPH01E</v>
          </cell>
          <cell r="D303">
            <v>1</v>
          </cell>
          <cell r="E303" t="str">
            <v>EX PCKD GP RBI G31AG-7MF W ACCESORIES</v>
          </cell>
        </row>
        <row r="304">
          <cell r="B304" t="str">
            <v>EUBG31AG-8MF</v>
          </cell>
          <cell r="C304" t="str">
            <v>UUBG318E-CPH01E</v>
          </cell>
          <cell r="D304">
            <v>1</v>
          </cell>
          <cell r="E304" t="str">
            <v>EX PCKD GP RBI G31AG-8MF +L W ACCS</v>
          </cell>
        </row>
        <row r="305">
          <cell r="B305" t="str">
            <v>EUBG31AG-9MF</v>
          </cell>
          <cell r="C305" t="str">
            <v>UUBG319R-CPH01E</v>
          </cell>
          <cell r="D305">
            <v>1</v>
          </cell>
          <cell r="E305" t="str">
            <v>EX PCKD GP RBI G31AG-9MF W ACCS</v>
          </cell>
        </row>
        <row r="306">
          <cell r="B306" t="str">
            <v>EUBG31S-10MF</v>
          </cell>
          <cell r="C306" t="str">
            <v>UUBB31ZT-CPH01E</v>
          </cell>
          <cell r="D306">
            <v>1</v>
          </cell>
          <cell r="E306" t="str">
            <v>EX PCKD GP RBI G31S-10MF +L W ACCS</v>
          </cell>
        </row>
        <row r="307">
          <cell r="B307" t="str">
            <v>EUBG31S-6MF</v>
          </cell>
          <cell r="C307" t="str">
            <v>UUBB316T-CPH01E</v>
          </cell>
          <cell r="D307">
            <v>1</v>
          </cell>
          <cell r="E307" t="str">
            <v>EX PCKD GP RBI G31S-6MF</v>
          </cell>
        </row>
        <row r="308">
          <cell r="B308" t="str">
            <v>EUBG31S-7MF</v>
          </cell>
          <cell r="C308" t="str">
            <v>UUBB317T-CPH01E</v>
          </cell>
          <cell r="D308">
            <v>1</v>
          </cell>
          <cell r="E308" t="str">
            <v>EX PCKD GP RBI UB G31-7MF STUD 700 CCA</v>
          </cell>
        </row>
        <row r="309">
          <cell r="B309" t="str">
            <v>EUBG31S-8MF</v>
          </cell>
          <cell r="C309" t="str">
            <v>UUBB318T-CPH01E</v>
          </cell>
          <cell r="D309">
            <v>1</v>
          </cell>
          <cell r="E309" t="str">
            <v>EX PCKD GP RBI G31S-8MF +L W ACCS</v>
          </cell>
        </row>
        <row r="310">
          <cell r="B310" t="str">
            <v>EUBG31S-9MF</v>
          </cell>
          <cell r="C310" t="str">
            <v>UUBB319T-CPH01E</v>
          </cell>
          <cell r="D310">
            <v>1</v>
          </cell>
          <cell r="E310" t="str">
            <v>EX PCKD GP RBI G31S-9MF</v>
          </cell>
        </row>
        <row r="311">
          <cell r="B311" t="str">
            <v>EUBG31SG-10MF</v>
          </cell>
          <cell r="C311" t="str">
            <v>UUBG31ZT-CPH01E</v>
          </cell>
          <cell r="D311">
            <v>1</v>
          </cell>
          <cell r="E311" t="str">
            <v>EX PCKD GP RBI G31SG-10MF +L W ACCS</v>
          </cell>
        </row>
        <row r="312">
          <cell r="B312" t="str">
            <v>EUBG31SG-6MF</v>
          </cell>
          <cell r="C312" t="str">
            <v>UUBG316T-CPH01E</v>
          </cell>
          <cell r="D312">
            <v>1</v>
          </cell>
          <cell r="E312" t="str">
            <v>EX PCKD GP RBI G31SG-6MF</v>
          </cell>
        </row>
        <row r="313">
          <cell r="B313" t="str">
            <v>EUBG31SG-7MF</v>
          </cell>
          <cell r="C313" t="str">
            <v>UUBG317T-CPP01E</v>
          </cell>
          <cell r="D313">
            <v>1</v>
          </cell>
          <cell r="E313" t="str">
            <v>EX PCKD GP RBI G31SG-7MF W ACCESORIES</v>
          </cell>
        </row>
        <row r="314">
          <cell r="B314" t="str">
            <v>EUBG31SG-8MF</v>
          </cell>
          <cell r="C314" t="str">
            <v>UUBG318T-CPH01E</v>
          </cell>
          <cell r="D314">
            <v>1</v>
          </cell>
          <cell r="E314" t="str">
            <v>EX PCKD GP RBI G31SG-8MF +L W ACCS</v>
          </cell>
        </row>
        <row r="315">
          <cell r="B315" t="str">
            <v>EUBG31SG-9MF</v>
          </cell>
          <cell r="C315" t="str">
            <v>UUBG319T-CPH01E</v>
          </cell>
          <cell r="D315">
            <v>1</v>
          </cell>
          <cell r="E315" t="str">
            <v>EX PCKD GP RBI G31SG-9MF W ACCS</v>
          </cell>
        </row>
        <row r="316">
          <cell r="B316" t="str">
            <v>EUBG34/78-5MF</v>
          </cell>
          <cell r="C316" t="str">
            <v>UUBD785D-CPH01E</v>
          </cell>
          <cell r="D316">
            <v>1</v>
          </cell>
          <cell r="E316" t="str">
            <v>EX PCKD GP RBI G34/78-5MF +L W ACCS</v>
          </cell>
        </row>
        <row r="317">
          <cell r="B317" t="str">
            <v>EUBG34/78-6MF</v>
          </cell>
          <cell r="C317" t="str">
            <v>UUBD78DD-CPH01E</v>
          </cell>
          <cell r="D317">
            <v>1</v>
          </cell>
          <cell r="E317" t="str">
            <v>EX PCKD GP RBI G34/78-6MF +L W ACCS</v>
          </cell>
        </row>
        <row r="318">
          <cell r="B318" t="str">
            <v>EUBG34/78-8MF</v>
          </cell>
          <cell r="C318" t="str">
            <v>UUBD788D-CPH01E</v>
          </cell>
          <cell r="D318">
            <v>1</v>
          </cell>
          <cell r="E318" t="str">
            <v>EX PCKD GP RBI G34/78-8MF +L W ACCS</v>
          </cell>
        </row>
        <row r="319">
          <cell r="B319" t="str">
            <v>EUBG34-5MF</v>
          </cell>
          <cell r="C319" t="str">
            <v>UUBG345E-CPH01E</v>
          </cell>
          <cell r="D319">
            <v>1</v>
          </cell>
          <cell r="E319" t="str">
            <v>EX PCKD GP RBI G34-5MF +L W ACCS</v>
          </cell>
        </row>
        <row r="320">
          <cell r="B320" t="str">
            <v>EUBG34-6MF</v>
          </cell>
          <cell r="C320" t="str">
            <v>UUBG346E-CPH01E</v>
          </cell>
          <cell r="D320">
            <v>1</v>
          </cell>
          <cell r="E320" t="str">
            <v>EX PCKD GP RBI G34-6MF +L W ACCS</v>
          </cell>
        </row>
        <row r="321">
          <cell r="B321" t="str">
            <v>EUBG34R-5MF</v>
          </cell>
          <cell r="C321" t="str">
            <v>UUBG345I-CPH01E</v>
          </cell>
          <cell r="D321">
            <v>1</v>
          </cell>
          <cell r="E321" t="str">
            <v>EX PCKD GP RBI G34R-5MF</v>
          </cell>
        </row>
        <row r="322">
          <cell r="B322" t="str">
            <v>EUBG34R-6MF</v>
          </cell>
          <cell r="C322" t="str">
            <v>UUBG346I-CPH01E</v>
          </cell>
          <cell r="D322">
            <v>1</v>
          </cell>
          <cell r="E322" t="str">
            <v>EX PCKD GP RBI G34R-6MF +R W ACCS</v>
          </cell>
        </row>
        <row r="323">
          <cell r="B323" t="str">
            <v>EUBG35-5MF</v>
          </cell>
          <cell r="C323" t="str">
            <v>UUBG355I-CPH01E</v>
          </cell>
          <cell r="D323">
            <v>1</v>
          </cell>
          <cell r="E323" t="str">
            <v>EX PCKD GP RBI G35-5MF +R W ACCS</v>
          </cell>
        </row>
        <row r="324">
          <cell r="B324" t="str">
            <v>EUBG35-6MF</v>
          </cell>
          <cell r="C324" t="str">
            <v>UUBG356I-CPH01E</v>
          </cell>
          <cell r="D324">
            <v>1</v>
          </cell>
          <cell r="E324" t="str">
            <v>EX PCKD GP RBI G35-6MF +R W ACCESORIES</v>
          </cell>
        </row>
        <row r="325">
          <cell r="B325" t="str">
            <v>EUBG4-1000</v>
          </cell>
          <cell r="C325" t="str">
            <v>UUBGR4ZI-CPN01E</v>
          </cell>
          <cell r="D325">
            <v>1</v>
          </cell>
          <cell r="E325" t="str">
            <v>EX PCKD GP RBI UB G4-1000</v>
          </cell>
        </row>
        <row r="326">
          <cell r="B326" t="str">
            <v>EUBG4-800</v>
          </cell>
          <cell r="C326" t="str">
            <v>UUBGR48I-SPN02E</v>
          </cell>
          <cell r="D326">
            <v>1</v>
          </cell>
          <cell r="E326" t="str">
            <v>EX PCKD GP RBI UB G4-800</v>
          </cell>
        </row>
        <row r="327">
          <cell r="B327" t="str">
            <v>EUBG51-4</v>
          </cell>
          <cell r="C327" t="str">
            <v>UUBB244E-CPH01E</v>
          </cell>
          <cell r="D327">
            <v>1</v>
          </cell>
          <cell r="E327" t="str">
            <v>EX PCKD GP RBI G51-4 W ACCESORIES</v>
          </cell>
        </row>
        <row r="328">
          <cell r="B328" t="str">
            <v>EUBG51R-4</v>
          </cell>
          <cell r="C328" t="str">
            <v>UUBB244I-CPH01E</v>
          </cell>
          <cell r="D328">
            <v>1</v>
          </cell>
          <cell r="E328" t="str">
            <v>EX PCKD GP RBI G51R-4 W ACCESORIES</v>
          </cell>
        </row>
        <row r="329">
          <cell r="B329" t="str">
            <v>EUBG58-4MF</v>
          </cell>
          <cell r="C329" t="str">
            <v>UUBG584E-CPH01E</v>
          </cell>
          <cell r="D329">
            <v>1</v>
          </cell>
          <cell r="E329" t="str">
            <v>EX PCKD GP RBI G58-4MF +L W ACCS</v>
          </cell>
        </row>
        <row r="330">
          <cell r="B330" t="str">
            <v>EUBG58-5MF</v>
          </cell>
          <cell r="C330" t="str">
            <v>UUBG585E-CPH01E</v>
          </cell>
          <cell r="D330">
            <v>1</v>
          </cell>
          <cell r="E330" t="str">
            <v>EX PCKD GP RBI G58-5MF +L W ACCS</v>
          </cell>
        </row>
        <row r="331">
          <cell r="B331" t="str">
            <v>EUBG58-6MF</v>
          </cell>
          <cell r="C331" t="str">
            <v>UUBG586E-CPH01E</v>
          </cell>
          <cell r="D331">
            <v>1</v>
          </cell>
          <cell r="E331" t="str">
            <v>EX PCKD GP RBI G58-6MF +L W ACCESORIES</v>
          </cell>
        </row>
        <row r="332">
          <cell r="B332" t="str">
            <v>EUBG58R-4MF</v>
          </cell>
          <cell r="C332" t="str">
            <v>UUBG584I-CPH01E</v>
          </cell>
          <cell r="D332">
            <v>1</v>
          </cell>
          <cell r="E332" t="str">
            <v>EX PCKD GP RBI G58-4MF +R W ACCS</v>
          </cell>
        </row>
        <row r="333">
          <cell r="B333" t="str">
            <v>EUBG58R-5MF</v>
          </cell>
          <cell r="C333" t="str">
            <v>UUBG585I-CPH01E</v>
          </cell>
          <cell r="D333">
            <v>1</v>
          </cell>
          <cell r="E333" t="str">
            <v>EX PCKD GP RBI G58-5MF +R W ACCS</v>
          </cell>
        </row>
        <row r="334">
          <cell r="B334" t="str">
            <v>EUBG58R-6MF</v>
          </cell>
          <cell r="C334" t="str">
            <v>UUBG586I-CPH01E</v>
          </cell>
          <cell r="D334">
            <v>1</v>
          </cell>
          <cell r="E334" t="str">
            <v>EX PCKD GP RBI G58-6MF +R W ACCS</v>
          </cell>
        </row>
        <row r="335">
          <cell r="B335" t="str">
            <v>EUBG65-6MF</v>
          </cell>
          <cell r="C335" t="str">
            <v>UUBG656E-CPH01E</v>
          </cell>
          <cell r="D335">
            <v>1</v>
          </cell>
          <cell r="E335" t="str">
            <v>EX PCKD GP RBI G65-6MF +L W ACCS</v>
          </cell>
        </row>
        <row r="336">
          <cell r="B336" t="str">
            <v>EUBG65-8MF</v>
          </cell>
          <cell r="C336" t="str">
            <v>UUBG658E-CPH01E</v>
          </cell>
          <cell r="D336">
            <v>1</v>
          </cell>
          <cell r="E336" t="str">
            <v>EX PCKD GP RBI G65-8MF +L W ACCS</v>
          </cell>
        </row>
        <row r="337">
          <cell r="B337" t="str">
            <v>EUBG75-4MF</v>
          </cell>
          <cell r="C337" t="str">
            <v>UUBG754E-CPH01E</v>
          </cell>
          <cell r="D337">
            <v>1</v>
          </cell>
          <cell r="E337" t="str">
            <v>EX PCKD GP RBI G75-4MF +L W ACCS</v>
          </cell>
        </row>
        <row r="338">
          <cell r="B338" t="str">
            <v>EUBG75-5MF</v>
          </cell>
          <cell r="C338" t="str">
            <v>UUBG755S-CPH01E</v>
          </cell>
          <cell r="D338">
            <v>1</v>
          </cell>
          <cell r="E338" t="str">
            <v>EX PCKD GP RBI G75-5MF +L ST W ACCS</v>
          </cell>
        </row>
        <row r="339">
          <cell r="B339" t="str">
            <v>EUBG75-6MF</v>
          </cell>
          <cell r="C339" t="str">
            <v>UUBG756S-CPH01E</v>
          </cell>
          <cell r="D339">
            <v>1</v>
          </cell>
          <cell r="E339" t="str">
            <v>EX PCKD GP RBI G75-6MF +L ST W ACCS</v>
          </cell>
        </row>
        <row r="340">
          <cell r="B340" t="str">
            <v>EUBG78-5MF</v>
          </cell>
          <cell r="C340" t="str">
            <v>UUBG785S-CPH01E</v>
          </cell>
          <cell r="D340">
            <v>1</v>
          </cell>
          <cell r="E340" t="str">
            <v>EX PCKD GP RBI G78-5MF +L W ACCS</v>
          </cell>
        </row>
        <row r="341">
          <cell r="B341" t="str">
            <v>EUBG78-6MF</v>
          </cell>
          <cell r="C341" t="str">
            <v>UUBG786S-CPH01E</v>
          </cell>
          <cell r="D341">
            <v>1</v>
          </cell>
          <cell r="E341" t="str">
            <v>EX PCKD GP RBI G78-6MF +L ST W ACCS</v>
          </cell>
        </row>
        <row r="342">
          <cell r="B342" t="str">
            <v>EUBG78-8MF</v>
          </cell>
          <cell r="C342" t="str">
            <v>UUBG788S-CPH01E</v>
          </cell>
          <cell r="D342">
            <v>1</v>
          </cell>
          <cell r="E342" t="str">
            <v>EX PCKD GP RBI G78-8MF +L ST W ACCS</v>
          </cell>
        </row>
        <row r="343">
          <cell r="B343" t="str">
            <v>EUBGC2-17S</v>
          </cell>
          <cell r="C343" t="str">
            <v>UUBGC2SF-SPN01E</v>
          </cell>
          <cell r="D343">
            <v>1</v>
          </cell>
          <cell r="E343" t="str">
            <v>EX PCKD GP RBI UB GC2-17 PPC STUD RED/WH</v>
          </cell>
        </row>
        <row r="344">
          <cell r="B344" t="str">
            <v>EUBGC2-6V-20S</v>
          </cell>
          <cell r="C344" t="str">
            <v>UUBGC2UF-SPN01E</v>
          </cell>
          <cell r="D344">
            <v>1</v>
          </cell>
          <cell r="E344" t="str">
            <v>EX PCKD GP RBI GC2-6V 20PPC STUD WHT/BLK</v>
          </cell>
        </row>
        <row r="345">
          <cell r="B345" t="str">
            <v>FPC24ALD-P</v>
          </cell>
          <cell r="C345" t="str">
            <v>EFPC24BL-SPN00L</v>
          </cell>
          <cell r="D345">
            <v>1</v>
          </cell>
          <cell r="E345" t="str">
            <v>AB PP DC FIREPOWER C24 +R</v>
          </cell>
        </row>
        <row r="346">
          <cell r="B346" t="str">
            <v>FPD22ALD-P</v>
          </cell>
          <cell r="C346" t="str">
            <v>EFPD23AL-SPN00L</v>
          </cell>
          <cell r="D346">
            <v>1</v>
          </cell>
          <cell r="E346" t="str">
            <v>AB PP DC FIREPOWER-OMMC D22 +R AUTO</v>
          </cell>
        </row>
        <row r="347">
          <cell r="B347" t="str">
            <v>FPD26ALD-P</v>
          </cell>
          <cell r="C347" t="str">
            <v>EFPD26AL-SPN00L</v>
          </cell>
          <cell r="D347">
            <v>1</v>
          </cell>
          <cell r="E347" t="str">
            <v>AB PP DC FIRE POWER 2SMF/D26 +R</v>
          </cell>
        </row>
        <row r="348">
          <cell r="B348" t="str">
            <v>FPD31ALD-P</v>
          </cell>
          <cell r="C348" t="str">
            <v>EFPD31AL-SPN00L</v>
          </cell>
          <cell r="D348">
            <v>1</v>
          </cell>
          <cell r="E348" t="str">
            <v>AB PP DC FIRE POWER 3SMF/D31 +R</v>
          </cell>
        </row>
        <row r="349">
          <cell r="B349" t="str">
            <v>FPE41ALD-P</v>
          </cell>
          <cell r="C349" t="str">
            <v>EFPE41AL-SPN00L</v>
          </cell>
          <cell r="D349">
            <v>1</v>
          </cell>
          <cell r="E349" t="str">
            <v>AB PP DC FIREPOWER-OMMC N100 +R AUTO</v>
          </cell>
        </row>
        <row r="350">
          <cell r="B350" t="str">
            <v>FPF51ALD-P</v>
          </cell>
          <cell r="C350" t="str">
            <v>EFPF51BL-SPN00L</v>
          </cell>
          <cell r="D350">
            <v>1</v>
          </cell>
          <cell r="E350" t="str">
            <v>AB PP DC FIRE POWER 2D/F51AL (N120)</v>
          </cell>
        </row>
        <row r="351">
          <cell r="B351" t="str">
            <v>FPG51ALD-P</v>
          </cell>
          <cell r="C351" t="str">
            <v>EFPG51AL-SPN00L</v>
          </cell>
          <cell r="D351">
            <v>1</v>
          </cell>
          <cell r="E351" t="str">
            <v>AB PP DC FIREPOWER G51 +R</v>
          </cell>
        </row>
        <row r="352">
          <cell r="B352" t="str">
            <v>FPH52ALD-P</v>
          </cell>
          <cell r="C352" t="str">
            <v>EFPH52BL-SPN00L</v>
          </cell>
          <cell r="D352">
            <v>1</v>
          </cell>
          <cell r="E352" t="str">
            <v>AB PP DC FIREPOWER-OMMC N200 +R AUTO</v>
          </cell>
        </row>
        <row r="353">
          <cell r="B353" t="str">
            <v>FYG49-MF-P</v>
          </cell>
          <cell r="C353" t="str">
            <v>WFJG49AL-CP115E</v>
          </cell>
          <cell r="D353">
            <v>1</v>
          </cell>
          <cell r="E353" t="str">
            <v>AB PP WC ABM-FUJIYA  DIN100/G49 +R</v>
          </cell>
        </row>
        <row r="354">
          <cell r="B354" t="str">
            <v>FYMFN55-P</v>
          </cell>
          <cell r="C354" t="str">
            <v>WFJN55EL-CP115E</v>
          </cell>
          <cell r="D354">
            <v>1</v>
          </cell>
          <cell r="E354" t="str">
            <v>AB PP WC ABM-FUJIYA DIN55 +R</v>
          </cell>
        </row>
        <row r="355">
          <cell r="B355" t="str">
            <v>FYMFN55R-P</v>
          </cell>
          <cell r="C355" t="str">
            <v>WFJN55ER-CP115E</v>
          </cell>
          <cell r="D355">
            <v>1</v>
          </cell>
          <cell r="E355" t="str">
            <v>AB PP WC ABM-FUJIYA DIN55 +L</v>
          </cell>
        </row>
        <row r="356">
          <cell r="B356" t="str">
            <v>FYMFN66-P</v>
          </cell>
          <cell r="C356" t="str">
            <v>WFJN66DL-CP115E</v>
          </cell>
          <cell r="D356">
            <v>1</v>
          </cell>
          <cell r="E356" t="str">
            <v>AB PP WC ABM-FUJIYA DIN66 +R</v>
          </cell>
        </row>
        <row r="357">
          <cell r="B357" t="str">
            <v>FYMFN66R-P</v>
          </cell>
          <cell r="C357" t="str">
            <v>WFJN66DR-CP115E</v>
          </cell>
          <cell r="D357">
            <v>1</v>
          </cell>
          <cell r="E357" t="str">
            <v>AB PP WC ABM-FUJIYA DIN66 +L</v>
          </cell>
        </row>
        <row r="358">
          <cell r="B358" t="str">
            <v>FYMFN88-P</v>
          </cell>
          <cell r="C358" t="str">
            <v>WFJN88BL-CP115E</v>
          </cell>
          <cell r="D358">
            <v>1</v>
          </cell>
          <cell r="E358" t="str">
            <v>AB PP WC ABM-FUJIYA DIN88 +R</v>
          </cell>
        </row>
        <row r="359">
          <cell r="B359" t="str">
            <v>FYN50ZL-MF-P</v>
          </cell>
          <cell r="C359" t="str">
            <v>WFJG24CL-CP315E</v>
          </cell>
          <cell r="D359">
            <v>1</v>
          </cell>
          <cell r="E359" t="str">
            <v>AB PP WC ABM-FUJIYA N50Z +R</v>
          </cell>
        </row>
        <row r="360">
          <cell r="B360" t="str">
            <v>FYN50Z-MF-P</v>
          </cell>
          <cell r="C360" t="str">
            <v>WFJG24CR-CP315E</v>
          </cell>
          <cell r="D360">
            <v>1</v>
          </cell>
          <cell r="E360" t="str">
            <v>AB PP WC ABM-FUJIYA N50Z +L</v>
          </cell>
        </row>
        <row r="361">
          <cell r="B361" t="str">
            <v>FYN70L-MF-P</v>
          </cell>
          <cell r="C361" t="str">
            <v>WFJG27CL-CP315E</v>
          </cell>
          <cell r="D361">
            <v>1</v>
          </cell>
          <cell r="E361" t="str">
            <v>AB PP WC ABM-FUJIYA N70 +R</v>
          </cell>
        </row>
        <row r="362">
          <cell r="B362" t="str">
            <v>FYN70-MF-P</v>
          </cell>
          <cell r="C362" t="str">
            <v>WFJG27CR-CP315E</v>
          </cell>
          <cell r="D362">
            <v>1</v>
          </cell>
          <cell r="E362" t="str">
            <v>AB PP WC ABM-FUJIYA N70 +L</v>
          </cell>
        </row>
        <row r="363">
          <cell r="B363" t="str">
            <v>FYN70ZL-MF-P</v>
          </cell>
          <cell r="C363" t="str">
            <v>WFJG27EL-CP315E</v>
          </cell>
          <cell r="D363">
            <v>1</v>
          </cell>
          <cell r="E363" t="str">
            <v>AB PP WC ABM-FUJIYA N70Z +R</v>
          </cell>
        </row>
        <row r="364">
          <cell r="B364" t="str">
            <v>FYN70Z-MF-P</v>
          </cell>
          <cell r="C364" t="str">
            <v>WFJG27ER-CP315E</v>
          </cell>
          <cell r="D364">
            <v>1</v>
          </cell>
          <cell r="E364" t="str">
            <v>AB PP WC ABM-FUJIYA N70Z +L</v>
          </cell>
        </row>
        <row r="365">
          <cell r="B365" t="str">
            <v>FYNS40L-MF-P</v>
          </cell>
          <cell r="C365" t="str">
            <v>WFJB20BB-CP115E</v>
          </cell>
          <cell r="D365">
            <v>1</v>
          </cell>
          <cell r="E365" t="str">
            <v>AB PP WC ABM-FUJIYA NS40 +R</v>
          </cell>
        </row>
        <row r="366">
          <cell r="B366" t="str">
            <v>FYNS40-MF-P</v>
          </cell>
          <cell r="C366" t="str">
            <v>WFJB20BA-CP115E</v>
          </cell>
          <cell r="D366">
            <v>1</v>
          </cell>
          <cell r="E366" t="str">
            <v>AB PP WC ABM-FUJIYA NS40 +L</v>
          </cell>
        </row>
        <row r="367">
          <cell r="B367" t="str">
            <v>FYNS40ZL-MF-P</v>
          </cell>
          <cell r="C367" t="str">
            <v>WFJB20CB-CP115E</v>
          </cell>
          <cell r="D367">
            <v>1</v>
          </cell>
          <cell r="E367" t="str">
            <v>AB PP WC ABM-FUJIYA NS40Z +R</v>
          </cell>
        </row>
        <row r="368">
          <cell r="B368" t="str">
            <v>FYNS40Z-MF-P</v>
          </cell>
          <cell r="C368" t="str">
            <v>WFJB20CA-CP115E</v>
          </cell>
          <cell r="D368">
            <v>1</v>
          </cell>
          <cell r="E368" t="str">
            <v>AB PP WC ABM-FUJIYA NS40Z +L</v>
          </cell>
        </row>
        <row r="369">
          <cell r="B369" t="str">
            <v>FYNS50L-MF-P</v>
          </cell>
          <cell r="C369" t="str">
            <v>WFJD23BL-CP315E</v>
          </cell>
          <cell r="D369">
            <v>1</v>
          </cell>
          <cell r="E369" t="str">
            <v>AB PP WC ABM-FUJIYA NS50 +R</v>
          </cell>
        </row>
        <row r="370">
          <cell r="B370" t="str">
            <v>FYNS50-MF-P</v>
          </cell>
          <cell r="C370" t="str">
            <v>WFJD23BR-CP315E</v>
          </cell>
          <cell r="D370">
            <v>1</v>
          </cell>
          <cell r="E370" t="str">
            <v>AB PP WC ABM-FUJIYA NS50 +L</v>
          </cell>
        </row>
        <row r="371">
          <cell r="B371" t="str">
            <v>FYNS50ZL-MF-P</v>
          </cell>
          <cell r="C371" t="str">
            <v>WFJD23CL-CP315E</v>
          </cell>
          <cell r="D371">
            <v>1</v>
          </cell>
          <cell r="E371" t="str">
            <v>AB PP WC ABM-FUJIYA NS50Z +R</v>
          </cell>
        </row>
        <row r="372">
          <cell r="B372" t="str">
            <v>FYNS50Z-MF-P</v>
          </cell>
          <cell r="C372" t="str">
            <v>WFJD23CR-CP315E</v>
          </cell>
          <cell r="D372">
            <v>1</v>
          </cell>
          <cell r="E372" t="str">
            <v>AB PP WC ABM-FUJIYA NS50Z +L</v>
          </cell>
        </row>
        <row r="373">
          <cell r="B373" t="str">
            <v>FYNS60L-MF-P</v>
          </cell>
          <cell r="C373" t="str">
            <v>WFJB24BB-CP315E</v>
          </cell>
          <cell r="D373">
            <v>1</v>
          </cell>
          <cell r="E373" t="str">
            <v>AB PP WC ABM-FUJIYA NS60L +R</v>
          </cell>
        </row>
        <row r="374">
          <cell r="B374" t="str">
            <v>FYNS60LS-MF-P</v>
          </cell>
          <cell r="C374" t="str">
            <v>WFJB24BL-CP315E</v>
          </cell>
          <cell r="D374">
            <v>1</v>
          </cell>
          <cell r="E374" t="str">
            <v>AB PP WC ABM-FUJIYA NS60LS +R</v>
          </cell>
        </row>
        <row r="375">
          <cell r="B375" t="str">
            <v>FYNS60-MF-P</v>
          </cell>
          <cell r="C375" t="str">
            <v>WFJB24BA-CP315E</v>
          </cell>
          <cell r="D375">
            <v>1</v>
          </cell>
          <cell r="E375" t="str">
            <v>AB PP WC ABM-FUJIYA NS60 +L</v>
          </cell>
        </row>
        <row r="376">
          <cell r="B376" t="str">
            <v>FYNS60S-MF-P</v>
          </cell>
          <cell r="C376" t="str">
            <v>WFJB24BR-CP315E</v>
          </cell>
          <cell r="D376">
            <v>1</v>
          </cell>
          <cell r="E376" t="str">
            <v>AB PP WC ABM-FUJIYA NS60S +L</v>
          </cell>
        </row>
        <row r="377">
          <cell r="B377" t="str">
            <v>FYNS60ZL-MF-P</v>
          </cell>
          <cell r="C377" t="str">
            <v>WFJB24DB-CP315E</v>
          </cell>
          <cell r="D377">
            <v>1</v>
          </cell>
          <cell r="E377" t="str">
            <v>AB PP WC ABM-FUJIYA NS60ZL +R</v>
          </cell>
        </row>
        <row r="378">
          <cell r="B378" t="str">
            <v>FYNS60ZLS-MF-P</v>
          </cell>
          <cell r="C378" t="str">
            <v>WFJB24DL-CP315E</v>
          </cell>
          <cell r="D378">
            <v>1</v>
          </cell>
          <cell r="E378" t="str">
            <v>AB PP WC ABM-FUJIYA NS60ZLS +R</v>
          </cell>
        </row>
        <row r="379">
          <cell r="B379" t="str">
            <v>FYNS60Z-MF-P</v>
          </cell>
          <cell r="C379" t="str">
            <v>WFJB24DA-CP315E</v>
          </cell>
          <cell r="D379">
            <v>1</v>
          </cell>
          <cell r="E379" t="str">
            <v>AB PP WC ABM-FUJIYA NS60Z +L</v>
          </cell>
        </row>
        <row r="380">
          <cell r="B380" t="str">
            <v>FYNS60ZS-MF-P</v>
          </cell>
          <cell r="C380" t="str">
            <v>WFJB24DR-CP315E</v>
          </cell>
          <cell r="D380">
            <v>1</v>
          </cell>
          <cell r="E380" t="str">
            <v>AB PP WC ABM-FUJIYA NS60ZS +L</v>
          </cell>
        </row>
        <row r="381">
          <cell r="B381" t="str">
            <v>FYNS70L-MF-P</v>
          </cell>
          <cell r="C381" t="str">
            <v>WFJG24DL-CP315E</v>
          </cell>
          <cell r="D381">
            <v>1</v>
          </cell>
          <cell r="E381" t="str">
            <v>AB PP WC ABM-FUJIYA NS70L +R</v>
          </cell>
        </row>
        <row r="382">
          <cell r="B382" t="str">
            <v>FYNS70-MF-P</v>
          </cell>
          <cell r="C382" t="str">
            <v>WFJG24DR-CP315E</v>
          </cell>
          <cell r="D382">
            <v>1</v>
          </cell>
          <cell r="E382" t="str">
            <v>AB PP WC ABM-FUJIYA NS70 +L</v>
          </cell>
        </row>
        <row r="383">
          <cell r="B383" t="str">
            <v>FYNX110L-MF-P</v>
          </cell>
          <cell r="C383" t="str">
            <v>WFJG24EL-CP315E</v>
          </cell>
          <cell r="D383">
            <v>1</v>
          </cell>
          <cell r="E383" t="str">
            <v>AB PP WC ABM-FUJIYA NX110 +R</v>
          </cell>
        </row>
        <row r="384">
          <cell r="B384" t="str">
            <v>FYNX110-MF-P</v>
          </cell>
          <cell r="C384" t="str">
            <v>WFJG24ER-CP315E</v>
          </cell>
          <cell r="D384">
            <v>1</v>
          </cell>
          <cell r="E384" t="str">
            <v>AB PP WC ABM-FUJIYA NX110 +L</v>
          </cell>
        </row>
        <row r="385">
          <cell r="B385" t="str">
            <v>FYNX120L-MF-P</v>
          </cell>
          <cell r="C385" t="str">
            <v>WFJG27GL-CP315E</v>
          </cell>
          <cell r="D385">
            <v>1</v>
          </cell>
          <cell r="E385" t="str">
            <v>AB PP WC ABM-FUJIYA NX120L +R</v>
          </cell>
        </row>
        <row r="386">
          <cell r="B386" t="str">
            <v>FYNX120-MF-P</v>
          </cell>
          <cell r="C386" t="str">
            <v>WFJG27GR-CP315E</v>
          </cell>
          <cell r="D386">
            <v>1</v>
          </cell>
          <cell r="E386" t="str">
            <v>AB PP WC ABM-FUJIYA NX120 +L</v>
          </cell>
        </row>
        <row r="387">
          <cell r="B387" t="str">
            <v>GPG49-MF-P</v>
          </cell>
          <cell r="C387" t="str">
            <v>UUBG49AL-CP117E</v>
          </cell>
          <cell r="D387">
            <v>1</v>
          </cell>
          <cell r="E387" t="str">
            <v>AB PP UB GP AUTO-MALYSIA DIN100/G49 +R</v>
          </cell>
        </row>
        <row r="388">
          <cell r="B388" t="str">
            <v>GPGC2-6VS(220)</v>
          </cell>
          <cell r="C388" t="str">
            <v>DUBGC2UF-SPN17E</v>
          </cell>
          <cell r="D388">
            <v>1</v>
          </cell>
          <cell r="E388" t="str">
            <v>AB PP DC GC2-6V GPAUTO BLK STUD</v>
          </cell>
        </row>
        <row r="389">
          <cell r="B389" t="str">
            <v>GPGC2-8VS(165)</v>
          </cell>
          <cell r="C389" t="str">
            <v>DUBGC8SF-SPN17E</v>
          </cell>
          <cell r="D389">
            <v>1</v>
          </cell>
          <cell r="E389" t="str">
            <v>AB PP DC GC2-8V GPAUTO BLK STUD</v>
          </cell>
        </row>
        <row r="390">
          <cell r="B390" t="str">
            <v>GPMFN45-P</v>
          </cell>
          <cell r="C390" t="str">
            <v>UUBN55CL-CP117E</v>
          </cell>
          <cell r="D390">
            <v>1</v>
          </cell>
          <cell r="E390" t="str">
            <v>AB PP UB GP-AUTO DIN55-MF W/45AH +R</v>
          </cell>
        </row>
        <row r="391">
          <cell r="B391" t="str">
            <v>GPMFN55-P</v>
          </cell>
          <cell r="C391" t="str">
            <v>UUBN55EL-CP117E</v>
          </cell>
          <cell r="D391">
            <v>1</v>
          </cell>
          <cell r="E391" t="str">
            <v>AB PP UB GP-AUTO DIN55-MF +R</v>
          </cell>
        </row>
        <row r="392">
          <cell r="B392" t="str">
            <v>GPMFN66-P</v>
          </cell>
          <cell r="C392" t="str">
            <v>UUBN66DL-CP117E</v>
          </cell>
          <cell r="D392">
            <v>1</v>
          </cell>
          <cell r="E392" t="str">
            <v>AB PP UB GP-AUTO DIN66-MF +R</v>
          </cell>
        </row>
        <row r="393">
          <cell r="B393" t="str">
            <v>GPN40L-MF-P</v>
          </cell>
          <cell r="C393" t="str">
            <v>UUBC24CL-CP117E</v>
          </cell>
          <cell r="D393">
            <v>1</v>
          </cell>
          <cell r="E393" t="str">
            <v>AB PP UB GP-AUTO N40-MFCP BLK +R</v>
          </cell>
        </row>
        <row r="394">
          <cell r="B394" t="str">
            <v>GPN40-MF-P</v>
          </cell>
          <cell r="C394" t="str">
            <v>UUBC24CR-CP117E</v>
          </cell>
          <cell r="D394">
            <v>1</v>
          </cell>
          <cell r="E394" t="str">
            <v>AB PP UB GP-AUTO N40-MFCP BLK +L</v>
          </cell>
        </row>
        <row r="395">
          <cell r="B395" t="str">
            <v>GPN50-MF-P</v>
          </cell>
          <cell r="C395" t="str">
            <v>UUBG24BR-CP317E</v>
          </cell>
          <cell r="D395">
            <v>1</v>
          </cell>
          <cell r="E395" t="str">
            <v>AB PP UNFORMED N50 +L GP-AUTOBATT</v>
          </cell>
        </row>
        <row r="396">
          <cell r="B396" t="str">
            <v>GPN50ZL-MF-P</v>
          </cell>
          <cell r="C396" t="str">
            <v>UUBG24CL-CP317E</v>
          </cell>
          <cell r="D396">
            <v>1</v>
          </cell>
          <cell r="E396" t="str">
            <v>AB PP UB GP-AUTO N50ZL-MF +R</v>
          </cell>
        </row>
        <row r="397">
          <cell r="B397" t="str">
            <v>GPN50Z-MF-P</v>
          </cell>
          <cell r="C397" t="str">
            <v>UUBG24CR-CP317E</v>
          </cell>
          <cell r="D397">
            <v>1</v>
          </cell>
          <cell r="E397" t="str">
            <v>AB PP UB GP-AUTO N50Z-MF +L</v>
          </cell>
        </row>
        <row r="398">
          <cell r="B398" t="str">
            <v>GPN70L-MF-P</v>
          </cell>
          <cell r="C398" t="str">
            <v>UUBG27CL-CP317E</v>
          </cell>
          <cell r="D398">
            <v>1</v>
          </cell>
          <cell r="E398" t="str">
            <v>AB PP UB GP-AUTO N70L-MF +R</v>
          </cell>
        </row>
        <row r="399">
          <cell r="B399" t="str">
            <v>GPN70-MF-P</v>
          </cell>
          <cell r="C399" t="str">
            <v>UUBG27CR-CP317E</v>
          </cell>
          <cell r="D399">
            <v>1</v>
          </cell>
          <cell r="E399" t="str">
            <v>AB PP UB GP-AUTO N70-MF +L</v>
          </cell>
        </row>
        <row r="400">
          <cell r="B400" t="str">
            <v>GPN70ZL-MF-P</v>
          </cell>
          <cell r="C400" t="str">
            <v>UUBG27EL-CP317E</v>
          </cell>
          <cell r="D400">
            <v>1</v>
          </cell>
          <cell r="E400" t="str">
            <v>AB PP UB GP-AUTO N70ZL-MF +R</v>
          </cell>
        </row>
        <row r="401">
          <cell r="B401" t="str">
            <v>GPN70Z-MF-P</v>
          </cell>
          <cell r="C401" t="str">
            <v>UUBG27ER-CP317E</v>
          </cell>
          <cell r="D401">
            <v>1</v>
          </cell>
          <cell r="E401" t="str">
            <v>AB PP UB GP-AUTO N70Z-MF +L</v>
          </cell>
        </row>
        <row r="402">
          <cell r="B402" t="str">
            <v>GPNS40ZL-MF-P</v>
          </cell>
          <cell r="C402" t="str">
            <v>UUBB20CB-CP117E</v>
          </cell>
          <cell r="D402">
            <v>1</v>
          </cell>
          <cell r="E402" t="str">
            <v>AB PP WC GPAUTOBAT MAL NS40ZL-MF +R SML</v>
          </cell>
        </row>
        <row r="403">
          <cell r="B403" t="str">
            <v>GPNS50L-MF-P</v>
          </cell>
          <cell r="C403" t="str">
            <v>UUBD23BL-CP317E</v>
          </cell>
          <cell r="D403">
            <v>1</v>
          </cell>
          <cell r="E403" t="str">
            <v>AB PP UB GP-AUTO NS50L-MF +R</v>
          </cell>
        </row>
        <row r="404">
          <cell r="B404" t="str">
            <v>GPNS50-MF-P</v>
          </cell>
          <cell r="C404" t="str">
            <v>UUBD23BR-CP317E</v>
          </cell>
          <cell r="D404">
            <v>1</v>
          </cell>
          <cell r="E404" t="str">
            <v>AB PP UB GP-AUTO NS50-MF +L</v>
          </cell>
        </row>
        <row r="405">
          <cell r="B405" t="str">
            <v>GPNS50ZL-MF-P</v>
          </cell>
          <cell r="C405" t="str">
            <v>UUBD23CL-CP317E</v>
          </cell>
          <cell r="D405">
            <v>1</v>
          </cell>
          <cell r="E405" t="str">
            <v>AB PP UB GP-AUTO NS50ZL-MF +R</v>
          </cell>
        </row>
        <row r="406">
          <cell r="B406" t="str">
            <v>GPNS50Z-MF-P</v>
          </cell>
          <cell r="C406" t="str">
            <v>UUBD23CR-CP317E</v>
          </cell>
          <cell r="D406">
            <v>1</v>
          </cell>
          <cell r="E406" t="str">
            <v>AB PP UB GP-AUTO NS50Z-MF +L</v>
          </cell>
        </row>
        <row r="407">
          <cell r="B407" t="str">
            <v>GPNS60L-MF-P</v>
          </cell>
          <cell r="C407" t="str">
            <v>UUBB24BB-CP317E</v>
          </cell>
          <cell r="D407">
            <v>1</v>
          </cell>
          <cell r="E407" t="str">
            <v>AB PP UB GP-AUTO NS60L-MF +R</v>
          </cell>
        </row>
        <row r="408">
          <cell r="B408" t="str">
            <v>GPNS60LS-MF-P</v>
          </cell>
          <cell r="C408" t="str">
            <v>UUBB24BL-CP317E</v>
          </cell>
          <cell r="D408">
            <v>1</v>
          </cell>
          <cell r="E408" t="str">
            <v>AB PP UB GP-AUTO NS60LS-MF +R</v>
          </cell>
        </row>
        <row r="409">
          <cell r="B409" t="str">
            <v>GPNS60-MF-P</v>
          </cell>
          <cell r="C409" t="str">
            <v>UUBB24BA-CP317E</v>
          </cell>
          <cell r="D409">
            <v>1</v>
          </cell>
          <cell r="E409" t="str">
            <v>AB PP UB GP-AUTO NS60-MF +L</v>
          </cell>
        </row>
        <row r="410">
          <cell r="B410" t="str">
            <v>GPNS60S-MF-P</v>
          </cell>
          <cell r="C410" t="str">
            <v>UUBB24BR-CP317E</v>
          </cell>
          <cell r="D410">
            <v>1</v>
          </cell>
          <cell r="E410" t="str">
            <v>AB PP UB GP-AUTO NS60S-MF +L</v>
          </cell>
        </row>
        <row r="411">
          <cell r="B411" t="str">
            <v>GPNS60ZL-MF-P</v>
          </cell>
          <cell r="C411" t="str">
            <v>UUBB24DB-CP317E</v>
          </cell>
          <cell r="D411">
            <v>1</v>
          </cell>
          <cell r="E411" t="str">
            <v>AB PP UB GP-AUTO NS60ZL-MF +R</v>
          </cell>
        </row>
        <row r="412">
          <cell r="B412" t="str">
            <v>GPNS60Z-MF-P</v>
          </cell>
          <cell r="C412" t="str">
            <v>UUBB24DA-CP317E</v>
          </cell>
          <cell r="D412">
            <v>1</v>
          </cell>
          <cell r="E412" t="str">
            <v>AB PP UB GP-AUTO NS60Z-MF +L</v>
          </cell>
        </row>
        <row r="413">
          <cell r="B413" t="str">
            <v>GPNS70L-MF-P</v>
          </cell>
          <cell r="C413" t="str">
            <v>UUBG24DL-CP317E</v>
          </cell>
          <cell r="D413">
            <v>1</v>
          </cell>
          <cell r="E413" t="str">
            <v>AB PP UB GP-AUTO NS70L-MF +R</v>
          </cell>
        </row>
        <row r="414">
          <cell r="B414" t="str">
            <v>GPNS70-MF-P</v>
          </cell>
          <cell r="C414" t="str">
            <v>UUBG24DR-CP317E</v>
          </cell>
          <cell r="D414">
            <v>1</v>
          </cell>
          <cell r="E414" t="str">
            <v>AB PP UB GP-AUTO NS70-MF +L</v>
          </cell>
        </row>
        <row r="415">
          <cell r="B415" t="str">
            <v>GPNX110L-MF-P</v>
          </cell>
          <cell r="C415" t="str">
            <v>UUBG24EL-CP317E</v>
          </cell>
          <cell r="D415">
            <v>1</v>
          </cell>
          <cell r="E415" t="str">
            <v>AB PP UB GP-AUTO NX110L-MF +R</v>
          </cell>
        </row>
        <row r="416">
          <cell r="B416" t="str">
            <v>GPNX110-MF-P</v>
          </cell>
          <cell r="C416" t="str">
            <v>UUBG24ER-CP317E</v>
          </cell>
          <cell r="D416">
            <v>1</v>
          </cell>
          <cell r="E416" t="str">
            <v>AB PP UB GP-AUTO NX110-MF +L</v>
          </cell>
        </row>
        <row r="417">
          <cell r="B417" t="str">
            <v>GPNX120L-MF-P</v>
          </cell>
          <cell r="C417" t="str">
            <v>UUBG27GL-CP317E</v>
          </cell>
          <cell r="D417">
            <v>1</v>
          </cell>
          <cell r="E417" t="str">
            <v>AB PP UB GP-AUTO NX120L-MF +R</v>
          </cell>
        </row>
        <row r="418">
          <cell r="B418" t="str">
            <v>GPNX120-MF-P</v>
          </cell>
          <cell r="C418" t="str">
            <v>UUBG27GR-CP317E</v>
          </cell>
          <cell r="D418">
            <v>1</v>
          </cell>
          <cell r="E418" t="str">
            <v>AB PP UB GP-AUTO NX120-MF +L</v>
          </cell>
        </row>
        <row r="419">
          <cell r="B419" t="str">
            <v>HSC24ALD-P</v>
          </cell>
          <cell r="C419" t="str">
            <v>EHSC24BL-SPN00L</v>
          </cell>
          <cell r="D419">
            <v>1</v>
          </cell>
          <cell r="E419" t="str">
            <v>AB PP DC HEADSTART C24 +R</v>
          </cell>
        </row>
        <row r="420">
          <cell r="B420" t="str">
            <v>HSD22ALD-P</v>
          </cell>
          <cell r="C420" t="str">
            <v>EHSD23AL-SPN00L</v>
          </cell>
          <cell r="D420">
            <v>1</v>
          </cell>
          <cell r="E420" t="str">
            <v>AB PP DC HEADSTART-OMMC D22 +R AUTO</v>
          </cell>
        </row>
        <row r="421">
          <cell r="B421" t="str">
            <v>HSD26ALD-P</v>
          </cell>
          <cell r="C421" t="str">
            <v>EHSD26AL-SPN00L</v>
          </cell>
          <cell r="D421">
            <v>1</v>
          </cell>
          <cell r="E421" t="str">
            <v>AB PP DC HEADSTART 2SMF/D26 +R</v>
          </cell>
        </row>
        <row r="422">
          <cell r="B422" t="str">
            <v>HSD31ALD-P</v>
          </cell>
          <cell r="C422" t="str">
            <v>EHSD31AL-SPN00L</v>
          </cell>
          <cell r="D422">
            <v>1</v>
          </cell>
          <cell r="E422" t="str">
            <v>AB PP DC HEADSTART 3SMF/D31 +R</v>
          </cell>
        </row>
        <row r="423">
          <cell r="B423" t="str">
            <v>HSE41ALD-P</v>
          </cell>
          <cell r="C423" t="str">
            <v>EHSE41AL-SPN00L</v>
          </cell>
          <cell r="D423">
            <v>1</v>
          </cell>
          <cell r="E423" t="str">
            <v>AB PP DC HEADSTART-OMMC N100 +R AUTO</v>
          </cell>
        </row>
        <row r="424">
          <cell r="B424" t="str">
            <v>HSF51ALD-P</v>
          </cell>
          <cell r="C424" t="str">
            <v>EHSF51BL-SPN00L</v>
          </cell>
          <cell r="D424">
            <v>1</v>
          </cell>
          <cell r="E424" t="str">
            <v>AB PP DC HEADSTART 2D/F51AL (N120)</v>
          </cell>
        </row>
        <row r="425">
          <cell r="B425" t="str">
            <v>HSG51ALD-P</v>
          </cell>
          <cell r="C425" t="str">
            <v>EHSG51AL-SPN00L</v>
          </cell>
          <cell r="D425">
            <v>1</v>
          </cell>
          <cell r="E425" t="str">
            <v>AB PP DC PVT-HEADSTART G51ALD (N150/4D)</v>
          </cell>
        </row>
        <row r="426">
          <cell r="B426" t="str">
            <v>HSH52ALD-P</v>
          </cell>
          <cell r="C426" t="str">
            <v>EHSH52BL-SPN00L</v>
          </cell>
          <cell r="D426">
            <v>1</v>
          </cell>
          <cell r="E426" t="str">
            <v>AB PP DC HEADSTART-OMMC N200 +R AUTO</v>
          </cell>
        </row>
        <row r="427">
          <cell r="B427" t="str">
            <v>IQDIN66-MF-P</v>
          </cell>
          <cell r="C427" t="str">
            <v>WMGN66DL-CP131E</v>
          </cell>
          <cell r="D427">
            <v>1</v>
          </cell>
          <cell r="E427" t="str">
            <v>AB PP WC MGOLD-IRAQ DIN66 AUTO +R</v>
          </cell>
        </row>
        <row r="428">
          <cell r="B428" t="str">
            <v>IQDIN88-MF-P</v>
          </cell>
          <cell r="C428" t="str">
            <v>WMGN88BL-CP131E</v>
          </cell>
          <cell r="D428">
            <v>1</v>
          </cell>
          <cell r="E428" t="str">
            <v>AB PP WC MGOLD-IRAQ DIN88 AUTO +R</v>
          </cell>
        </row>
        <row r="429">
          <cell r="B429" t="str">
            <v>IQE41BLD-P</v>
          </cell>
          <cell r="C429" t="str">
            <v>DMTE41CL-SPN31E</v>
          </cell>
          <cell r="D429">
            <v>1</v>
          </cell>
          <cell r="E429" t="str">
            <v>AB PP DC TRUCK MSTR-IRAQ N100L AUTO +R</v>
          </cell>
        </row>
        <row r="430">
          <cell r="B430" t="str">
            <v>IQG51ALD-P</v>
          </cell>
          <cell r="C430" t="str">
            <v>DMTG51BL-SPN31E</v>
          </cell>
          <cell r="D430">
            <v>1</v>
          </cell>
          <cell r="E430" t="str">
            <v>DELETED MATERIAL! DO NOT USE! DCN# 13705</v>
          </cell>
        </row>
        <row r="431">
          <cell r="B431" t="str">
            <v>IQN150D-P</v>
          </cell>
          <cell r="C431" t="str">
            <v>DMTG51DL-SPN31E</v>
          </cell>
          <cell r="D431">
            <v>1</v>
          </cell>
          <cell r="E431" t="str">
            <v>AB PP DC TRUCK MSTR-IRAQ N150 AUTO +R</v>
          </cell>
        </row>
        <row r="432">
          <cell r="B432" t="str">
            <v>IQN50ZL-MF-P</v>
          </cell>
          <cell r="C432" t="str">
            <v>WMGG24CL-CP331E</v>
          </cell>
          <cell r="D432">
            <v>1</v>
          </cell>
          <cell r="E432" t="str">
            <v>AB PP WC MGOLD-IRAQ N50ZL  AUTO +R</v>
          </cell>
        </row>
        <row r="433">
          <cell r="B433" t="str">
            <v>IQN70L-MF-P</v>
          </cell>
          <cell r="C433" t="str">
            <v>WMGG27CL-CP331E</v>
          </cell>
          <cell r="D433">
            <v>1</v>
          </cell>
          <cell r="E433" t="str">
            <v>AB PP WC MGOLD-IRAQ N70L  AUTO +R</v>
          </cell>
        </row>
        <row r="434">
          <cell r="B434" t="str">
            <v>IQNS40ZL-MF-P</v>
          </cell>
          <cell r="C434" t="str">
            <v>WMGB20CB-CP131E</v>
          </cell>
          <cell r="D434">
            <v>1</v>
          </cell>
          <cell r="E434" t="str">
            <v>AB PP GP MGOLD-IRAQ NS40ZL OFFSET JIS +R</v>
          </cell>
        </row>
        <row r="435">
          <cell r="B435" t="str">
            <v>IZC24ALD-P</v>
          </cell>
          <cell r="C435" t="str">
            <v>EIZC24BL-SPN00L</v>
          </cell>
          <cell r="D435">
            <v>1</v>
          </cell>
          <cell r="E435" t="str">
            <v>AB PP DC IZU C24 +R</v>
          </cell>
        </row>
        <row r="436">
          <cell r="B436" t="str">
            <v>IZD22ALD-P</v>
          </cell>
          <cell r="C436" t="str">
            <v>EIZD23AL-SPN00L</v>
          </cell>
          <cell r="D436">
            <v>1</v>
          </cell>
          <cell r="E436" t="str">
            <v>AB PP DC IZU 1SMF/D22 +R</v>
          </cell>
        </row>
        <row r="437">
          <cell r="B437" t="str">
            <v>IZD26ALD-P</v>
          </cell>
          <cell r="C437" t="str">
            <v>EIZD26AL-SPN00L</v>
          </cell>
          <cell r="D437">
            <v>1</v>
          </cell>
          <cell r="E437" t="str">
            <v>AB PP DC IZU 2SMF/D26 +R</v>
          </cell>
        </row>
        <row r="438">
          <cell r="B438" t="str">
            <v>IZD31ALD-P</v>
          </cell>
          <cell r="C438" t="str">
            <v>EIZD31AL-SPN00L</v>
          </cell>
          <cell r="D438">
            <v>1</v>
          </cell>
          <cell r="E438" t="str">
            <v>AB PP DC IZU 3SMF/D31 +R</v>
          </cell>
        </row>
        <row r="439">
          <cell r="B439" t="str">
            <v>IZE41ALD-P</v>
          </cell>
          <cell r="C439" t="str">
            <v>EIZE41AL-SPN00L</v>
          </cell>
          <cell r="D439">
            <v>1</v>
          </cell>
          <cell r="E439" t="str">
            <v>AB PP DC IZU-OMMC N100 +R AUTO</v>
          </cell>
        </row>
        <row r="440">
          <cell r="B440" t="str">
            <v>IZF51ALD-P</v>
          </cell>
          <cell r="C440" t="str">
            <v>EIZF51BL-SPN00L</v>
          </cell>
          <cell r="D440">
            <v>1</v>
          </cell>
          <cell r="E440" t="str">
            <v>AB PP DC IZU 2D/F51AL (N120)</v>
          </cell>
        </row>
        <row r="441">
          <cell r="B441" t="str">
            <v>IZG51ALD-P</v>
          </cell>
          <cell r="C441" t="str">
            <v>EIZG51AL-SPN00L</v>
          </cell>
          <cell r="D441">
            <v>1</v>
          </cell>
          <cell r="E441" t="str">
            <v>AB PP DC IZU G51/N150</v>
          </cell>
        </row>
        <row r="442">
          <cell r="B442" t="str">
            <v>IZH52ALD-P</v>
          </cell>
          <cell r="C442" t="str">
            <v>EIZH52BL-SPN00L</v>
          </cell>
          <cell r="D442">
            <v>1</v>
          </cell>
          <cell r="E442" t="str">
            <v>AB PP DC IZU-OMMC N200 +R AUTO</v>
          </cell>
        </row>
        <row r="443">
          <cell r="B443" t="str">
            <v>MAB24AL-MF-P</v>
          </cell>
          <cell r="C443" t="str">
            <v>WMGB24BB-CP313E</v>
          </cell>
          <cell r="D443">
            <v>1</v>
          </cell>
          <cell r="E443" t="str">
            <v>AB PP WC EX-MALAYSIA NS60L MF +R SML</v>
          </cell>
        </row>
        <row r="444">
          <cell r="B444" t="str">
            <v>MAB24AR-MF-P</v>
          </cell>
          <cell r="C444" t="str">
            <v>WMGB24BA-CP313E</v>
          </cell>
          <cell r="D444">
            <v>1</v>
          </cell>
          <cell r="E444" t="str">
            <v>AB PP WC EX-MALAYSIA NS60 MF +L SML</v>
          </cell>
        </row>
        <row r="445">
          <cell r="B445" t="str">
            <v>MAG49-MF-P</v>
          </cell>
          <cell r="C445" t="str">
            <v>WMGG49AL-CP113E</v>
          </cell>
          <cell r="D445">
            <v>1</v>
          </cell>
          <cell r="E445" t="str">
            <v>AB PP UB SYARIKAT-MALYSIA DIN100/G49 +R</v>
          </cell>
        </row>
        <row r="446">
          <cell r="B446" t="str">
            <v>MAMFN55-P</v>
          </cell>
          <cell r="C446" t="str">
            <v>WMGN55EL-CP113E</v>
          </cell>
          <cell r="D446">
            <v>1</v>
          </cell>
          <cell r="E446" t="str">
            <v>AB PP WC SYARIKAT DIN55-MF +R</v>
          </cell>
        </row>
        <row r="447">
          <cell r="B447" t="str">
            <v>MAMFN66-P</v>
          </cell>
          <cell r="C447" t="str">
            <v>WMGN66DL-CP113E</v>
          </cell>
          <cell r="D447">
            <v>1</v>
          </cell>
          <cell r="E447" t="str">
            <v>AB PP WC SYARIKAT DIN66-MF +R</v>
          </cell>
        </row>
        <row r="448">
          <cell r="B448" t="str">
            <v>MAN50ZL-MF-P</v>
          </cell>
          <cell r="C448" t="str">
            <v>WMGG24CL-CP313E</v>
          </cell>
          <cell r="D448">
            <v>1</v>
          </cell>
          <cell r="E448" t="str">
            <v>AB PP UB SYARIKAT N50ZL-MF +R</v>
          </cell>
        </row>
        <row r="449">
          <cell r="B449" t="str">
            <v>MAN50Z-MF-P</v>
          </cell>
          <cell r="C449" t="str">
            <v>UMGG24CR-CP313E</v>
          </cell>
          <cell r="D449">
            <v>1</v>
          </cell>
          <cell r="E449" t="str">
            <v>AB PP UB SYARIKAT N50Z-MF +L</v>
          </cell>
        </row>
        <row r="450">
          <cell r="B450" t="str">
            <v>MAN70L-MF-P</v>
          </cell>
          <cell r="C450" t="str">
            <v>UMGG27CL-CP313E</v>
          </cell>
          <cell r="D450">
            <v>1</v>
          </cell>
          <cell r="E450" t="str">
            <v>AB PP UB SYARIKAT N70L-MF +R</v>
          </cell>
        </row>
        <row r="451">
          <cell r="B451" t="str">
            <v>MAN70-MF-P</v>
          </cell>
          <cell r="C451" t="str">
            <v>UMGG27CR-CP313E</v>
          </cell>
          <cell r="D451">
            <v>1</v>
          </cell>
          <cell r="E451" t="str">
            <v>AB PP UB SYARIKAT N70-MF +L</v>
          </cell>
        </row>
        <row r="452">
          <cell r="B452" t="str">
            <v>MAN70ZL-MF-P</v>
          </cell>
          <cell r="C452" t="str">
            <v>UMGG27EL-CP313E</v>
          </cell>
          <cell r="D452">
            <v>1</v>
          </cell>
          <cell r="E452" t="str">
            <v>AB PP UB SYARIKAT N70ZL-MF +R</v>
          </cell>
        </row>
        <row r="453">
          <cell r="B453" t="str">
            <v>MAN70Z-MF-P</v>
          </cell>
          <cell r="C453" t="str">
            <v>UMGG27ER-CP313E</v>
          </cell>
          <cell r="D453">
            <v>1</v>
          </cell>
          <cell r="E453" t="str">
            <v>AB PP UB SYARIKAT N70Z-MF +L</v>
          </cell>
        </row>
        <row r="454">
          <cell r="B454" t="str">
            <v>MANS40L-P</v>
          </cell>
          <cell r="C454" t="str">
            <v>WMGB20CC-TS113E</v>
          </cell>
          <cell r="D454">
            <v>1</v>
          </cell>
          <cell r="E454" t="str">
            <v>AB PP WC EX-SYARIKAT MAL MF NS40ZL+R SML</v>
          </cell>
        </row>
        <row r="455">
          <cell r="B455" t="str">
            <v>MANS50L-MF-P</v>
          </cell>
          <cell r="C455" t="str">
            <v>UMGD23BL-CP313E</v>
          </cell>
          <cell r="D455">
            <v>1</v>
          </cell>
          <cell r="E455" t="str">
            <v>AB PP UB SYARIKAT NS50L-MF +R</v>
          </cell>
        </row>
        <row r="456">
          <cell r="B456" t="str">
            <v>MANS50-MF-P</v>
          </cell>
          <cell r="C456" t="str">
            <v>UMGD23BR-CP313E</v>
          </cell>
          <cell r="D456">
            <v>1</v>
          </cell>
          <cell r="E456" t="str">
            <v>AB PP UB SYARIKAT NS50-MF +L</v>
          </cell>
        </row>
        <row r="457">
          <cell r="B457" t="str">
            <v>MANS50ZL-MF-P</v>
          </cell>
          <cell r="C457" t="str">
            <v>UMGD23DL-CP313E</v>
          </cell>
          <cell r="D457">
            <v>1</v>
          </cell>
          <cell r="E457" t="str">
            <v>AB PP UB SYARIKAT NS50ZL-MF +R</v>
          </cell>
        </row>
        <row r="458">
          <cell r="B458" t="str">
            <v>MANS50Z-MF-P</v>
          </cell>
          <cell r="C458" t="str">
            <v>UMGD23DR-CP313E</v>
          </cell>
          <cell r="D458">
            <v>1</v>
          </cell>
          <cell r="E458" t="str">
            <v>AB PP UB SYARIKAT NS50Z-MF +L</v>
          </cell>
        </row>
        <row r="459">
          <cell r="B459" t="str">
            <v>MANS60L-MF-P</v>
          </cell>
          <cell r="C459" t="str">
            <v>UMGB24BB-CP313E</v>
          </cell>
          <cell r="D459">
            <v>1</v>
          </cell>
          <cell r="E459" t="str">
            <v>AB PP UB SYARIKAT NS60L-MF +R</v>
          </cell>
        </row>
        <row r="460">
          <cell r="B460" t="str">
            <v>MANS60LS-MF-P</v>
          </cell>
          <cell r="C460" t="str">
            <v>UMGB24BL-CP313E</v>
          </cell>
          <cell r="D460">
            <v>1</v>
          </cell>
          <cell r="E460" t="str">
            <v>AB PP UB SYARIKAT NS60LS-MF +R</v>
          </cell>
        </row>
        <row r="461">
          <cell r="B461" t="str">
            <v>MANS60-MF-P</v>
          </cell>
          <cell r="C461" t="str">
            <v>UMGB24BA-CP313E</v>
          </cell>
          <cell r="D461">
            <v>1</v>
          </cell>
          <cell r="E461" t="str">
            <v>AB PP UB SYARIKAT NS60-MF +L</v>
          </cell>
        </row>
        <row r="462">
          <cell r="B462" t="str">
            <v>MANS60S-MF-P</v>
          </cell>
          <cell r="C462" t="str">
            <v>UMGB24BR-CP313E</v>
          </cell>
          <cell r="D462">
            <v>1</v>
          </cell>
          <cell r="E462" t="str">
            <v>AB PP UB SYARIKAT NS60S-MF +L</v>
          </cell>
        </row>
        <row r="463">
          <cell r="B463" t="str">
            <v>MANS60ZL-MF-P</v>
          </cell>
          <cell r="C463" t="str">
            <v>UMGB24DB-CP313E</v>
          </cell>
          <cell r="D463">
            <v>1</v>
          </cell>
          <cell r="E463" t="str">
            <v>AB PP UB SYARIKAT NS60ZL-MF +R</v>
          </cell>
        </row>
        <row r="464">
          <cell r="B464" t="str">
            <v>MANS60Z-MF-P</v>
          </cell>
          <cell r="C464" t="str">
            <v>UMGB24DA-CP313E</v>
          </cell>
          <cell r="D464">
            <v>1</v>
          </cell>
          <cell r="E464" t="str">
            <v>AB PP UB SYARIKAT NS60Z-MF +L</v>
          </cell>
        </row>
        <row r="465">
          <cell r="B465" t="str">
            <v>MANS70L-MF-P</v>
          </cell>
          <cell r="C465" t="str">
            <v>UMGG24DL-CP313E</v>
          </cell>
          <cell r="D465">
            <v>1</v>
          </cell>
          <cell r="E465" t="str">
            <v>AB PP UB SYARIKAT NS70L-MF +R</v>
          </cell>
        </row>
        <row r="466">
          <cell r="B466" t="str">
            <v>MANS70L-P</v>
          </cell>
          <cell r="C466" t="str">
            <v>WMGG24DL-CP313E</v>
          </cell>
          <cell r="D466">
            <v>1</v>
          </cell>
          <cell r="E466" t="str">
            <v>AB PP WC EX-SYARIKAT MAL NS70L +R MF</v>
          </cell>
        </row>
        <row r="467">
          <cell r="B467" t="str">
            <v>MANS70-MF-P</v>
          </cell>
          <cell r="C467" t="str">
            <v>UMGG24DR-CP313E</v>
          </cell>
          <cell r="D467">
            <v>1</v>
          </cell>
          <cell r="E467" t="str">
            <v>AB PP UB SYARIKAT NS70-MF +L</v>
          </cell>
        </row>
        <row r="468">
          <cell r="B468" t="str">
            <v>MANS70-P</v>
          </cell>
          <cell r="C468" t="str">
            <v>WMGG24DR-CP313E</v>
          </cell>
          <cell r="D468">
            <v>1</v>
          </cell>
          <cell r="E468" t="str">
            <v>AB PP WC EX-SYARIKAT MAL NS70 +L MF</v>
          </cell>
        </row>
        <row r="469">
          <cell r="B469" t="str">
            <v>MANX110L-MF-P</v>
          </cell>
          <cell r="C469" t="str">
            <v>UMGG24EL-CP313E</v>
          </cell>
          <cell r="D469">
            <v>1</v>
          </cell>
          <cell r="E469" t="str">
            <v>AB PP UB SYARIKAT NX110L-MF +R</v>
          </cell>
        </row>
        <row r="470">
          <cell r="B470" t="str">
            <v>MANX110-MF-P</v>
          </cell>
          <cell r="C470" t="str">
            <v>UMGG24ER-CP313E</v>
          </cell>
          <cell r="D470">
            <v>1</v>
          </cell>
          <cell r="E470" t="str">
            <v>AB PP UB SYARIKAT NX110-MF +L</v>
          </cell>
        </row>
        <row r="471">
          <cell r="B471" t="str">
            <v>MANX120-7</v>
          </cell>
          <cell r="C471" t="str">
            <v>WMGG27ER-CP313E</v>
          </cell>
          <cell r="D471">
            <v>1</v>
          </cell>
          <cell r="E471" t="str">
            <v>AB PP WC EX-SYARIKAT NX120/N70Z +L MF</v>
          </cell>
        </row>
        <row r="472">
          <cell r="B472" t="str">
            <v>MANX120L-MF-P</v>
          </cell>
          <cell r="C472" t="str">
            <v>UMGG27GL-CP313E</v>
          </cell>
          <cell r="D472">
            <v>1</v>
          </cell>
          <cell r="E472" t="str">
            <v>AB PP UB SYARIKAT NX120L-MF +R</v>
          </cell>
        </row>
        <row r="473">
          <cell r="B473" t="str">
            <v>MANX120-MF-P</v>
          </cell>
          <cell r="C473" t="str">
            <v>UMGG27GR-CP313E</v>
          </cell>
          <cell r="D473">
            <v>1</v>
          </cell>
          <cell r="E473" t="str">
            <v>AB PP UB SYARIKAT NX120-MF +L</v>
          </cell>
        </row>
        <row r="474">
          <cell r="B474" t="str">
            <v>MB6TND-R</v>
          </cell>
          <cell r="C474" t="str">
            <v>EMB6TNPR-ASN00L</v>
          </cell>
          <cell r="D474">
            <v>1</v>
          </cell>
          <cell r="E474" t="str">
            <v>AB PHR DC MOTOLITE 6TN</v>
          </cell>
        </row>
        <row r="475">
          <cell r="B475" t="str">
            <v>MB6TNZ-R(23PPC)</v>
          </cell>
          <cell r="C475" t="str">
            <v>EMB6TNQR-ASN00L</v>
          </cell>
          <cell r="D475">
            <v>1</v>
          </cell>
          <cell r="E475" t="str">
            <v>AB PHR DC MOTOLITE 6TNZ(23PPC)</v>
          </cell>
        </row>
        <row r="476">
          <cell r="B476" t="str">
            <v>MBD26ALD-H</v>
          </cell>
          <cell r="C476" t="str">
            <v>EMCD26CL-ASN00L</v>
          </cell>
          <cell r="D476">
            <v>1</v>
          </cell>
          <cell r="E476" t="str">
            <v>AB PHR DC MOTOLITE 2SMF/D26AL +R</v>
          </cell>
        </row>
        <row r="477">
          <cell r="B477" t="str">
            <v>MBD31ALD-H</v>
          </cell>
          <cell r="C477" t="str">
            <v>EMCD31CL-ASN00L</v>
          </cell>
          <cell r="D477">
            <v>1</v>
          </cell>
          <cell r="E477" t="str">
            <v>AB PHR DC MOTOLITE 3SMF/D31AL +R</v>
          </cell>
        </row>
        <row r="478">
          <cell r="B478" t="str">
            <v>MBE41ALD-H</v>
          </cell>
          <cell r="C478" t="str">
            <v>EMCE41CL-ASN00L</v>
          </cell>
          <cell r="D478">
            <v>1</v>
          </cell>
          <cell r="E478" t="str">
            <v>AB PHR DC MOTOLITE 6SMF/E41AL +R</v>
          </cell>
        </row>
        <row r="479">
          <cell r="B479" t="str">
            <v>MBF51AD-H</v>
          </cell>
          <cell r="C479" t="str">
            <v>EMCF51CL-ASN00L</v>
          </cell>
          <cell r="D479">
            <v>1</v>
          </cell>
          <cell r="E479" t="str">
            <v>AB PHR DC MOTOLITE 2D/F51A (N120)</v>
          </cell>
        </row>
        <row r="480">
          <cell r="B480" t="str">
            <v>MBG51AD-H</v>
          </cell>
          <cell r="C480" t="str">
            <v>EMCG51CL-ASN00L</v>
          </cell>
          <cell r="D480">
            <v>1</v>
          </cell>
          <cell r="E480" t="str">
            <v>AB PHR DC MOTOLITE 4D/G51A (N150)</v>
          </cell>
        </row>
        <row r="481">
          <cell r="B481" t="str">
            <v>MBH52AD-R</v>
          </cell>
          <cell r="C481" t="str">
            <v>EMCH52CL-ASN00L</v>
          </cell>
          <cell r="D481">
            <v>1</v>
          </cell>
          <cell r="E481" t="str">
            <v>AB PHR DC MOTOLITE 8D/H52AD (N200)</v>
          </cell>
        </row>
        <row r="482">
          <cell r="B482" t="str">
            <v>MC95D31LD-P</v>
          </cell>
          <cell r="C482" t="str">
            <v>DMCD316L-SPN28E</v>
          </cell>
          <cell r="D482">
            <v>1</v>
          </cell>
          <cell r="E482" t="str">
            <v>AB PP DC MCLASSIC CYP 95D31L +R</v>
          </cell>
        </row>
        <row r="483">
          <cell r="B483" t="str">
            <v>MC95D31RD-P</v>
          </cell>
          <cell r="C483" t="str">
            <v>DMCD316R-SPN28E</v>
          </cell>
          <cell r="D483">
            <v>1</v>
          </cell>
          <cell r="E483" t="str">
            <v>AB PP DC MCLASSIC CYP 95D31R +L</v>
          </cell>
        </row>
        <row r="484">
          <cell r="B484" t="str">
            <v>MCB24ALS-P-HD</v>
          </cell>
          <cell r="C484" t="str">
            <v>WMCB24CL-CPNHDL</v>
          </cell>
          <cell r="D484">
            <v>1</v>
          </cell>
          <cell r="E484" t="str">
            <v>AB PP WC MCLASSIC 1SNF/B24ALS - HONDA</v>
          </cell>
        </row>
        <row r="485">
          <cell r="B485" t="str">
            <v>MCN70ZD-P</v>
          </cell>
          <cell r="C485" t="str">
            <v>DMCD317R-SPN28E</v>
          </cell>
          <cell r="D485">
            <v>1</v>
          </cell>
          <cell r="E485" t="str">
            <v>AB PP DC MCLASSIC CYP N70Z +R</v>
          </cell>
        </row>
        <row r="486">
          <cell r="B486" t="str">
            <v>MCN70ZLD-P</v>
          </cell>
          <cell r="C486" t="str">
            <v>DMCD317L-SPN28E</v>
          </cell>
          <cell r="D486">
            <v>1</v>
          </cell>
          <cell r="E486" t="str">
            <v>AB PP DC MCLASSIC CYP N70ZL +R</v>
          </cell>
        </row>
        <row r="487">
          <cell r="B487" t="str">
            <v>MEC24BL-P</v>
          </cell>
          <cell r="C487" t="str">
            <v>WMEC24CL-CPN00L</v>
          </cell>
          <cell r="D487">
            <v>1</v>
          </cell>
          <cell r="E487" t="str">
            <v>AB PP WC MOTO-ENDURO 1SNF/C24BL +R</v>
          </cell>
        </row>
        <row r="488">
          <cell r="B488" t="str">
            <v>MED23BL-P</v>
          </cell>
          <cell r="C488" t="str">
            <v>WMED23CL-CPN00L</v>
          </cell>
          <cell r="D488">
            <v>1</v>
          </cell>
          <cell r="E488" t="str">
            <v>AB PP WC MOTO-ENDURO 1SMF/D23BL +R</v>
          </cell>
        </row>
        <row r="489">
          <cell r="B489" t="str">
            <v>MED26BL-P</v>
          </cell>
          <cell r="C489" t="str">
            <v>WMED26CL-CPN00L</v>
          </cell>
          <cell r="D489">
            <v>1</v>
          </cell>
          <cell r="E489" t="str">
            <v>AB PP WC MOTO-ENDURO 2SMF/D26BL +R</v>
          </cell>
        </row>
        <row r="490">
          <cell r="B490" t="str">
            <v>MED31AL-P</v>
          </cell>
          <cell r="C490" t="str">
            <v>WMED31CL-CPN00L</v>
          </cell>
          <cell r="D490">
            <v>1</v>
          </cell>
          <cell r="E490" t="str">
            <v>AB PP WC MOTO-ENDURO 3SMF/D31AL +R</v>
          </cell>
        </row>
        <row r="491">
          <cell r="B491" t="str">
            <v>MED31AL-PLDT</v>
          </cell>
          <cell r="C491" t="str">
            <v>WMED31CF-CPNPLL</v>
          </cell>
          <cell r="D491">
            <v>1</v>
          </cell>
          <cell r="E491" t="str">
            <v>AB PP WC MOTO ENDURO-PLDT 3SM +R</v>
          </cell>
        </row>
        <row r="492">
          <cell r="B492" t="str">
            <v>MFC24ALD-P</v>
          </cell>
          <cell r="C492" t="str">
            <v>EMFC24BL-SPN00L</v>
          </cell>
          <cell r="D492">
            <v>1</v>
          </cell>
          <cell r="E492" t="str">
            <v>AB PP DC MAGIC FORCE C24 +R</v>
          </cell>
        </row>
        <row r="493">
          <cell r="B493" t="str">
            <v>MFD22ALD-P</v>
          </cell>
          <cell r="C493" t="str">
            <v>EMFD23AL-SPN00L</v>
          </cell>
          <cell r="D493">
            <v>1</v>
          </cell>
          <cell r="E493" t="str">
            <v>AB PP DC MAGIC FORCE 1SMF/D22 +R</v>
          </cell>
        </row>
        <row r="494">
          <cell r="B494" t="str">
            <v>MFD26ALD-P</v>
          </cell>
          <cell r="C494" t="str">
            <v>EMFD26AL-SPN00L</v>
          </cell>
          <cell r="D494">
            <v>1</v>
          </cell>
          <cell r="E494" t="str">
            <v>AB PP DC MAGIC FORCE 2SMF/D26 +R</v>
          </cell>
        </row>
        <row r="495">
          <cell r="B495" t="str">
            <v>MFD31ALD-P</v>
          </cell>
          <cell r="C495" t="str">
            <v>EMFD31AL-SPN00L</v>
          </cell>
          <cell r="D495">
            <v>1</v>
          </cell>
          <cell r="E495" t="str">
            <v>AB PP DC MAGIC FORCE 3SMF/D31 +R</v>
          </cell>
        </row>
        <row r="496">
          <cell r="B496" t="str">
            <v>MFE41ALD-P</v>
          </cell>
          <cell r="C496" t="str">
            <v>EMFE41AL-SPN00L</v>
          </cell>
          <cell r="D496">
            <v>1</v>
          </cell>
          <cell r="E496" t="str">
            <v>AB PP DC MAGICFORCE-OMMC N100 +R AUTO</v>
          </cell>
        </row>
        <row r="497">
          <cell r="B497" t="str">
            <v>MFF51ALD-P</v>
          </cell>
          <cell r="C497" t="str">
            <v>EMFF51BL-SPN00L</v>
          </cell>
          <cell r="D497">
            <v>1</v>
          </cell>
          <cell r="E497" t="str">
            <v>AB PP DC MAGIC FORCE 2D/F51AL (N120)</v>
          </cell>
        </row>
        <row r="498">
          <cell r="B498" t="str">
            <v>MFG51ALD-P</v>
          </cell>
          <cell r="C498" t="str">
            <v>EMFG51AL-SPN00L</v>
          </cell>
          <cell r="D498">
            <v>1</v>
          </cell>
          <cell r="E498" t="str">
            <v>AB PP DC MAGIC FORCE G51 +R</v>
          </cell>
        </row>
        <row r="499">
          <cell r="B499" t="str">
            <v>MFH52ALD-P</v>
          </cell>
          <cell r="C499" t="str">
            <v>EMFH52BL-SPN00L</v>
          </cell>
          <cell r="D499">
            <v>1</v>
          </cell>
          <cell r="E499" t="str">
            <v>AB PP DC MAGICFORCE-OMMC N200 +R AUTO</v>
          </cell>
        </row>
        <row r="500">
          <cell r="B500" t="str">
            <v>MG75D23L-5MF-P</v>
          </cell>
          <cell r="C500" t="str">
            <v>WMGD23EL-CP428E</v>
          </cell>
          <cell r="D500">
            <v>1</v>
          </cell>
          <cell r="E500" t="str">
            <v>AB PP WC MG 75D23MF +R AUTO CP HE MOTCO</v>
          </cell>
        </row>
        <row r="501">
          <cell r="B501" t="str">
            <v>MG95D31R-7MF(TS)</v>
          </cell>
          <cell r="C501" t="str">
            <v>WMGG277R-TS428E</v>
          </cell>
          <cell r="D501">
            <v>1</v>
          </cell>
          <cell r="E501" t="str">
            <v>AB PP WC MG G27MF +L AUTO-HE 850A MOTCO</v>
          </cell>
        </row>
        <row r="502">
          <cell r="B502" t="str">
            <v>MG95D31R-7MF-P</v>
          </cell>
          <cell r="C502" t="str">
            <v>WMGG278R-CP428E</v>
          </cell>
          <cell r="D502">
            <v>1</v>
          </cell>
          <cell r="E502" t="str">
            <v>AB PP WC MG 95D31MF +L AUTO CP HE MOTCO</v>
          </cell>
        </row>
        <row r="503">
          <cell r="B503" t="str">
            <v>MGB20AL-P</v>
          </cell>
          <cell r="C503" t="str">
            <v>WMGB20DB-CPN00L</v>
          </cell>
          <cell r="D503">
            <v>1</v>
          </cell>
          <cell r="E503" t="str">
            <v>AB PP WC MGOLD OMMC B20/NS40 JIS +R</v>
          </cell>
        </row>
        <row r="504">
          <cell r="B504" t="str">
            <v>MGB20AL-P-HD</v>
          </cell>
          <cell r="C504" t="str">
            <v>WMGB20DB-CPNHDL</v>
          </cell>
          <cell r="D504">
            <v>1</v>
          </cell>
          <cell r="E504" t="str">
            <v>AB PP WC MGOLD B20 +R HONDA</v>
          </cell>
        </row>
        <row r="505">
          <cell r="B505" t="str">
            <v>MGB20ALS-P</v>
          </cell>
          <cell r="C505" t="str">
            <v>WMGB20DL-CPN00L</v>
          </cell>
          <cell r="D505">
            <v>1</v>
          </cell>
          <cell r="E505" t="str">
            <v>AB PP WC MGOLD NS40/B20ALS +R</v>
          </cell>
        </row>
        <row r="506">
          <cell r="B506" t="str">
            <v>MGB20BL-MF-P</v>
          </cell>
          <cell r="C506" t="str">
            <v>WMGB20BB-CP125E</v>
          </cell>
          <cell r="D506">
            <v>1</v>
          </cell>
          <cell r="E506" t="str">
            <v>AB PP WC MG VIETNAM B20BL/NS40ZL-MF +R</v>
          </cell>
        </row>
        <row r="507">
          <cell r="B507" t="str">
            <v>MGB20BR-MF-P</v>
          </cell>
          <cell r="C507" t="str">
            <v>WMGB20BA-CP125E</v>
          </cell>
          <cell r="D507">
            <v>1</v>
          </cell>
          <cell r="E507" t="str">
            <v>AB PP WC MG VIETNAM B20B/NS40Z-MF +L</v>
          </cell>
        </row>
        <row r="508">
          <cell r="B508" t="str">
            <v>MGB20LS(O)-3MF-P</v>
          </cell>
          <cell r="C508" t="str">
            <v>WMGB20DL-CP228E</v>
          </cell>
          <cell r="D508">
            <v>1</v>
          </cell>
          <cell r="E508" t="str">
            <v>AB PP WC MG B20MF +R AUTO CP HE MOTCO</v>
          </cell>
        </row>
        <row r="509">
          <cell r="B509" t="str">
            <v>MGB24ALS-P</v>
          </cell>
          <cell r="C509" t="str">
            <v>WMGB24DL-CPN00L</v>
          </cell>
          <cell r="D509">
            <v>1</v>
          </cell>
          <cell r="E509" t="str">
            <v>AB PP WC MGOLD OMMC B24AL AUTO +R</v>
          </cell>
        </row>
        <row r="510">
          <cell r="B510" t="str">
            <v>MGB24ALS-P-HD</v>
          </cell>
          <cell r="C510" t="str">
            <v>WMGB24DL-CPNHDL</v>
          </cell>
          <cell r="D510">
            <v>1</v>
          </cell>
          <cell r="E510" t="str">
            <v>AB PP WC MGOLD NS60/B24ALS +R - HONDA</v>
          </cell>
        </row>
        <row r="511">
          <cell r="B511" t="str">
            <v>MGB24ARS-MF-P</v>
          </cell>
          <cell r="C511" t="str">
            <v>WMGB24DR-CPN00L</v>
          </cell>
          <cell r="D511">
            <v>1</v>
          </cell>
          <cell r="E511" t="str">
            <v>AB PP WC MGOLD NS60/B24ARS MF +L</v>
          </cell>
        </row>
        <row r="512">
          <cell r="B512" t="str">
            <v>MGB24ARS-P-HD</v>
          </cell>
          <cell r="C512" t="str">
            <v>WMGB24BR-CPNHDL</v>
          </cell>
          <cell r="D512">
            <v>1</v>
          </cell>
          <cell r="E512" t="str">
            <v>AB PP WC MGOLD 1SNF/B24ARS - HONDA</v>
          </cell>
        </row>
        <row r="513">
          <cell r="B513" t="str">
            <v>MGC24BL-MF-P</v>
          </cell>
          <cell r="C513" t="str">
            <v>WMGC24DL-CPN00L</v>
          </cell>
          <cell r="D513">
            <v>1</v>
          </cell>
          <cell r="E513" t="str">
            <v>AB PP WC MGOLD 1SNF/C24BL MF +R</v>
          </cell>
        </row>
        <row r="514">
          <cell r="B514" t="str">
            <v>MGC24BL-P</v>
          </cell>
          <cell r="C514" t="str">
            <v>WMGC24BL-CPNMBL</v>
          </cell>
          <cell r="D514">
            <v>1</v>
          </cell>
          <cell r="E514" t="str">
            <v>AB PP WC MGOLD 1SNF/C24BL +R</v>
          </cell>
        </row>
        <row r="515">
          <cell r="B515" t="str">
            <v>MGD22BL-P</v>
          </cell>
          <cell r="C515" t="str">
            <v>WMGD23BL-CPNMBL</v>
          </cell>
          <cell r="D515">
            <v>1</v>
          </cell>
          <cell r="E515" t="str">
            <v>AB PP WC MGOLD 1SMF/D22BL +R</v>
          </cell>
        </row>
        <row r="516">
          <cell r="B516" t="str">
            <v>MGD23AL-P-OE</v>
          </cell>
          <cell r="C516" t="str">
            <v>WMGD23BL-CPNFDL</v>
          </cell>
          <cell r="D516">
            <v>1</v>
          </cell>
          <cell r="E516" t="str">
            <v>AB PP WC MGOLD 1SMF/D23AL +R - OE</v>
          </cell>
        </row>
        <row r="517">
          <cell r="B517" t="str">
            <v>MGD23BL-MF-P</v>
          </cell>
          <cell r="C517" t="str">
            <v>WMGD23DL-CPN00L</v>
          </cell>
          <cell r="D517">
            <v>1</v>
          </cell>
          <cell r="E517" t="str">
            <v>AB PP WC MGOLD 1SMF/D23BL MF +R</v>
          </cell>
        </row>
        <row r="518">
          <cell r="B518" t="str">
            <v>MGD23BL-P-FD</v>
          </cell>
          <cell r="C518" t="str">
            <v>WMGD23DL-CPNFDL</v>
          </cell>
          <cell r="D518">
            <v>1</v>
          </cell>
          <cell r="E518" t="str">
            <v>AB PP WC MGOLD 1SMF/D23BL +R - FORD</v>
          </cell>
        </row>
        <row r="519">
          <cell r="B519" t="str">
            <v>MGD23BL-P-HD</v>
          </cell>
          <cell r="C519" t="str">
            <v>WMGD23CL-CPNHDL</v>
          </cell>
          <cell r="D519">
            <v>1</v>
          </cell>
          <cell r="E519" t="str">
            <v>AB PP WC MGOLD 1SMF/D23BL +R - HONDA</v>
          </cell>
        </row>
        <row r="520">
          <cell r="B520" t="str">
            <v>MGD23BL-P-OE</v>
          </cell>
          <cell r="C520" t="str">
            <v>WMGD23DL-CPNMBL</v>
          </cell>
          <cell r="D520">
            <v>1</v>
          </cell>
          <cell r="E520" t="str">
            <v>AB PP WC MGOLD 1SMF/D23BL +R - OE</v>
          </cell>
        </row>
        <row r="521">
          <cell r="B521" t="str">
            <v>MGD23BR-MF-P</v>
          </cell>
          <cell r="C521" t="str">
            <v>WMGD23DR-CPN00L</v>
          </cell>
          <cell r="D521">
            <v>1</v>
          </cell>
          <cell r="E521" t="str">
            <v>AB PP WC MGOLD 1SMF/D23BR MF +L</v>
          </cell>
        </row>
        <row r="522">
          <cell r="B522" t="str">
            <v>MGD23DR-P-OE</v>
          </cell>
          <cell r="C522" t="str">
            <v>WMGD23ER-CPNIZL</v>
          </cell>
          <cell r="D522">
            <v>1</v>
          </cell>
          <cell r="E522" t="str">
            <v>AB PP WC MGOLD 1SMF/D23DR - OE</v>
          </cell>
        </row>
        <row r="523">
          <cell r="B523" t="str">
            <v>MGD23DR-P-OE</v>
          </cell>
          <cell r="C523" t="str">
            <v>WMGD23ER-CPNUML</v>
          </cell>
          <cell r="D523">
            <v>1</v>
          </cell>
          <cell r="E523" t="str">
            <v>AB PP WC MGOLD 1SMF/D23DR - OE</v>
          </cell>
        </row>
        <row r="524">
          <cell r="B524" t="str">
            <v>MGD26BL-MF-P</v>
          </cell>
          <cell r="C524" t="str">
            <v>WMGD26DL-CPN00L</v>
          </cell>
          <cell r="D524">
            <v>1</v>
          </cell>
          <cell r="E524" t="str">
            <v>AB PP WC MGOLD 2SMF/D26BL MF +R</v>
          </cell>
        </row>
        <row r="525">
          <cell r="B525" t="str">
            <v>MGD26BR-MF-P</v>
          </cell>
          <cell r="C525" t="str">
            <v>WMGD26DR-CPN00L</v>
          </cell>
          <cell r="D525">
            <v>1</v>
          </cell>
          <cell r="E525" t="str">
            <v>AB PP WC MGOLD 2SMF/D26BR MF +L</v>
          </cell>
        </row>
        <row r="526">
          <cell r="B526" t="str">
            <v>MGD26CL-P-IZ</v>
          </cell>
          <cell r="C526" t="str">
            <v>WMGD26ZL-CPNIZL</v>
          </cell>
          <cell r="D526">
            <v>1</v>
          </cell>
          <cell r="E526" t="str">
            <v>AB PP WC MGOLD 2SMF/D26CL +R - IZUSU</v>
          </cell>
        </row>
        <row r="527">
          <cell r="B527" t="str">
            <v>MGD31BL-MF-P</v>
          </cell>
          <cell r="C527" t="str">
            <v>WMGD31DL-CPN00L</v>
          </cell>
          <cell r="D527">
            <v>1</v>
          </cell>
          <cell r="E527" t="str">
            <v>AB PP WC MGOLD 3SMF/D31BL MF +R</v>
          </cell>
        </row>
        <row r="528">
          <cell r="B528" t="str">
            <v>MGD31BL-P</v>
          </cell>
          <cell r="C528" t="str">
            <v>WMGD31EL-CPNMBL</v>
          </cell>
          <cell r="D528">
            <v>1</v>
          </cell>
          <cell r="E528" t="str">
            <v>AB PP WC MGOLD 3SMF/D31BL +R</v>
          </cell>
        </row>
        <row r="529">
          <cell r="B529" t="str">
            <v>MGD31CR-MF-P</v>
          </cell>
          <cell r="C529" t="str">
            <v>WMGD31DR-CPN00L</v>
          </cell>
          <cell r="D529">
            <v>1</v>
          </cell>
          <cell r="E529" t="str">
            <v>AB PP WC MGOLD 3SMF/D31CR MF +L</v>
          </cell>
        </row>
        <row r="530">
          <cell r="B530" t="str">
            <v>MGD31DL-P-NS</v>
          </cell>
          <cell r="C530" t="str">
            <v>WMGD31GL-SPNIZL</v>
          </cell>
          <cell r="D530">
            <v>1</v>
          </cell>
          <cell r="E530" t="str">
            <v>AB PP WC MGOLD 3SMF/D31 +R NISSAN URVAN</v>
          </cell>
        </row>
        <row r="531">
          <cell r="B531" t="str">
            <v>MGD31DL-P-NS</v>
          </cell>
          <cell r="C531" t="str">
            <v>WMGD31GL-SPNUML</v>
          </cell>
          <cell r="D531">
            <v>1</v>
          </cell>
          <cell r="E531" t="str">
            <v>AB PP WC MGOLD 3SMF/D31 +R NISSAN URVAN</v>
          </cell>
        </row>
        <row r="532">
          <cell r="B532" t="str">
            <v>MGD31DR-P</v>
          </cell>
          <cell r="C532" t="str">
            <v>WMGD31GR-SPNIZL</v>
          </cell>
          <cell r="D532">
            <v>1</v>
          </cell>
          <cell r="E532" t="str">
            <v>AB PP WC MGOLD 3SMF/D31DR +L</v>
          </cell>
        </row>
        <row r="533">
          <cell r="B533" t="str">
            <v>MGDIN44-P-FD</v>
          </cell>
          <cell r="C533" t="str">
            <v>WMGN44DL-CPNFDL</v>
          </cell>
          <cell r="D533">
            <v>1</v>
          </cell>
          <cell r="E533" t="str">
            <v>AB PP WC FORD DIN44 +R ACCESIBLE</v>
          </cell>
        </row>
        <row r="534">
          <cell r="B534" t="str">
            <v>MGDIN55-MF-P</v>
          </cell>
          <cell r="C534" t="str">
            <v>WMGN55DL-CPN00L</v>
          </cell>
          <cell r="D534">
            <v>1</v>
          </cell>
          <cell r="E534" t="str">
            <v>AB PP WC MGOLD DIN55 MF B3 +R</v>
          </cell>
        </row>
        <row r="535">
          <cell r="B535" t="str">
            <v>MGDIN66-MF-P</v>
          </cell>
          <cell r="C535" t="str">
            <v>WMGN66CL-CPN00L</v>
          </cell>
          <cell r="D535">
            <v>1</v>
          </cell>
          <cell r="E535" t="str">
            <v>AB PP WC MGOLD DIN66 MF B3 +R</v>
          </cell>
        </row>
        <row r="536">
          <cell r="B536" t="str">
            <v>MGDIN88-MF-P</v>
          </cell>
          <cell r="C536" t="str">
            <v>WMGN88DL-CPN00L</v>
          </cell>
          <cell r="D536">
            <v>1</v>
          </cell>
          <cell r="E536" t="str">
            <v>AB PP WC MGOLD DIN88 MF B3 +R</v>
          </cell>
        </row>
        <row r="537">
          <cell r="B537" t="str">
            <v>MGG24-4MF-P</v>
          </cell>
          <cell r="C537" t="str">
            <v>WMGG24BR-CP325E</v>
          </cell>
          <cell r="D537">
            <v>1</v>
          </cell>
          <cell r="E537" t="str">
            <v>AB PP WC MG VIETNAM G24-4MF +L</v>
          </cell>
        </row>
        <row r="538">
          <cell r="B538" t="str">
            <v>MGG24F-4MF-P</v>
          </cell>
          <cell r="C538" t="str">
            <v>WMGG24BL-CP325E</v>
          </cell>
          <cell r="D538">
            <v>1</v>
          </cell>
          <cell r="E538" t="str">
            <v>AB PP WC MG VIETNAM G24F-4MF +R</v>
          </cell>
        </row>
        <row r="539">
          <cell r="B539" t="str">
            <v>MGG24L-4MF-P</v>
          </cell>
          <cell r="C539" t="str">
            <v>WMGG246L-TS429E</v>
          </cell>
          <cell r="D539">
            <v>1</v>
          </cell>
          <cell r="E539" t="str">
            <v>AB PP WC MG G24MF +R AUTO SLD HE MOTOBA</v>
          </cell>
        </row>
        <row r="540">
          <cell r="B540" t="str">
            <v>MGG24R-4MF-P</v>
          </cell>
          <cell r="C540" t="str">
            <v>WMGG246R-TS429E</v>
          </cell>
          <cell r="D540">
            <v>1</v>
          </cell>
          <cell r="E540" t="str">
            <v>AB PP WC MG G24MF +L AUTO SLD HE MOTOBA</v>
          </cell>
        </row>
        <row r="541">
          <cell r="B541" t="str">
            <v>MGG27FLTV-MF-P</v>
          </cell>
          <cell r="C541" t="str">
            <v>WMGG27GL-CP325E</v>
          </cell>
          <cell r="D541">
            <v>1</v>
          </cell>
          <cell r="E541" t="str">
            <v>AB PP WC MG VIETNAM G27FLTV-7MF +R</v>
          </cell>
        </row>
        <row r="542">
          <cell r="B542" t="str">
            <v>MGG27LTV-MF-P</v>
          </cell>
          <cell r="C542" t="str">
            <v>WMGG27GR-CP325E</v>
          </cell>
          <cell r="D542">
            <v>1</v>
          </cell>
          <cell r="E542" t="str">
            <v>AB PP WC MG VIETNAM G27LTV-7MF +L</v>
          </cell>
        </row>
        <row r="543">
          <cell r="B543" t="str">
            <v>MGG31A-800</v>
          </cell>
          <cell r="C543" t="str">
            <v>WMGB318R-CP228E</v>
          </cell>
          <cell r="D543">
            <v>1</v>
          </cell>
          <cell r="E543" t="str">
            <v>AB PP WC MG G31MF +L AUTO CP HE MOTCO</v>
          </cell>
        </row>
        <row r="544">
          <cell r="B544" t="str">
            <v>MGG31A-8MF</v>
          </cell>
          <cell r="C544" t="str">
            <v>WMGB318R-TS229E</v>
          </cell>
          <cell r="D544">
            <v>1</v>
          </cell>
          <cell r="E544" t="str">
            <v>AB PP WC MG G31 +L AUTO MOTOBA GREECE</v>
          </cell>
        </row>
        <row r="545">
          <cell r="B545" t="str">
            <v>MGG31A-8MF-P</v>
          </cell>
          <cell r="C545" t="str">
            <v>WMGB31CR-TS125E</v>
          </cell>
          <cell r="D545">
            <v>1</v>
          </cell>
          <cell r="E545" t="str">
            <v>AB PP WC MG VIETNAM G31A-8MF T-SLD +L</v>
          </cell>
        </row>
        <row r="546">
          <cell r="B546" t="str">
            <v>MGG34/78-6</v>
          </cell>
          <cell r="C546" t="str">
            <v>WMGD78DD-CPP00L</v>
          </cell>
          <cell r="D546">
            <v>1</v>
          </cell>
          <cell r="E546" t="str">
            <v>AB PP WC MGOLD G34/78-6</v>
          </cell>
        </row>
        <row r="547">
          <cell r="B547" t="str">
            <v>MGG51L-3MF-P</v>
          </cell>
          <cell r="C547" t="str">
            <v>WMGB244B-TS429E</v>
          </cell>
          <cell r="D547">
            <v>1</v>
          </cell>
          <cell r="E547" t="str">
            <v>AB PP WC MG B24MF +R SML SLD HE MOTOBA</v>
          </cell>
        </row>
        <row r="548">
          <cell r="B548" t="str">
            <v>MGG51R-3MF-P</v>
          </cell>
          <cell r="C548" t="str">
            <v>WMGB244A-TS429E</v>
          </cell>
          <cell r="D548">
            <v>1</v>
          </cell>
          <cell r="E548" t="str">
            <v>AB PP WC MG B24MF +L SML SLD HE MOTOBA</v>
          </cell>
        </row>
        <row r="549">
          <cell r="B549" t="str">
            <v>MGG58-5</v>
          </cell>
          <cell r="C549" t="str">
            <v>WMGG585E-CPP00L</v>
          </cell>
          <cell r="D549">
            <v>1</v>
          </cell>
          <cell r="E549" t="str">
            <v>AB PP WC MGOLD G58-5</v>
          </cell>
        </row>
        <row r="550">
          <cell r="B550" t="str">
            <v>MGG65-6</v>
          </cell>
          <cell r="C550" t="str">
            <v>WMGG656E-CPP00L</v>
          </cell>
          <cell r="D550">
            <v>1</v>
          </cell>
          <cell r="E550" t="str">
            <v>AB PP WC MGOLD G65-6</v>
          </cell>
        </row>
        <row r="551">
          <cell r="B551" t="str">
            <v>MGGC2AS-8V-P</v>
          </cell>
          <cell r="C551" t="str">
            <v>WMMGC8RF-SPN00L</v>
          </cell>
          <cell r="D551">
            <v>1</v>
          </cell>
          <cell r="E551" t="str">
            <v>AB PP WC MGOLD GC2 13PPC STUD 8V LOC</v>
          </cell>
        </row>
        <row r="552">
          <cell r="B552" t="str">
            <v>MGGC2B-8V</v>
          </cell>
          <cell r="C552" t="str">
            <v>EMMGC8SL-SPN00L</v>
          </cell>
          <cell r="D552">
            <v>1</v>
          </cell>
          <cell r="E552" t="str">
            <v>AB PP DC LOCAL GC2-8V (15PPC)</v>
          </cell>
        </row>
        <row r="553">
          <cell r="B553" t="str">
            <v>MGMFG48-P</v>
          </cell>
          <cell r="C553" t="str">
            <v>WMGG48BL-TS112E</v>
          </cell>
          <cell r="D553">
            <v>1</v>
          </cell>
          <cell r="E553" t="e">
            <v>#N/A</v>
          </cell>
        </row>
        <row r="554">
          <cell r="B554" t="str">
            <v>MGMFG48R-P</v>
          </cell>
          <cell r="C554" t="str">
            <v>WMGG48BR-TS112E</v>
          </cell>
          <cell r="D554">
            <v>1</v>
          </cell>
          <cell r="E554" t="e">
            <v>#N/A</v>
          </cell>
        </row>
        <row r="555">
          <cell r="B555" t="str">
            <v>MGMFG49-P</v>
          </cell>
          <cell r="C555" t="str">
            <v>WMGG49AL-TS112E</v>
          </cell>
          <cell r="D555">
            <v>1</v>
          </cell>
          <cell r="E555" t="str">
            <v>AB PP WC SUNNY-CHINA G49/DIN100 MF BLK+R</v>
          </cell>
        </row>
        <row r="556">
          <cell r="B556" t="str">
            <v>MGMFN200-P</v>
          </cell>
          <cell r="C556" t="str">
            <v>WMGH52EL-TS312E</v>
          </cell>
          <cell r="D556">
            <v>1</v>
          </cell>
          <cell r="E556" t="str">
            <v>AB PP WC SUNNY CHINA TOT-SEALED N200</v>
          </cell>
        </row>
        <row r="557">
          <cell r="B557" t="str">
            <v>MGMFN44-P</v>
          </cell>
          <cell r="C557" t="str">
            <v>WMGN44DL-TS112E</v>
          </cell>
          <cell r="D557">
            <v>1</v>
          </cell>
          <cell r="E557" t="str">
            <v>AB PP WC SUNNY CHINA DIN44-MF +R</v>
          </cell>
        </row>
        <row r="558">
          <cell r="B558" t="str">
            <v>MGMFN55-P</v>
          </cell>
          <cell r="C558" t="str">
            <v>WMGN55EL-TS112E</v>
          </cell>
          <cell r="D558">
            <v>1</v>
          </cell>
          <cell r="E558" t="str">
            <v>AB PP WC MG-SUNNY DIN55-MF B3 +R</v>
          </cell>
        </row>
        <row r="559">
          <cell r="B559" t="str">
            <v>MGMFN55R-P</v>
          </cell>
          <cell r="C559" t="str">
            <v>WMGN55ER-TS112E</v>
          </cell>
          <cell r="D559">
            <v>1</v>
          </cell>
          <cell r="E559" t="str">
            <v>AB PP WC MG-SUNNY DIN55-MF +L</v>
          </cell>
        </row>
        <row r="560">
          <cell r="B560" t="str">
            <v>MGMFN66-P</v>
          </cell>
          <cell r="C560" t="str">
            <v>WMGN66DL-TS112E</v>
          </cell>
          <cell r="D560">
            <v>1</v>
          </cell>
          <cell r="E560" t="str">
            <v>AB PP WC MG-SUNNY DIN66-MF B3 +R</v>
          </cell>
        </row>
        <row r="561">
          <cell r="B561" t="str">
            <v>MGMFN66R-P</v>
          </cell>
          <cell r="C561" t="str">
            <v>WMGN66DR-TS112E</v>
          </cell>
          <cell r="D561">
            <v>1</v>
          </cell>
          <cell r="E561" t="str">
            <v>AB PP WC MG-SUNNY DIN66-MF +L</v>
          </cell>
        </row>
        <row r="562">
          <cell r="B562" t="str">
            <v>MGMFN88-P</v>
          </cell>
          <cell r="C562" t="str">
            <v>WMGN88BL-TS112E</v>
          </cell>
          <cell r="D562">
            <v>1</v>
          </cell>
          <cell r="E562" t="str">
            <v>AB PP WC MG SUNNY DIN88-MF +R</v>
          </cell>
        </row>
        <row r="563">
          <cell r="B563" t="str">
            <v>MGMFN88R-P</v>
          </cell>
          <cell r="C563" t="str">
            <v>WMGN88BR-TS112E</v>
          </cell>
          <cell r="D563">
            <v>1</v>
          </cell>
          <cell r="E563" t="str">
            <v>AB PP WC MG SUNNY DIN88-MF +R</v>
          </cell>
        </row>
        <row r="564">
          <cell r="B564" t="str">
            <v>MGN44-3MF-P</v>
          </cell>
          <cell r="C564" t="str">
            <v>WMGN44DL-TS229E</v>
          </cell>
          <cell r="D564">
            <v>1</v>
          </cell>
          <cell r="E564" t="str">
            <v>AB PP WC MG N44-3MF TLY-SLD +R CYP</v>
          </cell>
        </row>
        <row r="565">
          <cell r="B565" t="str">
            <v>MGN44-4MF-P</v>
          </cell>
          <cell r="C565" t="str">
            <v>WMGN44DL-CP228E</v>
          </cell>
          <cell r="D565">
            <v>1</v>
          </cell>
          <cell r="E565" t="str">
            <v>AB PP WC MG MFN44 +R AUTO CP HE MOTCO</v>
          </cell>
        </row>
        <row r="566">
          <cell r="B566" t="str">
            <v>MGN50Z-5MF-P</v>
          </cell>
          <cell r="C566" t="str">
            <v>WUBG246R-TS428E</v>
          </cell>
          <cell r="D566">
            <v>1</v>
          </cell>
          <cell r="E566" t="str">
            <v>AB PP WC MG N50ZMF +L AUTO SLD HE MOTCO</v>
          </cell>
        </row>
        <row r="567">
          <cell r="B567" t="str">
            <v>MGN55-4MF-P</v>
          </cell>
          <cell r="C567" t="str">
            <v>WMGN55EL-TS230E</v>
          </cell>
          <cell r="D567">
            <v>1</v>
          </cell>
          <cell r="E567" t="str">
            <v>AB PP WC MG N55-4MF TLY-SLD +R CYP</v>
          </cell>
        </row>
        <row r="568">
          <cell r="B568" t="str">
            <v>MGN55-5MF-P</v>
          </cell>
          <cell r="C568" t="str">
            <v>WMGN55EL-CP228E</v>
          </cell>
          <cell r="D568">
            <v>1</v>
          </cell>
          <cell r="E568" t="str">
            <v>AB PP WC MG MFN55 +R AUTO CP HE MOTCO</v>
          </cell>
        </row>
        <row r="569">
          <cell r="B569" t="str">
            <v>MGN55R-4MF-P</v>
          </cell>
          <cell r="C569" t="str">
            <v>WMGN55ER-TS228E</v>
          </cell>
          <cell r="D569">
            <v>1</v>
          </cell>
          <cell r="E569" t="str">
            <v>AB PP WC MG N55R-4MF T-SLD +L CYP</v>
          </cell>
        </row>
        <row r="570">
          <cell r="B570" t="str">
            <v>MGN66-5MF-P</v>
          </cell>
          <cell r="C570" t="str">
            <v>WMGN66DL-TS229E</v>
          </cell>
          <cell r="D570">
            <v>1</v>
          </cell>
          <cell r="E570" t="str">
            <v>AB PP WC MG N66-5MF T-SLD +R CYP</v>
          </cell>
        </row>
        <row r="571">
          <cell r="B571" t="str">
            <v>MGN66-6MF-P</v>
          </cell>
          <cell r="C571" t="str">
            <v>WMGN66DL-TS228E</v>
          </cell>
          <cell r="D571">
            <v>1</v>
          </cell>
          <cell r="E571" t="str">
            <v xml:space="preserve"> AB PP WC MG MFN66 +R STD MOTCO CYPRUS</v>
          </cell>
        </row>
        <row r="572">
          <cell r="B572" t="str">
            <v>MGN66-7MF-P</v>
          </cell>
          <cell r="C572" t="str">
            <v>WMGN66DL-CP228E</v>
          </cell>
          <cell r="D572">
            <v>1</v>
          </cell>
          <cell r="E572" t="str">
            <v>AB PP WC MG MFN66 +R AUTO CP HE MOTCO</v>
          </cell>
        </row>
        <row r="573">
          <cell r="B573" t="str">
            <v>MGN66R-6MF-P</v>
          </cell>
          <cell r="C573" t="str">
            <v>WMGN66DR-TS228E</v>
          </cell>
          <cell r="D573">
            <v>1</v>
          </cell>
          <cell r="E573" t="str">
            <v>AB PP WC MG N66R-6MF T-SLD +L CYP</v>
          </cell>
        </row>
        <row r="574">
          <cell r="B574" t="str">
            <v>MGN70Z-6MF-P</v>
          </cell>
          <cell r="C574" t="str">
            <v>WMGD316R-CP428E</v>
          </cell>
          <cell r="D574">
            <v>1</v>
          </cell>
          <cell r="E574" t="str">
            <v>AB PP WC MG N70ZMF +L AUTO CP HE MOTCO</v>
          </cell>
        </row>
        <row r="575">
          <cell r="B575" t="str">
            <v>MGN88-6MF-P</v>
          </cell>
          <cell r="C575" t="str">
            <v>WMGN88CL-TS229E</v>
          </cell>
          <cell r="D575">
            <v>1</v>
          </cell>
          <cell r="E575" t="str">
            <v>AB PP WC MG N88-6MF T-SLD +R CYP</v>
          </cell>
        </row>
        <row r="576">
          <cell r="B576" t="str">
            <v>MGN88-7MF-P</v>
          </cell>
          <cell r="C576" t="str">
            <v>WMGN88CL-CP228E</v>
          </cell>
          <cell r="D576">
            <v>1</v>
          </cell>
          <cell r="E576" t="str">
            <v>AB PP WC MG MFN88 +R AUTO CP HE MOTCO</v>
          </cell>
        </row>
        <row r="577">
          <cell r="B577" t="str">
            <v>MGNS40ZL-3MF-P</v>
          </cell>
          <cell r="C577" t="str">
            <v>WMGB203B-TS228E</v>
          </cell>
          <cell r="D577">
            <v>1</v>
          </cell>
          <cell r="E577" t="str">
            <v>AB PP WC MG NS40ZL +R JIS MOTCO CYPRUS</v>
          </cell>
        </row>
        <row r="578">
          <cell r="B578" t="str">
            <v>MGNS50-5MF-P</v>
          </cell>
          <cell r="C578" t="str">
            <v>WMGD236I-TS428E</v>
          </cell>
          <cell r="D578">
            <v>1</v>
          </cell>
          <cell r="E578" t="str">
            <v>AB PP WC MG MF75D23R +L STD MOTCO CYPRUS</v>
          </cell>
        </row>
        <row r="579">
          <cell r="B579" t="str">
            <v>MGNS50L-5MF-P</v>
          </cell>
          <cell r="C579" t="str">
            <v>WMGD236E-TS428E</v>
          </cell>
          <cell r="D579">
            <v>1</v>
          </cell>
          <cell r="E579" t="str">
            <v>AB PP WC MG MF75D23L +R STD MOTCO CYPRUS</v>
          </cell>
        </row>
        <row r="580">
          <cell r="B580" t="str">
            <v>MGNS60-4MF-P</v>
          </cell>
          <cell r="C580" t="str">
            <v>WMGB244A-TS428E</v>
          </cell>
          <cell r="D580">
            <v>1</v>
          </cell>
          <cell r="E580" t="str">
            <v>AB PP WC MG NS60-MF +L JIS MOTOBA GREECE</v>
          </cell>
        </row>
        <row r="581">
          <cell r="B581" t="str">
            <v>MGNS60L-4MF-P</v>
          </cell>
          <cell r="C581" t="str">
            <v>WMGB244B-TS428E</v>
          </cell>
          <cell r="D581">
            <v>1</v>
          </cell>
          <cell r="E581" t="str">
            <v>AB PP WC MG NS60L-4MF JIS MOTOBA GREECE</v>
          </cell>
        </row>
        <row r="582">
          <cell r="B582" t="str">
            <v>MGNS60LS-4MF-P</v>
          </cell>
          <cell r="C582" t="str">
            <v>WMGB244I-TS430E</v>
          </cell>
          <cell r="D582">
            <v>1</v>
          </cell>
          <cell r="E582" t="str">
            <v>AB PP WC MG NS60LS-4MF T-SLD +R STD CYP</v>
          </cell>
        </row>
        <row r="583">
          <cell r="B583" t="str">
            <v>MGNS60S-4MF-P</v>
          </cell>
          <cell r="C583" t="str">
            <v>WMGB244E-TS430E</v>
          </cell>
          <cell r="D583">
            <v>1</v>
          </cell>
          <cell r="E583" t="str">
            <v>AB PP WC MG NS60S-4MF T-SLD +L STD CYP</v>
          </cell>
        </row>
        <row r="584">
          <cell r="B584" t="str">
            <v>MGNS60ZL-MF-P</v>
          </cell>
          <cell r="C584" t="str">
            <v>WMGB24DB-CP321E</v>
          </cell>
          <cell r="D584">
            <v>1</v>
          </cell>
          <cell r="E584" t="str">
            <v>AB PP WC MGOLD NS60ZL TRI TOB +R JIS</v>
          </cell>
        </row>
        <row r="585">
          <cell r="B585" t="str">
            <v>MGNS60ZLS-MF-P</v>
          </cell>
          <cell r="C585" t="str">
            <v>WMGB24DL-CP321E</v>
          </cell>
          <cell r="D585">
            <v>1</v>
          </cell>
          <cell r="E585" t="str">
            <v>AB PP WC MGOLD NS60ZLS TRI TOB +R AUTO</v>
          </cell>
        </row>
        <row r="586">
          <cell r="B586" t="str">
            <v>MGNS60Z-MF-P</v>
          </cell>
          <cell r="C586" t="str">
            <v>WMGB24DA-CP321E</v>
          </cell>
          <cell r="D586">
            <v>1</v>
          </cell>
          <cell r="E586" t="str">
            <v>AB PP WC MGOLD NS60Z TRI TOB +L JIS</v>
          </cell>
        </row>
        <row r="587">
          <cell r="B587" t="str">
            <v>MGNS60ZS-MF-P</v>
          </cell>
          <cell r="C587" t="str">
            <v>WMGB24DR-CP321E</v>
          </cell>
          <cell r="D587">
            <v>1</v>
          </cell>
          <cell r="E587" t="str">
            <v>AB PP WC MGOLD NS60ZS TRI TOB +L AUTO</v>
          </cell>
        </row>
        <row r="588">
          <cell r="B588" t="str">
            <v>MGNS70L-MF-P</v>
          </cell>
          <cell r="C588" t="str">
            <v>WMGG24EL-CP325E</v>
          </cell>
          <cell r="D588">
            <v>1</v>
          </cell>
          <cell r="E588" t="str">
            <v>AB PP WC MG VIETNAM NS70L-MF (G24) +R</v>
          </cell>
        </row>
        <row r="589">
          <cell r="B589" t="str">
            <v>MGNS70-MF-P</v>
          </cell>
          <cell r="C589" t="str">
            <v>WMGG24ER-CP325E</v>
          </cell>
          <cell r="D589">
            <v>1</v>
          </cell>
          <cell r="E589" t="str">
            <v>AB PP WC MG VIETNAM NS70-MF (G24) +L</v>
          </cell>
        </row>
        <row r="590">
          <cell r="B590" t="str">
            <v>MGNX110-5MF-P</v>
          </cell>
          <cell r="C590" t="str">
            <v>WMGG247E-TS428E</v>
          </cell>
          <cell r="D590">
            <v>1</v>
          </cell>
          <cell r="E590" t="str">
            <v>AB PP WC MG NX110-5 +L STD MOTCO CYPRUS</v>
          </cell>
        </row>
        <row r="591">
          <cell r="B591" t="str">
            <v>MGNX110L-5MF-P</v>
          </cell>
          <cell r="C591" t="str">
            <v>WMGG247I-TS428E</v>
          </cell>
          <cell r="D591">
            <v>1</v>
          </cell>
          <cell r="E591" t="str">
            <v>AB PP WC MG NX110L-5MF T-SLD +R CYP</v>
          </cell>
        </row>
        <row r="592">
          <cell r="B592" t="str">
            <v>MGNX120-7MF-P</v>
          </cell>
          <cell r="C592" t="str">
            <v>WMGG277E-TS428E</v>
          </cell>
          <cell r="D592">
            <v>1</v>
          </cell>
          <cell r="E592" t="str">
            <v>AB PP WC MG NX120-7 +L STD MOTCO CYPRUS</v>
          </cell>
        </row>
        <row r="593">
          <cell r="B593" t="str">
            <v>MGNX120L-7MF-P</v>
          </cell>
          <cell r="C593" t="str">
            <v>WMGG277I-TS428E</v>
          </cell>
          <cell r="D593">
            <v>1</v>
          </cell>
          <cell r="E593" t="str">
            <v>AB PP WC MG NX120L-7MF T-SLD +R CYP</v>
          </cell>
        </row>
        <row r="594">
          <cell r="B594" t="str">
            <v>MSD26BLD-P</v>
          </cell>
          <cell r="C594" t="str">
            <v>EMSD26DL-SPN00L</v>
          </cell>
          <cell r="D594">
            <v>1</v>
          </cell>
          <cell r="E594" t="str">
            <v>AB PP DC 2SMF/D26 MOTO SUPER PREM +R</v>
          </cell>
        </row>
        <row r="595">
          <cell r="B595" t="str">
            <v>MSD31CLD-P</v>
          </cell>
          <cell r="C595" t="str">
            <v>EMSD31DL-SPN00L</v>
          </cell>
          <cell r="D595">
            <v>1</v>
          </cell>
          <cell r="E595" t="str">
            <v>AB PP DC 3SMF/D31 MOTO SUPER PREM +R</v>
          </cell>
        </row>
        <row r="596">
          <cell r="B596" t="str">
            <v>MTD26ALD-P</v>
          </cell>
          <cell r="C596" t="str">
            <v>EMTD26CL-SPN00L</v>
          </cell>
          <cell r="D596">
            <v>1</v>
          </cell>
          <cell r="E596" t="str">
            <v>AB PP DC TRUCKMASTER D26 +R</v>
          </cell>
        </row>
        <row r="597">
          <cell r="B597" t="str">
            <v>MTD31ALD-P</v>
          </cell>
          <cell r="C597" t="str">
            <v>EMTD31CL-SPN00L</v>
          </cell>
          <cell r="D597">
            <v>1</v>
          </cell>
          <cell r="E597" t="str">
            <v>AB PP DC TRUCKMASTER D31 +R</v>
          </cell>
        </row>
        <row r="598">
          <cell r="B598" t="str">
            <v>MTE41BLD-P</v>
          </cell>
          <cell r="C598" t="str">
            <v>EMTE41CL-SPN00L</v>
          </cell>
          <cell r="D598">
            <v>1</v>
          </cell>
          <cell r="E598" t="str">
            <v>AB PP DC TRUCKMASTER 6SMF/E41BL +R</v>
          </cell>
        </row>
        <row r="599">
          <cell r="B599" t="str">
            <v>MTF51BLD-P</v>
          </cell>
          <cell r="C599" t="str">
            <v>EMTF51CL-SPN00L</v>
          </cell>
          <cell r="D599">
            <v>1</v>
          </cell>
          <cell r="E599" t="str">
            <v>AB PP DC TRUCKMASTER 2D/F51BL (N120)</v>
          </cell>
        </row>
        <row r="600">
          <cell r="B600" t="str">
            <v>MTG51BLD-P</v>
          </cell>
          <cell r="C600" t="str">
            <v>EMTG51CL-SPN00L</v>
          </cell>
          <cell r="D600">
            <v>1</v>
          </cell>
          <cell r="E600" t="str">
            <v>AB PP DC TRUCKMASTER 4D/G51BL (N150)</v>
          </cell>
        </row>
        <row r="601">
          <cell r="B601" t="str">
            <v>MTH52ALD-P</v>
          </cell>
          <cell r="C601" t="str">
            <v>EMTH52CL-SPN00L</v>
          </cell>
          <cell r="D601">
            <v>1</v>
          </cell>
          <cell r="E601" t="str">
            <v>AB PP DC TRUCKMASTER 8D/H52AL (N200)</v>
          </cell>
        </row>
        <row r="602">
          <cell r="B602" t="str">
            <v>MVC24ALD-P</v>
          </cell>
          <cell r="C602" t="str">
            <v>EMVC24BL-SPN00L</v>
          </cell>
          <cell r="D602">
            <v>1</v>
          </cell>
          <cell r="E602" t="str">
            <v>AB PP DC MEGAVOLT C24 +R</v>
          </cell>
        </row>
        <row r="603">
          <cell r="B603" t="str">
            <v>MVD22ALD-P</v>
          </cell>
          <cell r="C603" t="str">
            <v>EMVD23AL-SPN00L</v>
          </cell>
          <cell r="D603">
            <v>1</v>
          </cell>
          <cell r="E603" t="str">
            <v>AB PP DC MEGAVOLT-OMMC D22 +R AUTO</v>
          </cell>
        </row>
        <row r="604">
          <cell r="B604" t="str">
            <v>MVD26ALD-P</v>
          </cell>
          <cell r="C604" t="str">
            <v>EMVD26AL-SPN00L</v>
          </cell>
          <cell r="D604">
            <v>1</v>
          </cell>
          <cell r="E604" t="str">
            <v>AB PP DC MEGA VOLT 2SMF/D26 +R</v>
          </cell>
        </row>
        <row r="605">
          <cell r="B605" t="str">
            <v>MVD31ALD-P</v>
          </cell>
          <cell r="C605" t="str">
            <v>EMVD31AL-SPN00L</v>
          </cell>
          <cell r="D605">
            <v>1</v>
          </cell>
          <cell r="E605" t="str">
            <v>AB PP DC MEGA VOLT 3SMF/D31 +R</v>
          </cell>
        </row>
        <row r="606">
          <cell r="B606" t="str">
            <v>MVE41ALD-P</v>
          </cell>
          <cell r="C606" t="str">
            <v>EMVE41AL-SPN00L</v>
          </cell>
          <cell r="D606">
            <v>1</v>
          </cell>
          <cell r="E606" t="str">
            <v>AB PP DC MEGAVOLT-OMMC N100 +R AUTO</v>
          </cell>
        </row>
        <row r="607">
          <cell r="B607" t="str">
            <v>MVF51ALD-P</v>
          </cell>
          <cell r="C607" t="str">
            <v>EMVF51BL-SPN00L</v>
          </cell>
          <cell r="D607">
            <v>1</v>
          </cell>
          <cell r="E607" t="str">
            <v>AB PP DC MEGAVOLT 2D/F51AL (N120)</v>
          </cell>
        </row>
        <row r="608">
          <cell r="B608" t="str">
            <v>MVG51ALD-P</v>
          </cell>
          <cell r="C608" t="str">
            <v>EMVG51AL-SPN00L</v>
          </cell>
          <cell r="D608">
            <v>1</v>
          </cell>
          <cell r="E608" t="str">
            <v>AB PP DC MEGAVOLT G51 +R</v>
          </cell>
        </row>
        <row r="609">
          <cell r="B609" t="str">
            <v>MVH52ALD-P</v>
          </cell>
          <cell r="C609" t="str">
            <v>EMVH52BL-SPN00L</v>
          </cell>
          <cell r="D609">
            <v>1</v>
          </cell>
          <cell r="E609" t="str">
            <v>AB PP DC MEGAVOLT-OMMC N200 +R AUTO</v>
          </cell>
        </row>
        <row r="610">
          <cell r="B610" t="str">
            <v>MX80D26L-P-IZ</v>
          </cell>
          <cell r="C610" t="str">
            <v>WMXD26FL-SPNIZL</v>
          </cell>
          <cell r="D610">
            <v>1</v>
          </cell>
          <cell r="E610" t="str">
            <v>WET-CHARGED M-EXCEL D26 ISUZU TF190</v>
          </cell>
        </row>
        <row r="611">
          <cell r="B611" t="str">
            <v>MX95D31L-P-IZ</v>
          </cell>
          <cell r="C611" t="str">
            <v>WMXD31GL-SPNIZL</v>
          </cell>
          <cell r="D611">
            <v>1</v>
          </cell>
          <cell r="E611" t="str">
            <v>WET-CHARGED M-EXCEL D31 ISUZU TF190</v>
          </cell>
        </row>
        <row r="612">
          <cell r="B612" t="str">
            <v>MXB24BLS-P-HD</v>
          </cell>
          <cell r="C612" t="str">
            <v>WMXB24EL-CPNHDL</v>
          </cell>
          <cell r="D612">
            <v>1</v>
          </cell>
          <cell r="E612" t="str">
            <v>AB PP WC MOTO-EXCEL 1SMF/B24BLS +R-HONDA</v>
          </cell>
        </row>
        <row r="613">
          <cell r="B613" t="str">
            <v>MXC24CL-MF-P</v>
          </cell>
          <cell r="C613" t="str">
            <v>WMXC24EL-CPN00L</v>
          </cell>
          <cell r="D613">
            <v>1</v>
          </cell>
          <cell r="E613" t="str">
            <v>AB PP WC MOTO-EXCEL 1SNF/C24CL MF +R</v>
          </cell>
        </row>
        <row r="614">
          <cell r="B614" t="str">
            <v>MXD23BL-MF-P</v>
          </cell>
          <cell r="C614" t="str">
            <v>WMXD23EL-CPN00L</v>
          </cell>
          <cell r="D614">
            <v>1</v>
          </cell>
          <cell r="E614" t="str">
            <v>AB PP WC MOTO-EXCEL 1SMF/D23BL MF +R</v>
          </cell>
        </row>
        <row r="615">
          <cell r="B615" t="str">
            <v>MXD23CL-P-OE</v>
          </cell>
          <cell r="C615" t="str">
            <v>WMXD235L-CPNIZL</v>
          </cell>
          <cell r="D615">
            <v>1</v>
          </cell>
          <cell r="E615" t="str">
            <v>AB PP WC MOTO-EXCEL 1SMF/D23CL - OE</v>
          </cell>
        </row>
        <row r="616">
          <cell r="B616" t="str">
            <v>MXD23CL-P-OE</v>
          </cell>
          <cell r="C616" t="str">
            <v>WMXD235L-CPNUML</v>
          </cell>
          <cell r="D616">
            <v>1</v>
          </cell>
          <cell r="E616" t="str">
            <v>AB PP WC MOTO-EXCEL 1SMF/D23CL - OE</v>
          </cell>
        </row>
        <row r="617">
          <cell r="B617" t="str">
            <v>MXD26CL-MF-FD</v>
          </cell>
          <cell r="C617" t="str">
            <v>WMXD26EL-CPNFDL</v>
          </cell>
          <cell r="D617">
            <v>1</v>
          </cell>
          <cell r="E617" t="str">
            <v>AB PP WC MOTO-EXCEL 2SMF/D26CL MF -FORD</v>
          </cell>
        </row>
        <row r="618">
          <cell r="B618" t="str">
            <v>MXD26CL-MF-P</v>
          </cell>
          <cell r="C618" t="str">
            <v>WMXD26EL-CPN00L</v>
          </cell>
          <cell r="D618">
            <v>1</v>
          </cell>
          <cell r="E618" t="str">
            <v>AB PP WC MOTO-EXCEL 2SMF/D26CL MF +R</v>
          </cell>
        </row>
        <row r="619">
          <cell r="B619" t="str">
            <v>MXD31CL-MF-P</v>
          </cell>
          <cell r="C619" t="str">
            <v>WMXD31EL-CPN00L</v>
          </cell>
          <cell r="D619">
            <v>1</v>
          </cell>
          <cell r="E619" t="str">
            <v>AB PP WC MOTO-EXCEL 3SMF/D31CL MF +R</v>
          </cell>
        </row>
        <row r="620">
          <cell r="B620" t="str">
            <v>MXD31CL-P</v>
          </cell>
          <cell r="C620" t="str">
            <v>WMXD31HL-CPNMBL</v>
          </cell>
          <cell r="D620">
            <v>1</v>
          </cell>
          <cell r="E620" t="str">
            <v>AB PP WC MOTO-EXCEL 3SMF/D31CL +R</v>
          </cell>
        </row>
        <row r="621">
          <cell r="B621" t="str">
            <v>MXD31CL-P-IZ</v>
          </cell>
          <cell r="C621" t="str">
            <v>WMXD31HL-CPNIZL</v>
          </cell>
          <cell r="D621">
            <v>1</v>
          </cell>
          <cell r="E621" t="str">
            <v>AB PP WC MOTO-EXCEL 3SMF/D31CL +R -IZUSU</v>
          </cell>
        </row>
        <row r="622">
          <cell r="B622" t="str">
            <v>MXD31CL-P-OE</v>
          </cell>
          <cell r="C622" t="str">
            <v>WMXD31HL-CPNUML</v>
          </cell>
          <cell r="D622">
            <v>1</v>
          </cell>
          <cell r="E622" t="str">
            <v>AB PP WC MOTO-EXCEL 3SMF/D31CL - OE</v>
          </cell>
        </row>
        <row r="623">
          <cell r="B623" t="str">
            <v>MXD31CRH-P-OE</v>
          </cell>
          <cell r="C623" t="str">
            <v>WMXD31GR-CPNFDL</v>
          </cell>
          <cell r="D623">
            <v>1</v>
          </cell>
          <cell r="E623" t="str">
            <v>AB PP WC MOTO-EXCEL 3SMF/D31CRH +L - OE</v>
          </cell>
        </row>
        <row r="624">
          <cell r="B624" t="str">
            <v>N40L-TY</v>
          </cell>
          <cell r="C624" t="str">
            <v>WORC24CL-SPNTYL</v>
          </cell>
          <cell r="D624">
            <v>1</v>
          </cell>
          <cell r="E624" t="str">
            <v>AB PP WC TURBO 1SNF/N40L -TOYOTA</v>
          </cell>
        </row>
        <row r="625">
          <cell r="B625" t="str">
            <v>NZM50-P</v>
          </cell>
          <cell r="C625" t="str">
            <v>WAAD265F-SPN16E</v>
          </cell>
          <cell r="D625">
            <v>1</v>
          </cell>
          <cell r="E625" t="str">
            <v>AB PP WC NZ AA M50 +L (7501)</v>
          </cell>
        </row>
        <row r="626">
          <cell r="B626" t="str">
            <v>NZM70-P</v>
          </cell>
          <cell r="C626" t="str">
            <v>WAAD316F-SPN16E</v>
          </cell>
          <cell r="D626">
            <v>1</v>
          </cell>
          <cell r="E626" t="str">
            <v>AB PP WC NZ AA M70 +L (7601)</v>
          </cell>
        </row>
        <row r="627">
          <cell r="B627" t="str">
            <v>NZMF50-P</v>
          </cell>
          <cell r="C627" t="str">
            <v>WAAA466R-TS216E</v>
          </cell>
          <cell r="D627">
            <v>1</v>
          </cell>
          <cell r="E627" t="str">
            <v>AB PP WC NZ AA MF50 +L STD (2541)</v>
          </cell>
        </row>
        <row r="628">
          <cell r="B628" t="str">
            <v>NZMF51-P</v>
          </cell>
          <cell r="C628" t="str">
            <v>WAAA4661-TS216E</v>
          </cell>
          <cell r="D628">
            <v>1</v>
          </cell>
          <cell r="E628" t="str">
            <v>AB PP WC NZ AA MF51 +R DFA (2504)</v>
          </cell>
        </row>
        <row r="629">
          <cell r="B629" t="str">
            <v>NZMF52-P</v>
          </cell>
          <cell r="C629" t="str">
            <v>WAAA4662-TS216E</v>
          </cell>
          <cell r="D629">
            <v>1</v>
          </cell>
          <cell r="E629" t="str">
            <v>AB PP WC NZ AA MF52 +R DFP (2542)</v>
          </cell>
        </row>
        <row r="630">
          <cell r="B630" t="str">
            <v>NZMF55B24L-P</v>
          </cell>
          <cell r="C630" t="str">
            <v>WAAB245B-TS416E</v>
          </cell>
          <cell r="D630">
            <v>1</v>
          </cell>
          <cell r="E630" t="str">
            <v>AB PP WC NZ AA 55B24L +R SML (2136)</v>
          </cell>
        </row>
        <row r="631">
          <cell r="B631" t="str">
            <v>NZMF55B24R-P</v>
          </cell>
          <cell r="C631" t="str">
            <v>WAAB245A-TS416E</v>
          </cell>
          <cell r="D631">
            <v>1</v>
          </cell>
          <cell r="E631" t="str">
            <v>AB PP WC NZ AA 55B24R +L SML (2135)</v>
          </cell>
        </row>
        <row r="632">
          <cell r="B632" t="str">
            <v>NZMF80D26L-P</v>
          </cell>
          <cell r="C632" t="str">
            <v>WAAG246L-TS416E</v>
          </cell>
          <cell r="D632">
            <v>1</v>
          </cell>
          <cell r="E632" t="str">
            <v>AB PP WC NZ AA 80D26L +R (4504)</v>
          </cell>
        </row>
        <row r="633">
          <cell r="B633" t="str">
            <v>NZMF80D26R-P</v>
          </cell>
          <cell r="C633" t="str">
            <v>WAAG246R-TS416E</v>
          </cell>
          <cell r="D633">
            <v>1</v>
          </cell>
          <cell r="E633" t="str">
            <v>AB PP WC NZ AA 80D26R +L (4503)</v>
          </cell>
        </row>
        <row r="634">
          <cell r="B634" t="str">
            <v>NZMFB20DFL-P</v>
          </cell>
          <cell r="C634" t="str">
            <v>WAAB203Z-TS216E</v>
          </cell>
          <cell r="D634">
            <v>1</v>
          </cell>
          <cell r="E634" t="str">
            <v>AB PP WC NZ AA B20L-MF +R DFP (2311)</v>
          </cell>
        </row>
        <row r="635">
          <cell r="B635" t="str">
            <v>NZMFB20L-P</v>
          </cell>
          <cell r="C635" t="str">
            <v>WAAB203L-TS216E</v>
          </cell>
          <cell r="D635">
            <v>1</v>
          </cell>
          <cell r="E635" t="str">
            <v>AB PP WC NZ AA B20L-MF +R SML (2312)</v>
          </cell>
        </row>
        <row r="636">
          <cell r="B636" t="str">
            <v>NZMFM48-P</v>
          </cell>
          <cell r="C636" t="str">
            <v>WAAA465F-TS216E</v>
          </cell>
          <cell r="D636">
            <v>1</v>
          </cell>
          <cell r="E636" t="str">
            <v>AB PP WC NZ AA MFM48 +L (7401)</v>
          </cell>
        </row>
        <row r="637">
          <cell r="B637" t="str">
            <v>NZMFN43-P</v>
          </cell>
          <cell r="C637" t="str">
            <v>WAAN433Z-TS216E</v>
          </cell>
          <cell r="D637">
            <v>1</v>
          </cell>
          <cell r="E637" t="str">
            <v>AB PP WC NZ AA N43-MF +R DFP (2114)</v>
          </cell>
        </row>
        <row r="638">
          <cell r="B638" t="str">
            <v>NZMFN44-P</v>
          </cell>
          <cell r="C638" t="str">
            <v>WAAN44DL-TS216E</v>
          </cell>
          <cell r="D638">
            <v>1</v>
          </cell>
          <cell r="E638" t="str">
            <v>AB PP WC NZ AA DIN44-MF +R</v>
          </cell>
        </row>
        <row r="639">
          <cell r="B639" t="str">
            <v>NZMFN55-P</v>
          </cell>
          <cell r="C639" t="str">
            <v>WAAN55EL-TS216E</v>
          </cell>
          <cell r="D639">
            <v>1</v>
          </cell>
          <cell r="E639" t="str">
            <v>AB PP WC NZ AA DIN55-MF +R (3552)</v>
          </cell>
        </row>
        <row r="640">
          <cell r="B640" t="str">
            <v>NZMFN66-P</v>
          </cell>
          <cell r="C640" t="str">
            <v>WAAN66DL-TS216E</v>
          </cell>
          <cell r="D640">
            <v>1</v>
          </cell>
          <cell r="E640" t="str">
            <v>AB PP WC NZ AA DIN66-MF +R (3662)</v>
          </cell>
        </row>
        <row r="641">
          <cell r="B641" t="str">
            <v>NZMFN88-P</v>
          </cell>
          <cell r="C641" t="str">
            <v>WAAN88CL-TS216E</v>
          </cell>
          <cell r="D641">
            <v>1</v>
          </cell>
          <cell r="E641" t="str">
            <v>AB PP WC NZ AA DIN88-MF +R</v>
          </cell>
        </row>
        <row r="642">
          <cell r="B642" t="str">
            <v>NZN43-P</v>
          </cell>
          <cell r="C642" t="str">
            <v>WAAN432Z-CPN16E</v>
          </cell>
          <cell r="D642">
            <v>1</v>
          </cell>
          <cell r="E642" t="str">
            <v>AB PP WC NZ AA N43 +R DFP (2113)</v>
          </cell>
        </row>
        <row r="643">
          <cell r="B643" t="str">
            <v>NZN70ZZL-P</v>
          </cell>
          <cell r="C643" t="str">
            <v>WAAA536L-CPN16E</v>
          </cell>
          <cell r="D643">
            <v>1</v>
          </cell>
          <cell r="E643" t="str">
            <v>AB PP WC NZ AA N70ZZL +R (4704)</v>
          </cell>
        </row>
        <row r="644">
          <cell r="B644" t="str">
            <v>NZN70ZZ-P</v>
          </cell>
          <cell r="C644" t="str">
            <v>WAAA536R-CPN16E</v>
          </cell>
          <cell r="D644">
            <v>1</v>
          </cell>
          <cell r="E644" t="str">
            <v>AB PP WC NZ AA N70ZZ +L (4703)</v>
          </cell>
        </row>
        <row r="645">
          <cell r="B645" t="str">
            <v>NZNS40ZAL-P</v>
          </cell>
          <cell r="C645" t="str">
            <v>WAAB203Z-CPN16E</v>
          </cell>
          <cell r="D645">
            <v>1</v>
          </cell>
          <cell r="E645" t="str">
            <v>AB PP WC NZ AA NS40ZAL +R DFP (2111)</v>
          </cell>
        </row>
        <row r="646">
          <cell r="B646" t="str">
            <v>NZNS40ZL-P</v>
          </cell>
          <cell r="C646" t="str">
            <v>WAAB203L-CPN16E</v>
          </cell>
          <cell r="D646">
            <v>1</v>
          </cell>
          <cell r="E646" t="str">
            <v>AB PP WC NZ AA NS40ZL +R SML (2112)</v>
          </cell>
        </row>
        <row r="647">
          <cell r="B647" t="str">
            <v>NZNS50PL-P</v>
          </cell>
          <cell r="C647" t="str">
            <v>WAAA465Z-CPN16E</v>
          </cell>
          <cell r="D647">
            <v>1</v>
          </cell>
          <cell r="E647" t="str">
            <v>AB PP WC NZ AA NS50PL +R DFP (2176)</v>
          </cell>
        </row>
        <row r="648">
          <cell r="B648" t="str">
            <v>NZNS50P-P</v>
          </cell>
          <cell r="C648" t="str">
            <v>WAAD235R-CPN16E</v>
          </cell>
          <cell r="D648">
            <v>1</v>
          </cell>
          <cell r="E648" t="str">
            <v>AB PP WC NZ AA NS50P +L STD (2175)</v>
          </cell>
        </row>
        <row r="649">
          <cell r="B649" t="str">
            <v>NZNS50ZL-P</v>
          </cell>
          <cell r="C649" t="str">
            <v>WAAA464Z-CPN16E</v>
          </cell>
          <cell r="D649">
            <v>1</v>
          </cell>
          <cell r="E649" t="str">
            <v>AB PP WC NZ AA NS50ZL +R DFP (2172)</v>
          </cell>
        </row>
        <row r="650">
          <cell r="B650" t="str">
            <v>NZNS50Z-P</v>
          </cell>
          <cell r="C650" t="str">
            <v>WAAA464R-CPN16E</v>
          </cell>
          <cell r="D650">
            <v>1</v>
          </cell>
          <cell r="E650" t="str">
            <v>AB PP WC NZ AA NS50Z +L STD (2171)</v>
          </cell>
        </row>
        <row r="651">
          <cell r="B651" t="str">
            <v>OPC24AL-P</v>
          </cell>
          <cell r="C651" t="str">
            <v>WOPC24BL-CPN00L</v>
          </cell>
          <cell r="D651">
            <v>1</v>
          </cell>
          <cell r="E651" t="str">
            <v>AB PP WC OPTIMUM GOLD C24/N40 +R</v>
          </cell>
        </row>
        <row r="652">
          <cell r="B652" t="str">
            <v>OPD23BL-P</v>
          </cell>
          <cell r="C652" t="str">
            <v>WOPD23BL-CPN00L</v>
          </cell>
          <cell r="D652">
            <v>1</v>
          </cell>
          <cell r="E652" t="str">
            <v>AB PP WC OPTIMUM GOLD D23/NS50 +R</v>
          </cell>
        </row>
        <row r="653">
          <cell r="B653" t="str">
            <v>OPD26BL-P</v>
          </cell>
          <cell r="C653" t="str">
            <v>WOPD26BL-CPN00L</v>
          </cell>
          <cell r="D653">
            <v>1</v>
          </cell>
          <cell r="E653" t="str">
            <v>AB PP WC OPTIMUM GOLD D26/N50 +R</v>
          </cell>
        </row>
        <row r="654">
          <cell r="B654" t="str">
            <v>OPD31AL-P</v>
          </cell>
          <cell r="C654" t="str">
            <v>WOPD31BL-CPN00L</v>
          </cell>
          <cell r="D654">
            <v>1</v>
          </cell>
          <cell r="E654" t="str">
            <v>AB PP WC OPTIMUM GOLD D31/N70 +R</v>
          </cell>
        </row>
        <row r="655">
          <cell r="B655" t="str">
            <v>OPDIN44-MF-P</v>
          </cell>
          <cell r="C655" t="str">
            <v>WOUN44DL-CP123E</v>
          </cell>
          <cell r="D655">
            <v>1</v>
          </cell>
          <cell r="E655" t="str">
            <v>AB PP WC OPTUS-INDIA DIN44-MF CPBK +R</v>
          </cell>
        </row>
        <row r="656">
          <cell r="B656" t="str">
            <v>OPDIN55-MF-P</v>
          </cell>
          <cell r="C656" t="str">
            <v>WOUN55EL-CP123E</v>
          </cell>
          <cell r="D656">
            <v>1</v>
          </cell>
          <cell r="E656" t="str">
            <v>AB PP WC OPTUS-INDIA DIN55-MF CPBK +R</v>
          </cell>
        </row>
        <row r="657">
          <cell r="B657" t="str">
            <v>OPDIN66-MF-P</v>
          </cell>
          <cell r="C657" t="str">
            <v>WOUN66DL-CP123E</v>
          </cell>
          <cell r="D657">
            <v>1</v>
          </cell>
          <cell r="E657" t="str">
            <v>AB PP WC OPTUS-INDIA DIN66-MF CPBK +R</v>
          </cell>
        </row>
        <row r="658">
          <cell r="B658" t="str">
            <v>OPDIN88-MF-P</v>
          </cell>
          <cell r="C658" t="str">
            <v>WOUN88BL-CP123E</v>
          </cell>
          <cell r="D658">
            <v>1</v>
          </cell>
          <cell r="E658" t="str">
            <v>AB PP WC OPTUS-INDIA DIN88-MF CPBK +R</v>
          </cell>
        </row>
        <row r="659">
          <cell r="B659" t="str">
            <v>OPN50Z-MF-P</v>
          </cell>
          <cell r="C659" t="str">
            <v>WOUG24CR-CP323E</v>
          </cell>
          <cell r="D659">
            <v>1</v>
          </cell>
          <cell r="E659" t="str">
            <v>AB PP WC OPTUS N50Z +L</v>
          </cell>
        </row>
        <row r="660">
          <cell r="B660" t="str">
            <v>OPN70Z-MF-P</v>
          </cell>
          <cell r="C660" t="str">
            <v>WOUG27ER-CP323E</v>
          </cell>
          <cell r="D660">
            <v>1</v>
          </cell>
          <cell r="E660" t="str">
            <v>AB PP WC OPTUS N70Z +L</v>
          </cell>
        </row>
        <row r="661">
          <cell r="B661" t="str">
            <v>OPNS40L-MF-P</v>
          </cell>
          <cell r="C661" t="str">
            <v>WOUB20BB-CP123E</v>
          </cell>
          <cell r="D661">
            <v>1</v>
          </cell>
          <cell r="E661" t="str">
            <v>AB PP WC OPTUS NS40 +R</v>
          </cell>
        </row>
        <row r="662">
          <cell r="B662" t="str">
            <v>OPNS40ZL-MF-P</v>
          </cell>
          <cell r="C662" t="str">
            <v>WOUB20CB-CP123E</v>
          </cell>
          <cell r="D662">
            <v>1</v>
          </cell>
          <cell r="E662" t="str">
            <v>AB PP WC OPTUS NS40Z +R</v>
          </cell>
        </row>
        <row r="663">
          <cell r="B663" t="str">
            <v>OPNS70-MF-P</v>
          </cell>
          <cell r="C663" t="str">
            <v>WOUG24DR-CP323E</v>
          </cell>
          <cell r="D663">
            <v>1</v>
          </cell>
          <cell r="E663" t="str">
            <v>AB PP WC OPTUS-INDIA NS70 MF CPBK +L</v>
          </cell>
        </row>
        <row r="664">
          <cell r="B664" t="str">
            <v>OSP80D26L-P-TY</v>
          </cell>
          <cell r="C664" t="str">
            <v>WOSD26FL-CPNTYL</v>
          </cell>
          <cell r="D664">
            <v>1</v>
          </cell>
          <cell r="E664" t="str">
            <v>AB PP WC TOYOTA 80D26L-MF BLK +R</v>
          </cell>
        </row>
        <row r="665">
          <cell r="B665" t="str">
            <v>PLC24ALD-P</v>
          </cell>
          <cell r="C665" t="str">
            <v>EPLC24BL-SPN00L</v>
          </cell>
          <cell r="D665">
            <v>1</v>
          </cell>
          <cell r="E665" t="str">
            <v>AB PP DC POWERLAST C24 +R</v>
          </cell>
        </row>
        <row r="666">
          <cell r="B666" t="str">
            <v>PLD22ALD-P</v>
          </cell>
          <cell r="C666" t="str">
            <v>EPLD23AL-SPN00L</v>
          </cell>
          <cell r="D666">
            <v>1</v>
          </cell>
          <cell r="E666" t="str">
            <v>AB PP DC POWERLAST 1SMF/D22 +R</v>
          </cell>
        </row>
        <row r="667">
          <cell r="B667" t="str">
            <v>PLD26ALD-P</v>
          </cell>
          <cell r="C667" t="str">
            <v>EPLD26AL-SPN00L</v>
          </cell>
          <cell r="D667">
            <v>1</v>
          </cell>
          <cell r="E667" t="str">
            <v>AB PP DC POWERLAST 2SMF/D26 +R</v>
          </cell>
        </row>
        <row r="668">
          <cell r="B668" t="str">
            <v>PLD31ALD-P</v>
          </cell>
          <cell r="C668" t="str">
            <v>EPLD31AL-SPN00L</v>
          </cell>
          <cell r="D668">
            <v>1</v>
          </cell>
          <cell r="E668" t="str">
            <v>AB PP DC POWERLAST 3SMF/D31 +R</v>
          </cell>
        </row>
        <row r="669">
          <cell r="B669" t="str">
            <v>PLE41ALD-P</v>
          </cell>
          <cell r="C669" t="str">
            <v>EPLE41AL-SPN00L</v>
          </cell>
          <cell r="D669">
            <v>1</v>
          </cell>
          <cell r="E669" t="str">
            <v>AB PP DC POWERLAST-OMMC N100 +R AUTO</v>
          </cell>
        </row>
        <row r="670">
          <cell r="B670" t="str">
            <v>PLF51ALD-P</v>
          </cell>
          <cell r="C670" t="str">
            <v>EPLF51BL-SPN00L</v>
          </cell>
          <cell r="D670">
            <v>1</v>
          </cell>
          <cell r="E670" t="str">
            <v>AB PP DC POWERLAST 2D/F51AL (N120)</v>
          </cell>
        </row>
        <row r="671">
          <cell r="B671" t="str">
            <v>PLG51ALD-P</v>
          </cell>
          <cell r="C671" t="str">
            <v>EPLG51AL-SPN00L</v>
          </cell>
          <cell r="D671">
            <v>1</v>
          </cell>
          <cell r="E671" t="str">
            <v>AB PP DC POWERLAST G51 +R</v>
          </cell>
        </row>
        <row r="672">
          <cell r="B672" t="str">
            <v>PLH52ALD-P</v>
          </cell>
          <cell r="C672" t="str">
            <v>EPLH52BL-SPN00L</v>
          </cell>
          <cell r="D672">
            <v>1</v>
          </cell>
          <cell r="E672" t="str">
            <v>AB PP DC POWERLAST-OMMC N200 +R AUTO</v>
          </cell>
        </row>
        <row r="673">
          <cell r="B673" t="str">
            <v>PMD31BLD-P</v>
          </cell>
          <cell r="C673" t="str">
            <v>EPMD31NL-SPN00L</v>
          </cell>
          <cell r="D673">
            <v>1</v>
          </cell>
          <cell r="E673" t="str">
            <v>3SMF DEEP CYCLE PMD31BLD-P</v>
          </cell>
        </row>
        <row r="674">
          <cell r="B674" t="str">
            <v>PPC24ALD-P</v>
          </cell>
          <cell r="C674" t="str">
            <v>EPKC24BL-SPN00L</v>
          </cell>
          <cell r="D674">
            <v>1</v>
          </cell>
          <cell r="E674" t="str">
            <v>AB PP DC POWERPACK C24 +R</v>
          </cell>
        </row>
        <row r="675">
          <cell r="B675" t="str">
            <v>PPD22ALD-P</v>
          </cell>
          <cell r="C675" t="str">
            <v>EPKD23AL-SPN00L</v>
          </cell>
          <cell r="D675">
            <v>1</v>
          </cell>
          <cell r="E675" t="str">
            <v>AB PP DC POWER PACK 1SMF/D22 +R</v>
          </cell>
        </row>
        <row r="676">
          <cell r="B676" t="str">
            <v>PPD26ALD-P</v>
          </cell>
          <cell r="C676" t="str">
            <v>EPKD26AL-SPN00L</v>
          </cell>
          <cell r="D676">
            <v>1</v>
          </cell>
          <cell r="E676" t="str">
            <v>AB PP DC POWER PACK 2SMF/D26 +R</v>
          </cell>
        </row>
        <row r="677">
          <cell r="B677" t="str">
            <v>PPD31ALD-P</v>
          </cell>
          <cell r="C677" t="str">
            <v>EPKD31AL-SPN00L</v>
          </cell>
          <cell r="D677">
            <v>1</v>
          </cell>
          <cell r="E677" t="str">
            <v>AB PP DC POWER PACK 3SMF/D31 +R</v>
          </cell>
        </row>
        <row r="678">
          <cell r="B678" t="str">
            <v>PPE41ALD-P</v>
          </cell>
          <cell r="C678" t="str">
            <v>EPKE41AL-SPN00L</v>
          </cell>
          <cell r="D678">
            <v>1</v>
          </cell>
          <cell r="E678" t="str">
            <v>AB PP DC POWERPACK-OMMC N100 +R AUTO</v>
          </cell>
        </row>
        <row r="679">
          <cell r="B679" t="str">
            <v>PPF51ALD-P</v>
          </cell>
          <cell r="C679" t="str">
            <v>EPKF51BL-SPN00L</v>
          </cell>
          <cell r="D679">
            <v>1</v>
          </cell>
          <cell r="E679" t="str">
            <v>AB PP DC POWERPACK 2D/F51AL (N120)</v>
          </cell>
        </row>
        <row r="680">
          <cell r="B680" t="str">
            <v>PPG51ALD-P</v>
          </cell>
          <cell r="C680" t="str">
            <v>EPKG51AL-SPN00L</v>
          </cell>
          <cell r="D680">
            <v>1</v>
          </cell>
          <cell r="E680" t="str">
            <v>AB PP DC POWERPACK G51 +R</v>
          </cell>
        </row>
        <row r="681">
          <cell r="B681" t="str">
            <v>PPH52ALD-P</v>
          </cell>
          <cell r="C681" t="str">
            <v>EPKH52BL-SPN00L</v>
          </cell>
          <cell r="D681">
            <v>1</v>
          </cell>
          <cell r="E681" t="str">
            <v>AB PP DC POWERPACK-OMMC N200 +R AUTO</v>
          </cell>
        </row>
        <row r="682">
          <cell r="B682" t="str">
            <v>PTMFN55-P</v>
          </cell>
          <cell r="C682" t="str">
            <v>WSGN55DL-TS124E</v>
          </cell>
          <cell r="D682">
            <v>1</v>
          </cell>
          <cell r="E682" t="str">
            <v>AB PP WC P.T.GRAM-INDNESIA TS-DIN55</v>
          </cell>
        </row>
        <row r="683">
          <cell r="B683" t="str">
            <v>PTMFN55Z-P</v>
          </cell>
          <cell r="C683" t="str">
            <v>WSGN55EL-TS124E</v>
          </cell>
          <cell r="D683">
            <v>1</v>
          </cell>
          <cell r="E683" t="str">
            <v>AB PP WC P.T.GRAM-INDNESIA TS-DIN55Z</v>
          </cell>
        </row>
        <row r="684">
          <cell r="B684" t="str">
            <v>PTMFN66-P</v>
          </cell>
          <cell r="C684" t="str">
            <v>WSGN66DL-TS124E</v>
          </cell>
          <cell r="D684">
            <v>1</v>
          </cell>
          <cell r="E684" t="str">
            <v>AB PP WC P.T.GRAM-INDNESIA TS-DIN66</v>
          </cell>
        </row>
        <row r="685">
          <cell r="B685" t="str">
            <v>PTMFN88-P</v>
          </cell>
          <cell r="C685" t="str">
            <v>WSGN88BL-TS124E</v>
          </cell>
          <cell r="D685">
            <v>1</v>
          </cell>
          <cell r="E685" t="str">
            <v>AB PP WC P.T.GRAM-INDNESIA TS-DIN88</v>
          </cell>
        </row>
        <row r="686">
          <cell r="B686" t="str">
            <v>PTN50ZL-P</v>
          </cell>
          <cell r="C686" t="str">
            <v>WSGG24CL-TS324E</v>
          </cell>
          <cell r="D686">
            <v>1</v>
          </cell>
          <cell r="E686" t="str">
            <v>AB PP WC P.T.GRAM-INDNESIA TS-G24 +R</v>
          </cell>
        </row>
        <row r="687">
          <cell r="B687" t="str">
            <v>PTN50Z-P</v>
          </cell>
          <cell r="C687" t="str">
            <v>WSGG24CR-TS324E</v>
          </cell>
          <cell r="D687">
            <v>1</v>
          </cell>
          <cell r="E687" t="str">
            <v>AB PP WC P.T.GRAM-INDNESIA TS-G24 +L</v>
          </cell>
        </row>
        <row r="688">
          <cell r="B688" t="str">
            <v>PTN70ZL-P</v>
          </cell>
          <cell r="C688" t="str">
            <v>WSGG27EL-TS324E</v>
          </cell>
          <cell r="D688">
            <v>1</v>
          </cell>
          <cell r="E688" t="str">
            <v>AB PP WC P.T.GRAM-INDNESIA TS-G27+R</v>
          </cell>
        </row>
        <row r="689">
          <cell r="B689" t="str">
            <v>PTN70Z-P</v>
          </cell>
          <cell r="C689" t="str">
            <v>WSGG27ER-TS324E</v>
          </cell>
          <cell r="D689">
            <v>1</v>
          </cell>
          <cell r="E689" t="str">
            <v>AB PP WC P.T.GRAM-INDNESIA TS-G27 +L</v>
          </cell>
        </row>
        <row r="690">
          <cell r="B690" t="str">
            <v>PTNS40ZLS(O)-P</v>
          </cell>
          <cell r="C690" t="str">
            <v>WSGB20CL-TS124E</v>
          </cell>
          <cell r="D690">
            <v>1</v>
          </cell>
          <cell r="E690" t="str">
            <v>AB PP WC P.T.GRAM-INDNESIA TS-NS40ZL +R</v>
          </cell>
        </row>
        <row r="691">
          <cell r="B691" t="str">
            <v>PTNS40ZS(O)-P</v>
          </cell>
          <cell r="C691" t="str">
            <v>WSGB20CR-TS124E</v>
          </cell>
          <cell r="D691">
            <v>1</v>
          </cell>
          <cell r="E691" t="str">
            <v>AB PP WC P.T.GRAM-INDNESIA TS-NS40ZS +L</v>
          </cell>
        </row>
        <row r="692">
          <cell r="B692" t="str">
            <v>PTNS60L-P</v>
          </cell>
          <cell r="C692" t="str">
            <v>WSGB24BB-TS324E</v>
          </cell>
          <cell r="D692">
            <v>1</v>
          </cell>
          <cell r="E692" t="str">
            <v>AB PP WC P.T.GRAM-INDNESIA TS-B24 JIS +R</v>
          </cell>
        </row>
        <row r="693">
          <cell r="B693" t="str">
            <v>PTNS60LS-P</v>
          </cell>
          <cell r="C693" t="str">
            <v>WSGB24BL-TS324E</v>
          </cell>
          <cell r="D693">
            <v>1</v>
          </cell>
          <cell r="E693" t="str">
            <v>AB PP WC P.T.GRAM-INDNESIA TS-B24 +R</v>
          </cell>
        </row>
        <row r="694">
          <cell r="B694" t="str">
            <v>PTNS60-P</v>
          </cell>
          <cell r="C694" t="str">
            <v>WSGB24BA-TS324E</v>
          </cell>
          <cell r="D694">
            <v>1</v>
          </cell>
          <cell r="E694" t="str">
            <v>AB PP WC P.T.GRAM-INDNESIA TS-B24 JIS +L</v>
          </cell>
        </row>
        <row r="695">
          <cell r="B695" t="str">
            <v>PTNS60S-P</v>
          </cell>
          <cell r="C695" t="str">
            <v>WSGB24BR-TS324E</v>
          </cell>
          <cell r="D695">
            <v>1</v>
          </cell>
          <cell r="E695" t="str">
            <v>AB PP WC P.T.GRAM-INDNESIA TS-B24 +L</v>
          </cell>
        </row>
        <row r="696">
          <cell r="B696" t="str">
            <v>PTNS60ZZL-P</v>
          </cell>
          <cell r="C696" t="str">
            <v>WSGB24FB-TS324E</v>
          </cell>
          <cell r="D696">
            <v>1</v>
          </cell>
          <cell r="E696" t="str">
            <v>AB PP WC P.T.GRAM-INDNESIA TS-B24 JIS +R</v>
          </cell>
        </row>
        <row r="697">
          <cell r="B697" t="str">
            <v>PTNS60ZZ-P</v>
          </cell>
          <cell r="C697" t="str">
            <v>WSGB24FA-TS324E</v>
          </cell>
          <cell r="D697">
            <v>1</v>
          </cell>
          <cell r="E697" t="str">
            <v>AB PP WC P.T.GRAM-INDNESIA TS-JIS +L</v>
          </cell>
        </row>
        <row r="698">
          <cell r="B698" t="str">
            <v>PTNS70L-P</v>
          </cell>
          <cell r="C698" t="str">
            <v>WSGG24DL-TS324E</v>
          </cell>
          <cell r="D698">
            <v>1</v>
          </cell>
          <cell r="E698" t="str">
            <v>AB PP WC P.T.GRAM-INDNESIA TS-NS70L+R</v>
          </cell>
        </row>
        <row r="699">
          <cell r="B699" t="str">
            <v>PTNS70-P</v>
          </cell>
          <cell r="C699" t="str">
            <v>WSGG24DR-TS324E</v>
          </cell>
          <cell r="D699">
            <v>1</v>
          </cell>
          <cell r="E699" t="str">
            <v>AB PP WC P.T.GRAM-INDNESIA TS-NS70 +L</v>
          </cell>
        </row>
        <row r="700">
          <cell r="B700" t="str">
            <v>PTNX110L-P</v>
          </cell>
          <cell r="C700" t="str">
            <v>WSGG24EL-TS324E</v>
          </cell>
          <cell r="D700">
            <v>1</v>
          </cell>
          <cell r="E700" t="str">
            <v>AB PP WC P.T.GRAM-INDNESIA TS-NX110L</v>
          </cell>
        </row>
        <row r="701">
          <cell r="B701" t="str">
            <v>PTNX110-P</v>
          </cell>
          <cell r="C701" t="str">
            <v>WSGG24ER-TS324E</v>
          </cell>
          <cell r="D701">
            <v>1</v>
          </cell>
          <cell r="E701" t="str">
            <v>AB PP WC P.T.GRAM-INDNESIA TS-NX110</v>
          </cell>
        </row>
        <row r="702">
          <cell r="B702" t="str">
            <v>PTNX120ZL-P</v>
          </cell>
          <cell r="C702" t="str">
            <v>WSGG27FL-TS324E</v>
          </cell>
          <cell r="D702">
            <v>1</v>
          </cell>
          <cell r="E702" t="str">
            <v>AB PP WC P.T.GRAM-INDNESIA TS-NX120ZL</v>
          </cell>
        </row>
        <row r="703">
          <cell r="B703" t="str">
            <v>PTNX120Z-P</v>
          </cell>
          <cell r="C703" t="str">
            <v>WSGG27FR-TS324E</v>
          </cell>
          <cell r="D703">
            <v>1</v>
          </cell>
          <cell r="E703" t="str">
            <v>AB PP WC P.T.GRAM-INDNESIA TS-NX120Z</v>
          </cell>
        </row>
        <row r="704">
          <cell r="B704" t="str">
            <v>RMC24ALD-P</v>
          </cell>
          <cell r="C704" t="str">
            <v>ERMC24BL-SPN00L</v>
          </cell>
          <cell r="D704">
            <v>1</v>
          </cell>
          <cell r="E704" t="str">
            <v>AB PP DC ROADMASTER C24 +R</v>
          </cell>
        </row>
        <row r="705">
          <cell r="B705" t="str">
            <v>RMD22ALD-P</v>
          </cell>
          <cell r="C705" t="str">
            <v>ERMD23AL-SPN00L</v>
          </cell>
          <cell r="D705">
            <v>1</v>
          </cell>
          <cell r="E705" t="str">
            <v>AB PP DC ROAD MASTER 1SMF/D22 +R</v>
          </cell>
        </row>
        <row r="706">
          <cell r="B706" t="str">
            <v>RMD26ALD-P</v>
          </cell>
          <cell r="C706" t="str">
            <v>ERMD26AL-SPN00L</v>
          </cell>
          <cell r="D706">
            <v>1</v>
          </cell>
          <cell r="E706" t="str">
            <v>AB PP DC ROAD MASTER 2SMF/D26 +R</v>
          </cell>
        </row>
        <row r="707">
          <cell r="B707" t="str">
            <v>RMD31ALD-P</v>
          </cell>
          <cell r="C707" t="str">
            <v>ERMD31AL-SPN00L</v>
          </cell>
          <cell r="D707">
            <v>1</v>
          </cell>
          <cell r="E707" t="str">
            <v>AB PP DC ROAD MASTER 3SMF/D31 +R</v>
          </cell>
        </row>
        <row r="708">
          <cell r="B708" t="str">
            <v>RME41ALD-P</v>
          </cell>
          <cell r="C708" t="str">
            <v>ERME41AL-SPN00L</v>
          </cell>
          <cell r="D708">
            <v>1</v>
          </cell>
          <cell r="E708" t="str">
            <v>AB PP DC ROADMASTER-OMMC N100 +R AUTO</v>
          </cell>
        </row>
        <row r="709">
          <cell r="B709" t="str">
            <v>RMF51ALD-P</v>
          </cell>
          <cell r="C709" t="str">
            <v>ERMF51BL-SPN00L</v>
          </cell>
          <cell r="D709">
            <v>1</v>
          </cell>
          <cell r="E709" t="str">
            <v>AB PP DC ROADMASTER 2D/F51AL</v>
          </cell>
        </row>
        <row r="710">
          <cell r="B710" t="str">
            <v>RMG51ALD-P</v>
          </cell>
          <cell r="C710" t="str">
            <v>ERMG51AL-SPN00L</v>
          </cell>
          <cell r="D710">
            <v>1</v>
          </cell>
          <cell r="E710" t="str">
            <v>AB PP DC ROADMASTER G51 +R</v>
          </cell>
        </row>
        <row r="711">
          <cell r="B711" t="str">
            <v>RMH52ALD-P</v>
          </cell>
          <cell r="C711" t="str">
            <v>ERMH52BL-SPN00L</v>
          </cell>
          <cell r="D711">
            <v>1</v>
          </cell>
          <cell r="E711" t="str">
            <v>AB PP DC ROADMASTER-OMMC N200 +R AUTO</v>
          </cell>
        </row>
        <row r="712">
          <cell r="B712" t="str">
            <v>SC65D26LD-P</v>
          </cell>
          <cell r="C712" t="str">
            <v>DSGD26CL-SPN12E</v>
          </cell>
          <cell r="D712">
            <v>1</v>
          </cell>
          <cell r="E712" t="str">
            <v>AB PP SUNNY CHINA 65D26L +R</v>
          </cell>
        </row>
        <row r="713">
          <cell r="B713" t="str">
            <v>SC65D26RD-P</v>
          </cell>
          <cell r="C713" t="str">
            <v>DSGD26CR-SPN12E</v>
          </cell>
          <cell r="D713">
            <v>1</v>
          </cell>
          <cell r="E713" t="str">
            <v>AB PP SUNNY CHINA 65D26R +L</v>
          </cell>
        </row>
        <row r="714">
          <cell r="B714" t="str">
            <v>SC75D26LD-P</v>
          </cell>
          <cell r="C714" t="str">
            <v>DSGD26DL-SPN12E</v>
          </cell>
          <cell r="D714">
            <v>1</v>
          </cell>
          <cell r="E714" t="str">
            <v>AB PP DC HK-SCGOLD 75D26L +R</v>
          </cell>
        </row>
        <row r="715">
          <cell r="B715" t="str">
            <v>SC75D26RD-P</v>
          </cell>
          <cell r="C715" t="str">
            <v>DSGD26DR-SPN12E</v>
          </cell>
          <cell r="D715">
            <v>1</v>
          </cell>
          <cell r="E715" t="str">
            <v>AB PP DC HK-SCGOLD 75D26R +L</v>
          </cell>
        </row>
        <row r="716">
          <cell r="B716" t="str">
            <v>SC80D26LD-P</v>
          </cell>
          <cell r="C716" t="str">
            <v>DSGD26EL-SPN12E</v>
          </cell>
          <cell r="D716">
            <v>1</v>
          </cell>
          <cell r="E716" t="str">
            <v>AB PP DC HK-SCGOLD 80D26L +R</v>
          </cell>
        </row>
        <row r="717">
          <cell r="B717" t="str">
            <v>SC80D26RD-P</v>
          </cell>
          <cell r="C717" t="str">
            <v>DSGD26ER-SPN12E</v>
          </cell>
          <cell r="D717">
            <v>1</v>
          </cell>
          <cell r="E717" t="str">
            <v>AB PP DC HK-SCGOLD 80D26R +L</v>
          </cell>
        </row>
        <row r="718">
          <cell r="B718" t="str">
            <v>SC95D31RD-P</v>
          </cell>
          <cell r="C718" t="str">
            <v>DSGD31ER-SPN12E</v>
          </cell>
          <cell r="D718">
            <v>1</v>
          </cell>
          <cell r="E718" t="str">
            <v>AB PP DC HK-SCGOLD 95D31R +L</v>
          </cell>
        </row>
        <row r="719">
          <cell r="B719" t="str">
            <v>SCD23CL-P</v>
          </cell>
          <cell r="C719" t="str">
            <v>WSCD235L-CPN03E</v>
          </cell>
          <cell r="D719">
            <v>1</v>
          </cell>
          <cell r="E719" t="str">
            <v>AB PP WC EX-SUPCHA D23CL +R</v>
          </cell>
        </row>
        <row r="720">
          <cell r="B720" t="str">
            <v>SCD23CR-P</v>
          </cell>
          <cell r="C720" t="str">
            <v>WSCD235R-CPN03E</v>
          </cell>
          <cell r="D720">
            <v>1</v>
          </cell>
          <cell r="E720" t="str">
            <v>AB PP WC EX-SUPCHA D23CR +L</v>
          </cell>
        </row>
        <row r="721">
          <cell r="B721" t="str">
            <v>SCD48-P</v>
          </cell>
          <cell r="C721" t="str">
            <v>WATA46NM-SPN03E</v>
          </cell>
          <cell r="D721">
            <v>1</v>
          </cell>
          <cell r="E721" t="str">
            <v>AB PP DC SC AMP-TECH D48 +L</v>
          </cell>
        </row>
        <row r="722">
          <cell r="B722" t="str">
            <v>SCD50Z-P</v>
          </cell>
          <cell r="C722" t="str">
            <v>DATD26OF-SPN03E</v>
          </cell>
          <cell r="D722">
            <v>1</v>
          </cell>
          <cell r="E722" t="str">
            <v>AB PP DC EX-SUPCHA DEEP-CYCLE N50 +R</v>
          </cell>
        </row>
        <row r="723">
          <cell r="B723" t="str">
            <v>SCD70Z-P</v>
          </cell>
          <cell r="C723" t="str">
            <v>DATD31PF-SPN03E</v>
          </cell>
          <cell r="D723">
            <v>1</v>
          </cell>
          <cell r="E723" t="str">
            <v>AB PP DC EX-SUPCHA DEEP-CYCLE N70 +R</v>
          </cell>
        </row>
        <row r="724">
          <cell r="B724" t="str">
            <v>SCD87L-P</v>
          </cell>
          <cell r="C724" t="str">
            <v>WATB31QR-CPP03E</v>
          </cell>
          <cell r="D724">
            <v>1</v>
          </cell>
          <cell r="E724" t="str">
            <v>AB PP WC EX-SUPCHA D87L DEEP CYC +L AUTO</v>
          </cell>
        </row>
        <row r="725">
          <cell r="B725" t="str">
            <v>SCDIN55-MF-P</v>
          </cell>
          <cell r="C725" t="str">
            <v>WSGN55EL-CP111E</v>
          </cell>
          <cell r="D725">
            <v>1</v>
          </cell>
          <cell r="E725" t="str">
            <v>AB PP WC SCGOLD WATTA DIN55 MF +R</v>
          </cell>
        </row>
        <row r="726">
          <cell r="B726" t="str">
            <v>SCDIN55R-MF-P</v>
          </cell>
          <cell r="C726" t="str">
            <v>WSGN55ER-CP111E</v>
          </cell>
          <cell r="D726">
            <v>1</v>
          </cell>
          <cell r="E726" t="str">
            <v>AB PP WC SCGOLD WATTA DIN55 MF +L</v>
          </cell>
        </row>
        <row r="727">
          <cell r="B727" t="str">
            <v>SCDIN66-MF-P</v>
          </cell>
          <cell r="C727" t="str">
            <v>WSGN66DL-CP111E</v>
          </cell>
          <cell r="D727">
            <v>1</v>
          </cell>
          <cell r="E727" t="str">
            <v>AB PP WC SCGOLD WATTA DIN66 MF +R</v>
          </cell>
        </row>
        <row r="728">
          <cell r="B728" t="str">
            <v>SCDIN66R-MF-P</v>
          </cell>
          <cell r="C728" t="str">
            <v>WSGN66DR-CP111E</v>
          </cell>
          <cell r="D728">
            <v>1</v>
          </cell>
          <cell r="E728" t="str">
            <v>AB PP WC SCGOLD WATTA DIN66 MF +L</v>
          </cell>
        </row>
        <row r="729">
          <cell r="B729" t="str">
            <v>SCG34/78-8MF</v>
          </cell>
          <cell r="C729" t="str">
            <v>WSGD788D-TS403E</v>
          </cell>
          <cell r="D729">
            <v>1</v>
          </cell>
          <cell r="E729" t="str">
            <v>AB PP WC SC G34/78-8 SEALED-MF +L</v>
          </cell>
        </row>
        <row r="730">
          <cell r="B730" t="str">
            <v>SCG49L-8MF</v>
          </cell>
          <cell r="C730" t="str">
            <v>WSGG49DL-TS203E</v>
          </cell>
          <cell r="D730">
            <v>1</v>
          </cell>
          <cell r="E730" t="str">
            <v>AB PP WC SUPCHA TLY-SLD G49-8MF +R</v>
          </cell>
        </row>
        <row r="731">
          <cell r="B731" t="str">
            <v>SCG49-MF-P</v>
          </cell>
          <cell r="C731" t="str">
            <v>USGG49AL-CP111E</v>
          </cell>
          <cell r="D731">
            <v>1</v>
          </cell>
          <cell r="E731" t="str">
            <v>AB PP UB WATTA-MALYSIA DIN100/G49 +R</v>
          </cell>
        </row>
        <row r="732">
          <cell r="B732" t="str">
            <v>SCG58-5MF</v>
          </cell>
          <cell r="C732" t="str">
            <v>WSGG585L-TS303E</v>
          </cell>
          <cell r="D732">
            <v>1</v>
          </cell>
          <cell r="E732" t="str">
            <v>AB PP WC SC G58-5 SEALED MF +L</v>
          </cell>
        </row>
        <row r="733">
          <cell r="B733" t="str">
            <v>SCG58R-5MF</v>
          </cell>
          <cell r="C733" t="str">
            <v>WSGG585R-TS303E</v>
          </cell>
          <cell r="D733">
            <v>1</v>
          </cell>
          <cell r="E733" t="str">
            <v>AB PP WC SC G58-5 SEALED-MF +R</v>
          </cell>
        </row>
        <row r="734">
          <cell r="B734" t="str">
            <v>SCG65-8MF</v>
          </cell>
          <cell r="C734" t="str">
            <v>WSGG658E-TS303E</v>
          </cell>
          <cell r="D734">
            <v>1</v>
          </cell>
          <cell r="E734" t="str">
            <v>AB PP WC SC G65-8 SEALED-MF +L</v>
          </cell>
        </row>
        <row r="735">
          <cell r="B735" t="str">
            <v>SCG78-8MF</v>
          </cell>
          <cell r="C735" t="str">
            <v>WSGG788S-TS403E</v>
          </cell>
          <cell r="D735">
            <v>1</v>
          </cell>
          <cell r="E735" t="str">
            <v>AB PP WC SC G78-8 FLATTOP SLD-MF +L</v>
          </cell>
        </row>
        <row r="736">
          <cell r="B736" t="str">
            <v>SCGC2-19S</v>
          </cell>
          <cell r="C736" t="str">
            <v>DATGC2UF-SPN03E</v>
          </cell>
          <cell r="D736">
            <v>1</v>
          </cell>
          <cell r="E736" t="str">
            <v>AB PP DC SC-AMPTECH GC2 DC 220AH STUD</v>
          </cell>
        </row>
        <row r="737">
          <cell r="B737" t="str">
            <v>SCM50-P</v>
          </cell>
          <cell r="C737" t="str">
            <v>WSOD265F-SPN03E</v>
          </cell>
          <cell r="D737">
            <v>1</v>
          </cell>
          <cell r="E737" t="str">
            <v>AB PP WC EX-SUPCHA M50 (MARINE)</v>
          </cell>
        </row>
        <row r="738">
          <cell r="B738" t="str">
            <v>SCM70-P</v>
          </cell>
          <cell r="C738" t="str">
            <v>WSMD316M-SPN03E</v>
          </cell>
          <cell r="D738">
            <v>1</v>
          </cell>
          <cell r="E738" t="str">
            <v>AB PP WC EX-SUPCHA M70 (MARINE)</v>
          </cell>
        </row>
        <row r="739">
          <cell r="B739" t="str">
            <v>SCM87LZ-P</v>
          </cell>
          <cell r="C739" t="str">
            <v>WSMN877F-SPN03E</v>
          </cell>
          <cell r="D739">
            <v>1</v>
          </cell>
          <cell r="E739" t="str">
            <v>AB PP WC EX-SUPCHA M87LZ MARINE</v>
          </cell>
        </row>
        <row r="740">
          <cell r="B740" t="str">
            <v>SCMF31-930</v>
          </cell>
          <cell r="C740" t="str">
            <v>WSGB319T-TS203E</v>
          </cell>
          <cell r="D740">
            <v>1</v>
          </cell>
          <cell r="E740" t="str">
            <v>AB PP WC EX-SCGOLD MF31-930 G31 STUD</v>
          </cell>
        </row>
        <row r="741">
          <cell r="B741" t="str">
            <v>SCMF31-931</v>
          </cell>
          <cell r="C741" t="str">
            <v>WSGB319R-TS203E</v>
          </cell>
          <cell r="D741">
            <v>1</v>
          </cell>
          <cell r="E741" t="str">
            <v>AB PP EX SCGOLD MF31-931 G31 AUTO POST</v>
          </cell>
        </row>
        <row r="742">
          <cell r="B742" t="str">
            <v>SCMF50-P</v>
          </cell>
          <cell r="C742" t="str">
            <v>WSGA466R-TS203E</v>
          </cell>
          <cell r="D742">
            <v>1</v>
          </cell>
          <cell r="E742" t="str">
            <v>AB PP WC EX-SCGOLD MF50 AUTO POST</v>
          </cell>
        </row>
        <row r="743">
          <cell r="B743" t="str">
            <v>SCMF51-P</v>
          </cell>
          <cell r="C743" t="str">
            <v>WSGA4661-TS203E</v>
          </cell>
          <cell r="D743">
            <v>1</v>
          </cell>
          <cell r="E743" t="str">
            <v>AB PP WC EX-SCGOLD MF51 +R DF</v>
          </cell>
        </row>
        <row r="744">
          <cell r="B744" t="str">
            <v>SCMF52-P</v>
          </cell>
          <cell r="C744" t="str">
            <v>WSGA4662-TS203E</v>
          </cell>
          <cell r="D744">
            <v>1</v>
          </cell>
          <cell r="E744" t="str">
            <v>AB PP WC EX-SCGOLD MF52 +R</v>
          </cell>
        </row>
        <row r="745">
          <cell r="B745" t="str">
            <v>SCMF53-P</v>
          </cell>
          <cell r="C745" t="str">
            <v>WSGA4663-TS203E</v>
          </cell>
          <cell r="D745">
            <v>1</v>
          </cell>
          <cell r="E745" t="str">
            <v>AB PP WC EX-SCGOLD MF53 AUTO+R AU46</v>
          </cell>
        </row>
        <row r="746">
          <cell r="B746" t="str">
            <v>SCMF54-P</v>
          </cell>
          <cell r="C746" t="str">
            <v>WSGA4664-TS203E</v>
          </cell>
          <cell r="D746">
            <v>1</v>
          </cell>
          <cell r="E746" t="str">
            <v>AB PP WC EX-SCGOLD MF54 AUTO+L AU46</v>
          </cell>
        </row>
        <row r="747">
          <cell r="B747" t="str">
            <v>SCMF55B24L-P</v>
          </cell>
          <cell r="C747" t="str">
            <v>WSGB245B-TS403E</v>
          </cell>
          <cell r="D747">
            <v>1</v>
          </cell>
          <cell r="E747" t="str">
            <v>AB PP WC EX-SCGOLD MF55B24L</v>
          </cell>
        </row>
        <row r="748">
          <cell r="B748" t="str">
            <v>SCMF55B24LS-P</v>
          </cell>
          <cell r="C748" t="str">
            <v>WSGB244L-TS403E</v>
          </cell>
          <cell r="D748">
            <v>1</v>
          </cell>
          <cell r="E748" t="str">
            <v>AB PP WC EX-SCGOLD MF55B24LS REG POST</v>
          </cell>
        </row>
        <row r="749">
          <cell r="B749" t="str">
            <v>SCMF55B24R-P</v>
          </cell>
          <cell r="C749" t="str">
            <v>WSGB245A-TS403E</v>
          </cell>
          <cell r="D749">
            <v>1</v>
          </cell>
          <cell r="E749" t="str">
            <v>AB PP WC EX-SCGOLD MF55B24R SML POST</v>
          </cell>
        </row>
        <row r="750">
          <cell r="B750" t="str">
            <v>SCMF55B24RS-P</v>
          </cell>
          <cell r="C750" t="str">
            <v>WSGB244R-TS403E</v>
          </cell>
          <cell r="D750">
            <v>1</v>
          </cell>
          <cell r="E750" t="str">
            <v>AB PP WC EX-SCGOLD MF55B24RS REG POST</v>
          </cell>
        </row>
        <row r="751">
          <cell r="B751" t="str">
            <v>SCMF75D23L-P</v>
          </cell>
          <cell r="C751" t="str">
            <v>WSGD236L-TS403E</v>
          </cell>
          <cell r="D751">
            <v>1</v>
          </cell>
          <cell r="E751" t="str">
            <v>AB PP WC EX-SCGOLD MF75D23L +L REG POST</v>
          </cell>
        </row>
        <row r="752">
          <cell r="B752" t="str">
            <v>SCMF75D23R-P</v>
          </cell>
          <cell r="C752" t="str">
            <v>WSGD236R-TS403E</v>
          </cell>
          <cell r="D752">
            <v>1</v>
          </cell>
          <cell r="E752" t="str">
            <v>AB PP WC EX-SCGOLD MF75D23R REG POST</v>
          </cell>
        </row>
        <row r="753">
          <cell r="B753" t="str">
            <v>SCMF80D26L-P</v>
          </cell>
          <cell r="C753" t="str">
            <v>WSGG246L-TS403E</v>
          </cell>
          <cell r="D753">
            <v>1</v>
          </cell>
          <cell r="E753" t="str">
            <v>AB PP WC SC GOLD MF80D26L</v>
          </cell>
        </row>
        <row r="754">
          <cell r="B754" t="str">
            <v>SCMF80D26R-P</v>
          </cell>
          <cell r="C754" t="str">
            <v>WSGG246R-TS403E</v>
          </cell>
          <cell r="D754">
            <v>1</v>
          </cell>
          <cell r="E754" t="str">
            <v>AB PP WC SCGOLD MF80D26R</v>
          </cell>
        </row>
        <row r="755">
          <cell r="B755" t="str">
            <v>SCMF95D31L-P</v>
          </cell>
          <cell r="C755" t="str">
            <v>WSGA537L-TS203E</v>
          </cell>
          <cell r="D755">
            <v>1</v>
          </cell>
          <cell r="E755" t="str">
            <v>AB PP WC SCGOLD SCMF95D31L</v>
          </cell>
        </row>
        <row r="756">
          <cell r="B756" t="str">
            <v>SCMF95D31R-P</v>
          </cell>
          <cell r="C756" t="str">
            <v>WSGA537R-TS203E</v>
          </cell>
          <cell r="D756">
            <v>1</v>
          </cell>
          <cell r="E756" t="str">
            <v>AB PP WC SCGOLD MF95D31R GRP27</v>
          </cell>
        </row>
        <row r="757">
          <cell r="B757" t="str">
            <v>SCMFB20DFL-P</v>
          </cell>
          <cell r="C757" t="str">
            <v>WSGB203Z-TS203E</v>
          </cell>
          <cell r="D757">
            <v>1</v>
          </cell>
          <cell r="E757" t="str">
            <v>AB PP WC EX-SCGOLD B20DF SLD-MF +R</v>
          </cell>
        </row>
        <row r="758">
          <cell r="B758" t="str">
            <v>SCMFB20L-P</v>
          </cell>
          <cell r="C758" t="str">
            <v>WSGB203L-TS203E</v>
          </cell>
          <cell r="D758">
            <v>1</v>
          </cell>
          <cell r="E758" t="str">
            <v>AB PP WC EX-SCGOLD B20L MF +R SML</v>
          </cell>
        </row>
        <row r="759">
          <cell r="B759" t="str">
            <v>SCMFM48-P</v>
          </cell>
          <cell r="C759" t="str">
            <v>WSMA465F-TS203E</v>
          </cell>
          <cell r="D759">
            <v>1</v>
          </cell>
          <cell r="E759" t="str">
            <v>AB PP WC EX-SUPCHA MFM48 MARINE +L</v>
          </cell>
        </row>
        <row r="760">
          <cell r="B760" t="str">
            <v>SCMFM50-P</v>
          </cell>
          <cell r="C760" t="str">
            <v>WSOD266F-CP403E</v>
          </cell>
          <cell r="D760">
            <v>1</v>
          </cell>
          <cell r="E760" t="str">
            <v>AB PP WC EX-SCGOLD M50-MF +L SPCL BUSH</v>
          </cell>
        </row>
        <row r="761">
          <cell r="B761" t="str">
            <v>SCMFM70-P</v>
          </cell>
          <cell r="C761" t="str">
            <v>WSMD317F-CP403E</v>
          </cell>
          <cell r="D761">
            <v>1</v>
          </cell>
          <cell r="E761" t="str">
            <v>AB PP WC EX-SCGOLD M70-MF +L SPCL BUSH</v>
          </cell>
        </row>
        <row r="762">
          <cell r="B762" t="str">
            <v>SCMFM70-P</v>
          </cell>
          <cell r="C762" t="str">
            <v>WSOD317F-CP403E</v>
          </cell>
          <cell r="D762">
            <v>1</v>
          </cell>
          <cell r="E762" t="str">
            <v>AB PP WC EX-SCGOLD M70-MF +L SPCL BUSH</v>
          </cell>
        </row>
        <row r="763">
          <cell r="B763" t="str">
            <v>SCMFN200-P</v>
          </cell>
          <cell r="C763" t="str">
            <v>WSGH52WL-TS403E</v>
          </cell>
          <cell r="D763">
            <v>1</v>
          </cell>
          <cell r="E763" t="str">
            <v>WC N200-MF SC GOLD SC-AUSTRALIA</v>
          </cell>
        </row>
        <row r="764">
          <cell r="B764" t="str">
            <v>SCMFN43-P</v>
          </cell>
          <cell r="C764" t="str">
            <v>WSMN433Z-TS203E</v>
          </cell>
          <cell r="D764">
            <v>1</v>
          </cell>
          <cell r="E764" t="str">
            <v>AB PP WC EX-SCGOLD N43-MF +R DFP</v>
          </cell>
        </row>
        <row r="765">
          <cell r="B765" t="str">
            <v>SCMFN44-P</v>
          </cell>
          <cell r="C765" t="str">
            <v>WSGN44DL-TS203E</v>
          </cell>
          <cell r="D765">
            <v>1</v>
          </cell>
          <cell r="E765" t="str">
            <v>AB PP WC SC-GOLD DIN44-MF +R</v>
          </cell>
        </row>
        <row r="766">
          <cell r="B766" t="str">
            <v>SCMFN55-P</v>
          </cell>
          <cell r="C766" t="str">
            <v>WSGN55EL-TS203E</v>
          </cell>
          <cell r="D766">
            <v>1</v>
          </cell>
          <cell r="E766" t="str">
            <v>AB PP WC SC DIN55 SEALED-MF +R</v>
          </cell>
        </row>
        <row r="767">
          <cell r="B767" t="str">
            <v>SCMFN55R-P</v>
          </cell>
          <cell r="C767" t="str">
            <v>WSGN55ER-TS203E</v>
          </cell>
          <cell r="D767">
            <v>1</v>
          </cell>
          <cell r="E767" t="str">
            <v>AB PP WC SC DIN55 SEALED-MF +L</v>
          </cell>
        </row>
        <row r="768">
          <cell r="B768" t="str">
            <v>SCMFN66-P</v>
          </cell>
          <cell r="C768" t="str">
            <v>WSGN66DL-TS203E</v>
          </cell>
          <cell r="D768">
            <v>1</v>
          </cell>
          <cell r="E768" t="str">
            <v>AB PP WC SC DIN66 SEALED-MF +R</v>
          </cell>
        </row>
        <row r="769">
          <cell r="B769" t="str">
            <v>SCMFN66R-P</v>
          </cell>
          <cell r="C769" t="str">
            <v>WSGN66DR-TS203E</v>
          </cell>
          <cell r="D769">
            <v>1</v>
          </cell>
          <cell r="E769" t="str">
            <v>AB PP WC SC DIN66 SEALED-MF +L</v>
          </cell>
        </row>
        <row r="770">
          <cell r="B770" t="str">
            <v>SCMFN88-P</v>
          </cell>
          <cell r="C770" t="str">
            <v>WSGN88CL-TS203E</v>
          </cell>
          <cell r="D770">
            <v>1</v>
          </cell>
          <cell r="E770" t="str">
            <v>AB PP WC SC DIN88 SEALED-MF +R</v>
          </cell>
        </row>
        <row r="771">
          <cell r="B771" t="str">
            <v>SCMFN88-P</v>
          </cell>
          <cell r="C771" t="str">
            <v>WSMN88CL-TS203E</v>
          </cell>
          <cell r="D771">
            <v>1</v>
          </cell>
          <cell r="E771" t="str">
            <v>AB PP WC SC DIN88 SEALED-MF +R</v>
          </cell>
        </row>
        <row r="772">
          <cell r="B772" t="str">
            <v>SCMRV87-P</v>
          </cell>
          <cell r="C772" t="str">
            <v>WATB31QT-TS203E</v>
          </cell>
          <cell r="D772">
            <v>1</v>
          </cell>
          <cell r="E772" t="str">
            <v>AB PP WC SC AMP-TECH MRV87 +L</v>
          </cell>
        </row>
        <row r="773">
          <cell r="B773" t="str">
            <v>SCN100P</v>
          </cell>
          <cell r="C773" t="str">
            <v>WSCE417L-SPN03E</v>
          </cell>
          <cell r="D773">
            <v>1</v>
          </cell>
          <cell r="E773" t="str">
            <v>AB PP WC EX-SUPCHA N100 +L EXP/EXP</v>
          </cell>
        </row>
        <row r="774">
          <cell r="B774" t="str">
            <v>SCN120P</v>
          </cell>
          <cell r="C774" t="str">
            <v>DSCF518L-SPN03E</v>
          </cell>
          <cell r="D774">
            <v>1</v>
          </cell>
          <cell r="E774" t="str">
            <v>AB PP DC EX-SUPCHA N120L (21-PPC)</v>
          </cell>
        </row>
        <row r="775">
          <cell r="B775" t="str">
            <v>SCN150P</v>
          </cell>
          <cell r="C775" t="str">
            <v>DSCG519L-SPN03E</v>
          </cell>
          <cell r="D775">
            <v>1</v>
          </cell>
          <cell r="E775" t="str">
            <v>AB PP DC EX-SUPCHA N150 (25-PPC)</v>
          </cell>
        </row>
        <row r="776">
          <cell r="B776" t="str">
            <v>SCN200P</v>
          </cell>
          <cell r="C776" t="str">
            <v>DSCH52YL-SPN03E</v>
          </cell>
          <cell r="D776">
            <v>1</v>
          </cell>
          <cell r="E776" t="str">
            <v>AB PP DC EX-SUPCHA N200 (27PPC)</v>
          </cell>
        </row>
        <row r="777">
          <cell r="B777" t="str">
            <v>SCN25D-P</v>
          </cell>
          <cell r="C777" t="str">
            <v>DSCN259L-SPN03E</v>
          </cell>
          <cell r="D777">
            <v>1</v>
          </cell>
          <cell r="E777" t="str">
            <v>AB PP DC EX-SUPCHA N25D</v>
          </cell>
        </row>
        <row r="778">
          <cell r="B778" t="str">
            <v>SCN43-P</v>
          </cell>
          <cell r="C778" t="str">
            <v>WSCN432Z-CPN03E</v>
          </cell>
          <cell r="D778">
            <v>1</v>
          </cell>
          <cell r="E778" t="str">
            <v>AB PP WC EX-SUPCHA MFN43-DFP</v>
          </cell>
        </row>
        <row r="779">
          <cell r="B779" t="str">
            <v>SCN44-P</v>
          </cell>
          <cell r="C779" t="str">
            <v>WSCN44AL-CPN03E</v>
          </cell>
          <cell r="D779">
            <v>1</v>
          </cell>
          <cell r="E779" t="str">
            <v>AB PP WC SC-GOLD DIN44 +R</v>
          </cell>
        </row>
        <row r="780">
          <cell r="B780" t="str">
            <v>SCN50ZL-MF-P</v>
          </cell>
          <cell r="C780" t="str">
            <v>USGG24CL-CP311E</v>
          </cell>
          <cell r="D780">
            <v>1</v>
          </cell>
          <cell r="E780" t="str">
            <v>AB PP WC SCGOLD WATTA N50ZL-MF +R</v>
          </cell>
        </row>
        <row r="781">
          <cell r="B781" t="str">
            <v>SCN50Z-MF-P</v>
          </cell>
          <cell r="C781" t="str">
            <v>USGG24CR-CP311E</v>
          </cell>
          <cell r="D781">
            <v>1</v>
          </cell>
          <cell r="E781" t="str">
            <v>AB PP WC SCGOLD WATTA N50Z-MF +L</v>
          </cell>
        </row>
        <row r="782">
          <cell r="B782" t="str">
            <v>SCN55-P</v>
          </cell>
          <cell r="C782" t="str">
            <v>WSCN55DL-CPN03E</v>
          </cell>
          <cell r="D782">
            <v>1</v>
          </cell>
          <cell r="E782" t="str">
            <v>AB PP WC SUPCHA DIN55 +R</v>
          </cell>
        </row>
        <row r="783">
          <cell r="B783" t="str">
            <v>SCN66-P</v>
          </cell>
          <cell r="C783" t="str">
            <v>WSCN66CL-CPN03E</v>
          </cell>
          <cell r="D783">
            <v>1</v>
          </cell>
          <cell r="E783" t="str">
            <v>AB PP WC SUPCHA DIN66 +R</v>
          </cell>
        </row>
        <row r="784">
          <cell r="B784" t="str">
            <v>SCN70L-MF-P</v>
          </cell>
          <cell r="C784" t="str">
            <v>USGG27CL-CP311E</v>
          </cell>
          <cell r="D784">
            <v>1</v>
          </cell>
          <cell r="E784" t="str">
            <v>AB PP UB SUPCHA WATTA N70L-MF +R</v>
          </cell>
        </row>
        <row r="785">
          <cell r="B785" t="str">
            <v>SCN70-MF-P</v>
          </cell>
          <cell r="C785" t="str">
            <v>USGG27CR-CP311E</v>
          </cell>
          <cell r="D785">
            <v>1</v>
          </cell>
          <cell r="E785" t="str">
            <v>AB PP WC SCGOLD WATTA N70-MF +L</v>
          </cell>
        </row>
        <row r="786">
          <cell r="B786" t="str">
            <v>SCN70-P</v>
          </cell>
          <cell r="C786" t="str">
            <v>WFMD316R-SPN03E</v>
          </cell>
          <cell r="D786">
            <v>1</v>
          </cell>
          <cell r="E786" t="str">
            <v>AB PP WC SC-FARMASTER N70 +L</v>
          </cell>
        </row>
        <row r="787">
          <cell r="B787" t="str">
            <v>SCN70ZL-MF-P</v>
          </cell>
          <cell r="C787" t="str">
            <v>USGG27EL-CP311E</v>
          </cell>
          <cell r="D787">
            <v>1</v>
          </cell>
          <cell r="E787" t="str">
            <v>AB PP WC SCGOLD WATTA N70ZL-MF +R</v>
          </cell>
        </row>
        <row r="788">
          <cell r="B788" t="str">
            <v>SCN70Z-MF-P</v>
          </cell>
          <cell r="C788" t="str">
            <v>USGG27ER-CP311E</v>
          </cell>
          <cell r="D788">
            <v>1</v>
          </cell>
          <cell r="E788" t="str">
            <v>AB PP WC SCGOLD WATTA N70Z-MF +L</v>
          </cell>
        </row>
        <row r="789">
          <cell r="B789" t="str">
            <v>SCN70ZZL-P</v>
          </cell>
          <cell r="C789" t="str">
            <v>WSCA536L-SPN03E</v>
          </cell>
          <cell r="D789">
            <v>1</v>
          </cell>
          <cell r="E789" t="str">
            <v>AB PP WC EX-SUPCHA N70ZZL +R</v>
          </cell>
        </row>
        <row r="790">
          <cell r="B790" t="str">
            <v>SCN70ZZ-P</v>
          </cell>
          <cell r="C790" t="str">
            <v>WSCA536R-SPN03E</v>
          </cell>
          <cell r="D790">
            <v>1</v>
          </cell>
          <cell r="E790" t="str">
            <v>AB PP WC EX-SUPCHA N70ZZ +L</v>
          </cell>
        </row>
        <row r="791">
          <cell r="B791" t="str">
            <v>SCN87LZ-P</v>
          </cell>
          <cell r="C791" t="str">
            <v>WSCN878L-SPN03E</v>
          </cell>
          <cell r="D791">
            <v>1</v>
          </cell>
          <cell r="E791" t="str">
            <v>AB PP WC EX-SUPCHA N87LZ +R</v>
          </cell>
        </row>
        <row r="792">
          <cell r="B792" t="str">
            <v>SCN87Z-P</v>
          </cell>
          <cell r="C792" t="str">
            <v>WSCN878R-SPN03E</v>
          </cell>
          <cell r="D792">
            <v>1</v>
          </cell>
          <cell r="E792" t="str">
            <v>AB PP WC EX-SUPCHA N87Z +L</v>
          </cell>
        </row>
        <row r="793">
          <cell r="B793" t="str">
            <v>SCN88-P</v>
          </cell>
          <cell r="C793" t="str">
            <v>WSCN88AL-CPN03E</v>
          </cell>
          <cell r="D793">
            <v>1</v>
          </cell>
          <cell r="E793" t="str">
            <v>AB PP WC SUPCHA DIN88 +R</v>
          </cell>
        </row>
        <row r="794">
          <cell r="B794" t="str">
            <v>SCN94P-P</v>
          </cell>
          <cell r="C794" t="str">
            <v>WSC4DT8L-CPN03E</v>
          </cell>
          <cell r="D794">
            <v>1</v>
          </cell>
          <cell r="E794" t="str">
            <v>AB PP WC SC CLASSIC 4DLT +L 800CCA ACCS</v>
          </cell>
        </row>
        <row r="795">
          <cell r="B795" t="str">
            <v>SCNS40L-MF-P</v>
          </cell>
          <cell r="C795" t="str">
            <v>WSGB20BB-TS111E</v>
          </cell>
          <cell r="D795">
            <v>1</v>
          </cell>
          <cell r="E795" t="str">
            <v>AB PP WC SC-WATTA ACSBLE NS40L +R SML</v>
          </cell>
        </row>
        <row r="796">
          <cell r="B796" t="str">
            <v>SCNS40ZAL-P</v>
          </cell>
          <cell r="C796" t="str">
            <v>WSCB203Z-CPN03E</v>
          </cell>
          <cell r="D796">
            <v>1</v>
          </cell>
          <cell r="E796" t="str">
            <v>AB PP WC EX-SUPCHA B20L DFP +R</v>
          </cell>
        </row>
        <row r="797">
          <cell r="B797" t="str">
            <v>SCNS40ZL-MF-P</v>
          </cell>
          <cell r="C797" t="str">
            <v>WSGB20CC-TS111E</v>
          </cell>
          <cell r="D797">
            <v>1</v>
          </cell>
          <cell r="E797" t="str">
            <v>AB PP WC SUPCHA WATTA NS40ZL +R SML</v>
          </cell>
        </row>
        <row r="798">
          <cell r="B798" t="str">
            <v>SCNS40ZL-P</v>
          </cell>
          <cell r="C798" t="str">
            <v>WSCB203L-CPN03E</v>
          </cell>
          <cell r="D798">
            <v>1</v>
          </cell>
          <cell r="E798" t="str">
            <v>AB PP WC EX-SUPCHA B20L-SP +R</v>
          </cell>
        </row>
        <row r="799">
          <cell r="B799" t="str">
            <v>SCNS50L-MF-P</v>
          </cell>
          <cell r="C799" t="str">
            <v>USGD23BL-CP311E</v>
          </cell>
          <cell r="D799">
            <v>1</v>
          </cell>
          <cell r="E799" t="str">
            <v>AB PP WC SUPCHA WATTA NS50L-MF +R</v>
          </cell>
        </row>
        <row r="800">
          <cell r="B800" t="str">
            <v>SCNS50-MF-P</v>
          </cell>
          <cell r="C800" t="str">
            <v>USGD23BR-CP311E</v>
          </cell>
          <cell r="D800">
            <v>1</v>
          </cell>
          <cell r="E800" t="str">
            <v>AB PP WC SUPCHA WATTA NS50-MF +L</v>
          </cell>
        </row>
        <row r="801">
          <cell r="B801" t="str">
            <v>SCNS50-P</v>
          </cell>
          <cell r="C801" t="str">
            <v>WRMD232R-SPN03E</v>
          </cell>
          <cell r="D801">
            <v>1</v>
          </cell>
          <cell r="E801" t="str">
            <v>AB PP WC EX-SUPCHA NS50 +L</v>
          </cell>
        </row>
        <row r="802">
          <cell r="B802" t="str">
            <v>SCNS50P-P</v>
          </cell>
          <cell r="C802" t="str">
            <v>WSCD235R-SPN03E</v>
          </cell>
          <cell r="D802">
            <v>1</v>
          </cell>
          <cell r="E802" t="str">
            <v>AB PP WC EX-SUPCHA NS50P +L</v>
          </cell>
        </row>
        <row r="803">
          <cell r="B803" t="str">
            <v>SCNS50ZL-MF-P</v>
          </cell>
          <cell r="C803" t="str">
            <v>USGD23DL-CP311E</v>
          </cell>
          <cell r="D803">
            <v>1</v>
          </cell>
          <cell r="E803" t="str">
            <v>AB PP WC SUPCHA WATTA NS50ZL-MF +R</v>
          </cell>
        </row>
        <row r="804">
          <cell r="B804" t="str">
            <v>SCNS50Z-MF-P</v>
          </cell>
          <cell r="C804" t="str">
            <v>USGD23DR-CP311E</v>
          </cell>
          <cell r="D804">
            <v>1</v>
          </cell>
          <cell r="E804" t="str">
            <v>AB PP WC SUPCHA WATTA NS50Z-MF +L</v>
          </cell>
        </row>
        <row r="805">
          <cell r="B805" t="str">
            <v>SCNS50Z-P</v>
          </cell>
          <cell r="C805" t="str">
            <v>WSCA464R-SPN03E</v>
          </cell>
          <cell r="D805">
            <v>1</v>
          </cell>
          <cell r="E805" t="str">
            <v>AB PP WC EX-SUPCHA NS50Z +L</v>
          </cell>
        </row>
        <row r="806">
          <cell r="B806" t="str">
            <v>SCNS51L-P</v>
          </cell>
          <cell r="C806" t="str">
            <v>WSCD232X-SPN03E</v>
          </cell>
          <cell r="D806">
            <v>1</v>
          </cell>
          <cell r="E806" t="str">
            <v>AB PP WC EX-SUPCHA NS51L +R</v>
          </cell>
        </row>
        <row r="807">
          <cell r="B807" t="str">
            <v>SCNS51PL-P</v>
          </cell>
          <cell r="C807" t="str">
            <v>WSCA465X-SPN03E</v>
          </cell>
          <cell r="D807">
            <v>1</v>
          </cell>
          <cell r="E807" t="str">
            <v>AB PP WC EX-SUPCHA NS51PL +R</v>
          </cell>
        </row>
        <row r="808">
          <cell r="B808" t="str">
            <v>SCNS51ZL-P</v>
          </cell>
          <cell r="C808" t="str">
            <v>WSCA464X-SPN03E</v>
          </cell>
          <cell r="D808">
            <v>1</v>
          </cell>
          <cell r="E808" t="str">
            <v>AB PP WC EX-SUPCHA NS51ZL +R</v>
          </cell>
        </row>
        <row r="809">
          <cell r="B809" t="str">
            <v>SCNS52L-P</v>
          </cell>
          <cell r="C809" t="str">
            <v>WRMD233Z-SPN03E</v>
          </cell>
          <cell r="D809">
            <v>1</v>
          </cell>
          <cell r="E809" t="str">
            <v>AB PP WC EX-SUPCHA NS52L +R</v>
          </cell>
        </row>
        <row r="810">
          <cell r="B810" t="str">
            <v>SCNS52PL-P</v>
          </cell>
          <cell r="C810" t="str">
            <v>WSCA465Z-SPN03E</v>
          </cell>
          <cell r="D810">
            <v>1</v>
          </cell>
          <cell r="E810" t="str">
            <v>AB PP WC EX-SUPCHA NS52PL +R</v>
          </cell>
        </row>
        <row r="811">
          <cell r="B811" t="str">
            <v>SCNS52ZL-P</v>
          </cell>
          <cell r="C811" t="str">
            <v>WSCA464Z-SPN03E</v>
          </cell>
          <cell r="D811">
            <v>1</v>
          </cell>
          <cell r="E811" t="str">
            <v>AB PP WC EX-SUPCHA NS52ZL +R</v>
          </cell>
        </row>
        <row r="812">
          <cell r="B812" t="str">
            <v>SCNS60L-MF-P</v>
          </cell>
          <cell r="C812" t="str">
            <v>USGB24BB-CP311E</v>
          </cell>
          <cell r="D812">
            <v>1</v>
          </cell>
          <cell r="E812" t="str">
            <v>AB PP WC SUPCHA WATTA NS60L-MF +R SMLPST</v>
          </cell>
        </row>
        <row r="813">
          <cell r="B813" t="str">
            <v>SCNS60LS-MF-P</v>
          </cell>
          <cell r="C813" t="str">
            <v>USGB24BL-CP311E</v>
          </cell>
          <cell r="D813">
            <v>1</v>
          </cell>
          <cell r="E813" t="str">
            <v>AB PP WC SUPCHA WATTA NS60LS MF +R AUTO</v>
          </cell>
        </row>
        <row r="814">
          <cell r="B814" t="str">
            <v>SCNS60-MF-P</v>
          </cell>
          <cell r="C814" t="str">
            <v>USGB24BA-CP311E</v>
          </cell>
          <cell r="D814">
            <v>1</v>
          </cell>
          <cell r="E814" t="str">
            <v>AB PP WC SUPCHA WATTA NS60-MF +L SMLPST</v>
          </cell>
        </row>
        <row r="815">
          <cell r="B815" t="str">
            <v>SCNS60S-MF-P</v>
          </cell>
          <cell r="C815" t="str">
            <v>USGB24BR-CP311E</v>
          </cell>
          <cell r="D815">
            <v>1</v>
          </cell>
          <cell r="E815" t="str">
            <v>AB PP WC SUPCHA WATTA NS60S MF +L AUTO</v>
          </cell>
        </row>
        <row r="816">
          <cell r="B816" t="str">
            <v>SCNS60ZL-MF-P</v>
          </cell>
          <cell r="C816" t="str">
            <v>USGB24DB-CP311E</v>
          </cell>
          <cell r="D816">
            <v>1</v>
          </cell>
          <cell r="E816" t="str">
            <v>AB PP WC SUPCHA WATTA NS60ZL +R SML</v>
          </cell>
        </row>
        <row r="817">
          <cell r="B817" t="str">
            <v>SCNS60Z-MF-P</v>
          </cell>
          <cell r="C817" t="str">
            <v>USGB24DA-CP311E</v>
          </cell>
          <cell r="D817">
            <v>1</v>
          </cell>
          <cell r="E817" t="str">
            <v>AB PP WC SUPCHA WATTA NS60Z +L SML</v>
          </cell>
        </row>
        <row r="818">
          <cell r="B818" t="str">
            <v>SCNS70L-MF-P</v>
          </cell>
          <cell r="C818" t="str">
            <v>USGG24DL-CP311E</v>
          </cell>
          <cell r="D818">
            <v>1</v>
          </cell>
          <cell r="E818" t="str">
            <v>AB PP WC SCGOLD WATTA NS70L-MF +R</v>
          </cell>
        </row>
        <row r="819">
          <cell r="B819" t="str">
            <v>SCNS70L-P</v>
          </cell>
          <cell r="C819" t="str">
            <v>WSCD265L-SPN03E</v>
          </cell>
          <cell r="D819">
            <v>1</v>
          </cell>
          <cell r="E819" t="str">
            <v>AB PP WC EX-SUPCHA NS70L +R</v>
          </cell>
        </row>
        <row r="820">
          <cell r="B820" t="str">
            <v>SCNS70-MF-P</v>
          </cell>
          <cell r="C820" t="str">
            <v>USGG24DR-CP311E</v>
          </cell>
          <cell r="D820">
            <v>1</v>
          </cell>
          <cell r="E820" t="str">
            <v>AB PP WC SCGOLD WATTA NS70-MF +L</v>
          </cell>
        </row>
        <row r="821">
          <cell r="B821" t="str">
            <v>SCNS70-P</v>
          </cell>
          <cell r="C821" t="str">
            <v>WSCD265R-SPN03E</v>
          </cell>
          <cell r="D821">
            <v>1</v>
          </cell>
          <cell r="E821" t="str">
            <v>AB PP WC EX-SUPCHA NS70 +L</v>
          </cell>
        </row>
        <row r="822">
          <cell r="B822" t="str">
            <v>SCNX110L-MF-P</v>
          </cell>
          <cell r="C822" t="str">
            <v>USGG24EL-CP311E</v>
          </cell>
          <cell r="D822">
            <v>1</v>
          </cell>
          <cell r="E822" t="str">
            <v>AB PP WC SCGOLD WATTA NS70ZL-MF +R</v>
          </cell>
        </row>
        <row r="823">
          <cell r="B823" t="str">
            <v>SCNX110-MF-P</v>
          </cell>
          <cell r="C823" t="str">
            <v>USGG24ER-CP311E</v>
          </cell>
          <cell r="D823">
            <v>1</v>
          </cell>
          <cell r="E823" t="str">
            <v>AB PP WC SCGOLD WATTA NS70Z-MF +L</v>
          </cell>
        </row>
        <row r="824">
          <cell r="B824" t="str">
            <v>SCNX120L-MF-P</v>
          </cell>
          <cell r="C824" t="str">
            <v>USGG27GL-CP311E</v>
          </cell>
          <cell r="D824">
            <v>1</v>
          </cell>
          <cell r="E824" t="str">
            <v>AB PP WC SCGOLD WATTA N70ZZL-MF +R</v>
          </cell>
        </row>
        <row r="825">
          <cell r="B825" t="str">
            <v>SCNX120-MF-P</v>
          </cell>
          <cell r="C825" t="str">
            <v>USGG27GR-CP311E</v>
          </cell>
          <cell r="D825">
            <v>1</v>
          </cell>
          <cell r="E825" t="str">
            <v>AB PP WC SCGOLD WATTA N70ZZ-MF +L</v>
          </cell>
        </row>
        <row r="826">
          <cell r="B826" t="str">
            <v>SCNZ55D23L-P</v>
          </cell>
          <cell r="C826" t="str">
            <v>WSCD235L-TSN04E</v>
          </cell>
          <cell r="D826">
            <v>1</v>
          </cell>
          <cell r="E826" t="str">
            <v>AB PP WC NZ SCCLASSIC 55D23R AUTO +R</v>
          </cell>
        </row>
        <row r="827">
          <cell r="B827" t="str">
            <v>SCNZD50Z-P</v>
          </cell>
          <cell r="C827" t="str">
            <v>DATD26OF-SPN04E</v>
          </cell>
          <cell r="D827">
            <v>1</v>
          </cell>
          <cell r="E827" t="str">
            <v>AB PP DC NZ AMP-TECH D50Z +L AUTO 80AH</v>
          </cell>
        </row>
        <row r="828">
          <cell r="B828" t="str">
            <v>SCNZD70Z-P</v>
          </cell>
          <cell r="C828" t="str">
            <v>DATD31PF-SPN04E</v>
          </cell>
          <cell r="D828">
            <v>1</v>
          </cell>
          <cell r="E828" t="str">
            <v>AB PP DC NZ AMP-TECH D70Z +L AUTO 100AH</v>
          </cell>
        </row>
        <row r="829">
          <cell r="B829" t="str">
            <v>SCNZD87L-P</v>
          </cell>
          <cell r="C829" t="str">
            <v>WATB31QR-CPP04E</v>
          </cell>
          <cell r="D829">
            <v>1</v>
          </cell>
          <cell r="E829" t="str">
            <v>AB PP WC NZ AMP-TECH D87L +L AUTO</v>
          </cell>
        </row>
        <row r="830">
          <cell r="B830" t="str">
            <v>SCNZG34/78-8MF</v>
          </cell>
          <cell r="C830" t="str">
            <v>WSGD788D-TS404E</v>
          </cell>
          <cell r="D830">
            <v>1</v>
          </cell>
          <cell r="E830" t="str">
            <v>AB PP WC NZ SCGOLD G34/78-8MF DT +L</v>
          </cell>
        </row>
        <row r="831">
          <cell r="B831" t="str">
            <v>SCNZG58-5MF</v>
          </cell>
          <cell r="C831" t="str">
            <v>WSGG585L-TS304E</v>
          </cell>
          <cell r="D831">
            <v>1</v>
          </cell>
          <cell r="E831" t="str">
            <v>AB PP WC NZ SCGOLD G58-5MF +L</v>
          </cell>
        </row>
        <row r="832">
          <cell r="B832" t="str">
            <v>SCNZG65-8MF</v>
          </cell>
          <cell r="C832" t="str">
            <v>WSGG658E-TS304E</v>
          </cell>
          <cell r="D832">
            <v>1</v>
          </cell>
          <cell r="E832" t="str">
            <v>AB PP WC NZ SCGOLD G65-8MF +L</v>
          </cell>
        </row>
        <row r="833">
          <cell r="B833" t="str">
            <v>SCNZG78-8MF</v>
          </cell>
          <cell r="C833" t="str">
            <v>WSGG788S-TS404E</v>
          </cell>
          <cell r="D833">
            <v>1</v>
          </cell>
          <cell r="E833" t="str">
            <v>AB PP WC NZ SC GOLD G78-8MF ST +L</v>
          </cell>
        </row>
        <row r="834">
          <cell r="B834" t="str">
            <v>SCNZM50-P</v>
          </cell>
          <cell r="C834" t="str">
            <v>WSMD265F-SPN04E</v>
          </cell>
          <cell r="D834">
            <v>1</v>
          </cell>
          <cell r="E834" t="str">
            <v>AB PP WC NZ SMCLASSIC M50 +L SPL-TER</v>
          </cell>
        </row>
        <row r="835">
          <cell r="B835" t="str">
            <v>SCNZM70-P</v>
          </cell>
          <cell r="C835" t="str">
            <v>WSMD316F-SPN04E</v>
          </cell>
          <cell r="D835">
            <v>1</v>
          </cell>
          <cell r="E835" t="str">
            <v>AB PP WC NZ SMCLASSIC M70 +L SPL-TER</v>
          </cell>
        </row>
        <row r="836">
          <cell r="B836" t="str">
            <v>SCNZM87LZ-P</v>
          </cell>
          <cell r="C836" t="str">
            <v>WSMN877F-SPN04E</v>
          </cell>
          <cell r="D836">
            <v>1</v>
          </cell>
          <cell r="E836" t="str">
            <v>AB PP WC NZ SMCLASSIC M87 +R SPL-TER</v>
          </cell>
        </row>
        <row r="837">
          <cell r="B837" t="str">
            <v>SCNZMF31-930</v>
          </cell>
          <cell r="C837" t="str">
            <v>WSGB319T-TS204E</v>
          </cell>
          <cell r="D837">
            <v>1</v>
          </cell>
          <cell r="E837" t="str">
            <v>AB PP WC NZ SCGOLD G31MF STUD +L</v>
          </cell>
        </row>
        <row r="838">
          <cell r="B838" t="str">
            <v>SCNZMF31-931</v>
          </cell>
          <cell r="C838" t="str">
            <v>WSGB319R-TS204E</v>
          </cell>
          <cell r="D838">
            <v>1</v>
          </cell>
          <cell r="E838" t="str">
            <v>AB PP WC NZ SCGOLD G31MF AUTO +L</v>
          </cell>
        </row>
        <row r="839">
          <cell r="B839" t="str">
            <v>SCNZMF43-P</v>
          </cell>
          <cell r="C839" t="str">
            <v>WSGN433Z-TS204E</v>
          </cell>
          <cell r="D839">
            <v>1</v>
          </cell>
          <cell r="E839" t="str">
            <v>AB PP WC NZ SCGOLD N43MF DFP +R</v>
          </cell>
        </row>
        <row r="840">
          <cell r="B840" t="str">
            <v>SCNZMF44-P</v>
          </cell>
          <cell r="C840" t="str">
            <v>WSGN44DL-TS204E</v>
          </cell>
          <cell r="D840">
            <v>1</v>
          </cell>
          <cell r="E840" t="str">
            <v>AB PP WC NZ SCGOLD DIN44MF +R</v>
          </cell>
        </row>
        <row r="841">
          <cell r="B841" t="str">
            <v>SCNZMF50-P</v>
          </cell>
          <cell r="C841" t="str">
            <v>WSGA466R-TS204E</v>
          </cell>
          <cell r="D841">
            <v>1</v>
          </cell>
          <cell r="E841" t="str">
            <v>AB PP WC NZ SCGOLD MF50 +L</v>
          </cell>
        </row>
        <row r="842">
          <cell r="B842" t="str">
            <v>SCNZMF51-P</v>
          </cell>
          <cell r="C842" t="str">
            <v>WSGA4661-TS204E</v>
          </cell>
          <cell r="D842">
            <v>1</v>
          </cell>
          <cell r="E842" t="str">
            <v>AB PP WC NZ SCGOLD MF51 DFA +R</v>
          </cell>
        </row>
        <row r="843">
          <cell r="B843" t="str">
            <v>SCNZMF52-P</v>
          </cell>
          <cell r="C843" t="str">
            <v>WSGA4662-TS204E</v>
          </cell>
          <cell r="D843">
            <v>1</v>
          </cell>
          <cell r="E843" t="str">
            <v>AB PP WC NZ SCGOLD MF52 DFP +R</v>
          </cell>
        </row>
        <row r="844">
          <cell r="B844" t="str">
            <v>SCNZMF53-P</v>
          </cell>
          <cell r="C844" t="str">
            <v>WSGA4663-TS204E</v>
          </cell>
          <cell r="D844">
            <v>1</v>
          </cell>
          <cell r="E844" t="str">
            <v>AB PP WC NZ SCGOLD MF53 AUTO +R</v>
          </cell>
        </row>
        <row r="845">
          <cell r="B845" t="str">
            <v>SCNZMF54-P</v>
          </cell>
          <cell r="C845" t="str">
            <v>WSGA4664-TS204E</v>
          </cell>
          <cell r="D845">
            <v>1</v>
          </cell>
          <cell r="E845" t="str">
            <v>AB PP WC NZ SCGOLD MF54 AUTO +L</v>
          </cell>
        </row>
        <row r="846">
          <cell r="B846" t="str">
            <v>SCNZMF55B24L-P</v>
          </cell>
          <cell r="C846" t="str">
            <v>WSGB245B-TS404E</v>
          </cell>
          <cell r="D846">
            <v>1</v>
          </cell>
          <cell r="E846" t="str">
            <v>AB PP WC NZ SCGOLD  55B24MF JIS +R</v>
          </cell>
        </row>
        <row r="847">
          <cell r="B847" t="str">
            <v>SCNZMF55B24LS-P</v>
          </cell>
          <cell r="C847" t="str">
            <v>WSGB244L-TS404E</v>
          </cell>
          <cell r="D847">
            <v>1</v>
          </cell>
          <cell r="E847" t="str">
            <v>AB PP WC NZ SCGOLD  55B24MF AUTO +R</v>
          </cell>
        </row>
        <row r="848">
          <cell r="B848" t="str">
            <v>SCNZMF55B24R-P</v>
          </cell>
          <cell r="C848" t="str">
            <v>WSGB245A-TS404E</v>
          </cell>
          <cell r="D848">
            <v>1</v>
          </cell>
          <cell r="E848" t="str">
            <v>AB PP WC NZ SCGOLD  55B24MF JIS +L</v>
          </cell>
        </row>
        <row r="849">
          <cell r="B849" t="str">
            <v>SCNZMF55B24RS-P</v>
          </cell>
          <cell r="C849" t="str">
            <v>WSGB244R-TS404E</v>
          </cell>
          <cell r="D849">
            <v>1</v>
          </cell>
          <cell r="E849" t="str">
            <v>AB PP WC NZ SCGOLD  55B24MF AUTO +L</v>
          </cell>
        </row>
        <row r="850">
          <cell r="B850" t="str">
            <v>SCNZMF55-P</v>
          </cell>
          <cell r="C850" t="str">
            <v>WSGN55EL-TS204E</v>
          </cell>
          <cell r="D850">
            <v>1</v>
          </cell>
          <cell r="E850" t="str">
            <v>AB PP WC NZ SCGOLD DIN55MF +R</v>
          </cell>
        </row>
        <row r="851">
          <cell r="B851" t="str">
            <v>SCNZMF55R-P</v>
          </cell>
          <cell r="C851" t="str">
            <v>WSGN55ER-TS204E</v>
          </cell>
          <cell r="D851">
            <v>1</v>
          </cell>
          <cell r="E851" t="str">
            <v>AB PP WC NZ SCGOLD DIN55MF +L</v>
          </cell>
        </row>
        <row r="852">
          <cell r="B852" t="str">
            <v>SCNZMF66-P</v>
          </cell>
          <cell r="C852" t="str">
            <v>WSGN66DL-TS204E</v>
          </cell>
          <cell r="D852">
            <v>1</v>
          </cell>
          <cell r="E852" t="str">
            <v>AB PP WC NZ SC GOLD DIN66MF +R</v>
          </cell>
        </row>
        <row r="853">
          <cell r="B853" t="str">
            <v>SCNZMF66R-P</v>
          </cell>
          <cell r="C853" t="str">
            <v>WSGN66DR-TS204E</v>
          </cell>
          <cell r="D853">
            <v>1</v>
          </cell>
          <cell r="E853" t="str">
            <v>AB PP WC NZ SCGOLD DIN66MF +L</v>
          </cell>
        </row>
        <row r="854">
          <cell r="B854" t="str">
            <v>SCNZMF75D23L-P</v>
          </cell>
          <cell r="C854" t="str">
            <v>WSGD236L-TS404E</v>
          </cell>
          <cell r="D854">
            <v>1</v>
          </cell>
          <cell r="E854" t="str">
            <v>AB PP WC NZ SCGOLD  75D23MF +R</v>
          </cell>
        </row>
        <row r="855">
          <cell r="B855" t="str">
            <v>SCNZMF80D26L-P</v>
          </cell>
          <cell r="C855" t="str">
            <v>WSGG246L-TS404E</v>
          </cell>
          <cell r="D855">
            <v>1</v>
          </cell>
          <cell r="E855" t="str">
            <v>AB PP WC NZ SCGOLD  80D26MF +R</v>
          </cell>
        </row>
        <row r="856">
          <cell r="B856" t="str">
            <v>SCNZMF80D26R-P</v>
          </cell>
          <cell r="C856" t="str">
            <v>WSGG246R-TS404E</v>
          </cell>
          <cell r="D856">
            <v>1</v>
          </cell>
          <cell r="E856" t="str">
            <v>AB PP WC NZ SCGOLD  80D26MF +L</v>
          </cell>
        </row>
        <row r="857">
          <cell r="B857" t="str">
            <v>SCNZMF88-P</v>
          </cell>
          <cell r="C857" t="str">
            <v>WSGN88CL-TS204E</v>
          </cell>
          <cell r="D857">
            <v>1</v>
          </cell>
          <cell r="E857" t="str">
            <v>AB PP WC NZ SCGOLD DIN88MF +R</v>
          </cell>
        </row>
        <row r="858">
          <cell r="B858" t="str">
            <v>SCNZMF95D31L-P</v>
          </cell>
          <cell r="C858" t="str">
            <v>WSGA537L-TS204E</v>
          </cell>
          <cell r="D858">
            <v>1</v>
          </cell>
          <cell r="E858" t="str">
            <v>AB PP WC NZ SCGOLD  95D31MF +R</v>
          </cell>
        </row>
        <row r="859">
          <cell r="B859" t="str">
            <v>SCNZMF95D31R-P</v>
          </cell>
          <cell r="C859" t="str">
            <v>WSGA537R-TS204E</v>
          </cell>
          <cell r="D859">
            <v>1</v>
          </cell>
          <cell r="E859" t="str">
            <v>AB PP WC NZ SCGOLD 95D31MF  +L</v>
          </cell>
        </row>
        <row r="860">
          <cell r="B860" t="str">
            <v>SCNZMFB20DFL-P</v>
          </cell>
          <cell r="C860" t="str">
            <v>WSGB203Z-TS204E</v>
          </cell>
          <cell r="D860">
            <v>1</v>
          </cell>
          <cell r="E860" t="str">
            <v>AB PP WC NZ SCGOLD B20MF DFP +R</v>
          </cell>
        </row>
        <row r="861">
          <cell r="B861" t="str">
            <v>SCNZMFB20L-P</v>
          </cell>
          <cell r="C861" t="str">
            <v>WSGB203L-TS204E</v>
          </cell>
          <cell r="D861">
            <v>1</v>
          </cell>
          <cell r="E861" t="str">
            <v>AB PP WC NZ SCGOLD B20MF JIS +R</v>
          </cell>
        </row>
        <row r="862">
          <cell r="B862" t="str">
            <v>SCNZMFM48-P</v>
          </cell>
          <cell r="C862" t="str">
            <v>WSOA465F-TS204E</v>
          </cell>
          <cell r="D862">
            <v>1</v>
          </cell>
          <cell r="E862" t="str">
            <v>AB PP WC NZ SMGOLD MFM48 +L SPL-TER</v>
          </cell>
        </row>
        <row r="863">
          <cell r="B863" t="str">
            <v>SCNZMFM50-P</v>
          </cell>
          <cell r="C863" t="str">
            <v>WSOD266F-CP404E</v>
          </cell>
          <cell r="D863">
            <v>1</v>
          </cell>
          <cell r="E863" t="str">
            <v>AB PP WC NZ SMGOLD MFM50 +L SPL-TER</v>
          </cell>
        </row>
        <row r="864">
          <cell r="B864" t="str">
            <v>SCNZMFM70-P</v>
          </cell>
          <cell r="C864" t="str">
            <v>WSOD317F-CP404E</v>
          </cell>
          <cell r="D864">
            <v>1</v>
          </cell>
          <cell r="E864" t="str">
            <v>AB PP WC NZ SMGOLD MFM70 +L SPL-TER</v>
          </cell>
        </row>
        <row r="865">
          <cell r="B865" t="str">
            <v>SCNZN100-P</v>
          </cell>
          <cell r="C865" t="str">
            <v>WSCE417L-SPN04E</v>
          </cell>
          <cell r="D865">
            <v>1</v>
          </cell>
          <cell r="E865" t="str">
            <v>AB PP WC NZ SCCLASSIC N100 AUTO +L</v>
          </cell>
        </row>
        <row r="866">
          <cell r="B866" t="str">
            <v>SCNZN120D-P</v>
          </cell>
          <cell r="C866" t="str">
            <v>DSCF518L-SPN04E</v>
          </cell>
          <cell r="D866">
            <v>1</v>
          </cell>
          <cell r="E866" t="str">
            <v>AB PP DC NZ SCCLASSIC EHD N120 AUTO +R</v>
          </cell>
        </row>
        <row r="867">
          <cell r="B867" t="str">
            <v>SCNZN150D-P</v>
          </cell>
          <cell r="C867" t="str">
            <v>DSCG519L-SPN04E</v>
          </cell>
          <cell r="D867">
            <v>1</v>
          </cell>
          <cell r="E867" t="str">
            <v>AB PP DC NZ SCCLASSIC EHD N150 AUTO +R</v>
          </cell>
        </row>
        <row r="868">
          <cell r="B868" t="str">
            <v>SCNZN200D-P</v>
          </cell>
          <cell r="C868" t="str">
            <v>DSCH52YL-SPN04E</v>
          </cell>
          <cell r="D868">
            <v>1</v>
          </cell>
          <cell r="E868" t="str">
            <v>AB PP DC NZ SCCLASSIC EHD N200 AUTO +R</v>
          </cell>
        </row>
        <row r="869">
          <cell r="B869" t="str">
            <v>SCNZN25D-P</v>
          </cell>
          <cell r="C869" t="str">
            <v>DSCGC29L-SPN04E</v>
          </cell>
          <cell r="D869">
            <v>1</v>
          </cell>
          <cell r="E869" t="str">
            <v>AB PP DC NZ SCCLASSIC EHD N25 6V AUTO</v>
          </cell>
        </row>
        <row r="870">
          <cell r="B870" t="str">
            <v>SCNZN55-P</v>
          </cell>
          <cell r="C870" t="str">
            <v>WSCN55DL-CPN04E</v>
          </cell>
          <cell r="D870">
            <v>1</v>
          </cell>
          <cell r="E870" t="str">
            <v>AB PP WC NZ SCCLASSIC DIN55 AUTO +R</v>
          </cell>
        </row>
        <row r="871">
          <cell r="B871" t="str">
            <v>SCNZN66-P</v>
          </cell>
          <cell r="C871" t="str">
            <v>WSCN66CL-CPN04E</v>
          </cell>
          <cell r="D871">
            <v>1</v>
          </cell>
          <cell r="E871" t="str">
            <v>AB PP WC NZ SC CLASSIC DIN66 AUTO +R</v>
          </cell>
        </row>
        <row r="872">
          <cell r="B872" t="str">
            <v>SCNZN70ZZL-P</v>
          </cell>
          <cell r="C872" t="str">
            <v>WSCA536L-SPN04E</v>
          </cell>
          <cell r="D872">
            <v>1</v>
          </cell>
          <cell r="E872" t="str">
            <v>AB PP WC NZ SCCLASSIC N70/D31 AUTO +R</v>
          </cell>
        </row>
        <row r="873">
          <cell r="B873" t="str">
            <v>SCNZN70ZZ-P</v>
          </cell>
          <cell r="C873" t="str">
            <v>WSCA536R-SPN04E</v>
          </cell>
          <cell r="D873">
            <v>1</v>
          </cell>
          <cell r="E873" t="str">
            <v>AB PP WC NZ SCCLASSIC N70/D31 AUTO +L</v>
          </cell>
        </row>
        <row r="874">
          <cell r="B874" t="str">
            <v>SCNZN87LZ-P</v>
          </cell>
          <cell r="C874" t="str">
            <v>WSCN878L-SPN04E</v>
          </cell>
          <cell r="D874">
            <v>1</v>
          </cell>
          <cell r="E874" t="str">
            <v>AB PP WC NZ SCCLASSIC N87/G31 AUTO +R</v>
          </cell>
        </row>
        <row r="875">
          <cell r="B875" t="str">
            <v>SCNZN87Z-P</v>
          </cell>
          <cell r="C875" t="str">
            <v>WSCN878R-SPN04E</v>
          </cell>
          <cell r="D875">
            <v>1</v>
          </cell>
          <cell r="E875" t="str">
            <v>AB PP WC NZ SCCLASSIC N87/G31 AUTO +L</v>
          </cell>
        </row>
        <row r="876">
          <cell r="B876" t="str">
            <v>SCNZN88-P</v>
          </cell>
          <cell r="C876" t="str">
            <v>WSCN88AL-CPN04E</v>
          </cell>
          <cell r="D876">
            <v>1</v>
          </cell>
          <cell r="E876" t="str">
            <v>AB PP WC NZ SCCLASSIC DIN88 AUTO +R</v>
          </cell>
        </row>
        <row r="877">
          <cell r="B877" t="str">
            <v>SCNZNS40ZAL-P</v>
          </cell>
          <cell r="C877" t="str">
            <v>WSCB203Z-CPN04E</v>
          </cell>
          <cell r="D877">
            <v>1</v>
          </cell>
          <cell r="E877" t="str">
            <v>AB PP WC NZ SC CLASSIC B20/NS40 DFP +R</v>
          </cell>
        </row>
        <row r="878">
          <cell r="B878" t="str">
            <v>SCNZNS40ZL-P</v>
          </cell>
          <cell r="C878" t="str">
            <v>WSCB203L-CPN04E</v>
          </cell>
          <cell r="D878">
            <v>1</v>
          </cell>
          <cell r="E878" t="str">
            <v>AB PP WC NZ SCCLASSIC B20/NS40 JIS +R</v>
          </cell>
        </row>
        <row r="879">
          <cell r="B879" t="str">
            <v>SCNZNS50PL-P</v>
          </cell>
          <cell r="C879" t="str">
            <v>WSCA465Z-SPN04E</v>
          </cell>
          <cell r="D879">
            <v>1</v>
          </cell>
          <cell r="E879" t="str">
            <v>AB PP WC NZ SCCLASSIC NS550PL AUTO +R</v>
          </cell>
        </row>
        <row r="880">
          <cell r="B880" t="str">
            <v>SCNZNS50P-P</v>
          </cell>
          <cell r="C880" t="str">
            <v>WSCD235R-SPN04E</v>
          </cell>
          <cell r="D880">
            <v>1</v>
          </cell>
          <cell r="E880" t="str">
            <v>AB PP WC NZ SCCLASSIC NS50P AUTO +L</v>
          </cell>
        </row>
        <row r="881">
          <cell r="B881" t="str">
            <v>SCNZNS50ZL-P</v>
          </cell>
          <cell r="C881" t="str">
            <v>WSCA464Z-SPN04E</v>
          </cell>
          <cell r="D881">
            <v>1</v>
          </cell>
          <cell r="E881" t="str">
            <v>AB PP WC NZ SCCLASSIC NS50ZL AUTO +R</v>
          </cell>
        </row>
        <row r="882">
          <cell r="B882" t="str">
            <v>SCNZNS50Z-P</v>
          </cell>
          <cell r="C882" t="str">
            <v>WSCA464R-SPN04E</v>
          </cell>
          <cell r="D882">
            <v>1</v>
          </cell>
          <cell r="E882" t="str">
            <v>AB PP WC NZ SCCLASSIC NS50Z AUTO +L</v>
          </cell>
        </row>
        <row r="883">
          <cell r="B883" t="str">
            <v>SCNZNS51PL-P</v>
          </cell>
          <cell r="C883" t="str">
            <v>WSCA465X-SPN04E</v>
          </cell>
          <cell r="D883">
            <v>1</v>
          </cell>
          <cell r="E883" t="str">
            <v>DO NOT USE! NO BOM USE SCNZNS50PL-P</v>
          </cell>
        </row>
        <row r="884">
          <cell r="B884" t="str">
            <v>SCNZNS70L-P</v>
          </cell>
          <cell r="C884" t="str">
            <v>WSCD265L-SPN04E</v>
          </cell>
          <cell r="D884">
            <v>1</v>
          </cell>
          <cell r="E884" t="str">
            <v>AB PP WC NZ SCCLASSIC NS70L AUTO +R</v>
          </cell>
        </row>
        <row r="885">
          <cell r="B885" t="str">
            <v>SCNZNS70-P</v>
          </cell>
          <cell r="C885" t="str">
            <v>WSCD265R-SPN04E</v>
          </cell>
          <cell r="D885">
            <v>1</v>
          </cell>
          <cell r="E885" t="str">
            <v>AB PP WC NZ SCCLASSIC NS70 AUTO +L</v>
          </cell>
        </row>
        <row r="886">
          <cell r="B886" t="str">
            <v>SLD26BL-P-ST</v>
          </cell>
          <cell r="C886" t="str">
            <v>WSLD26DL-CP300L</v>
          </cell>
          <cell r="D886">
            <v>1</v>
          </cell>
          <cell r="E886" t="str">
            <v>AB PP WC TCT-SLITE SILVERTONE D26L-MF +R</v>
          </cell>
        </row>
        <row r="887">
          <cell r="B887" t="str">
            <v>SLD31BL-P-ST</v>
          </cell>
          <cell r="C887" t="str">
            <v>WSLD31FL-CP300L</v>
          </cell>
          <cell r="D887">
            <v>1</v>
          </cell>
          <cell r="E887" t="str">
            <v>AB PP WC TCT-SLITE SILVERTONE D31L-MF +R</v>
          </cell>
        </row>
        <row r="888">
          <cell r="B888" t="str">
            <v>SLG31A9-P-ST</v>
          </cell>
          <cell r="C888" t="str">
            <v>WSLB319E-CPP00L</v>
          </cell>
          <cell r="D888">
            <v>1</v>
          </cell>
          <cell r="E888" t="str">
            <v>AB PP WC TCT-SLITE SILVERTONE G31 AUTO +</v>
          </cell>
        </row>
        <row r="889">
          <cell r="B889" t="str">
            <v>SME41BLD-P</v>
          </cell>
          <cell r="C889" t="str">
            <v>ESRE41PL-SPN00L</v>
          </cell>
          <cell r="D889">
            <v>1</v>
          </cell>
          <cell r="E889" t="str">
            <v>AB PP DC SOLAR-MASTER 6SMF/E41BL +R</v>
          </cell>
        </row>
        <row r="890">
          <cell r="B890" t="str">
            <v>SP55D23L-MF-P</v>
          </cell>
          <cell r="C890" t="str">
            <v>WSPD234L-CP410E</v>
          </cell>
          <cell r="D890">
            <v>1</v>
          </cell>
          <cell r="E890" t="str">
            <v>AB PP WC RUS-SPOWER 55D23L-MF +R</v>
          </cell>
        </row>
        <row r="891">
          <cell r="B891" t="str">
            <v>SP55D23R-MF-P</v>
          </cell>
          <cell r="C891" t="str">
            <v>WSPD234R-CP410E</v>
          </cell>
          <cell r="D891">
            <v>1</v>
          </cell>
          <cell r="E891" t="str">
            <v>AB PP WC RUS-SPOWER 55D23R-MF +L</v>
          </cell>
        </row>
        <row r="892">
          <cell r="B892" t="str">
            <v>SPB20BL-P</v>
          </cell>
          <cell r="C892" t="str">
            <v>WSPB203B-CP210E</v>
          </cell>
          <cell r="D892">
            <v>1</v>
          </cell>
          <cell r="E892" t="str">
            <v>AB PP WC RUS-SPOWER NS40 +R 330A SML</v>
          </cell>
        </row>
        <row r="893">
          <cell r="B893" t="str">
            <v>SPB20BR-P</v>
          </cell>
          <cell r="C893" t="str">
            <v>WSPB203A-CP210E</v>
          </cell>
          <cell r="D893">
            <v>1</v>
          </cell>
          <cell r="E893" t="str">
            <v>AB PP WC SUPER POWER B20 +L JIS RUSSIA</v>
          </cell>
        </row>
        <row r="894">
          <cell r="B894" t="str">
            <v>SPC24CL-MF-P</v>
          </cell>
          <cell r="C894" t="str">
            <v>WSPC24EL-CPN00L</v>
          </cell>
          <cell r="D894">
            <v>1</v>
          </cell>
          <cell r="E894" t="str">
            <v>AB PP WC SUPERPOWER 1SNF/C24CL MF +R</v>
          </cell>
        </row>
        <row r="895">
          <cell r="B895" t="str">
            <v>SPD23BL-MF-P</v>
          </cell>
          <cell r="C895" t="str">
            <v>WSPD23EL-CPN00L</v>
          </cell>
          <cell r="D895">
            <v>1</v>
          </cell>
          <cell r="E895" t="str">
            <v>AB PP WC SUPERPOWER 1SMF/D23BL MF +R</v>
          </cell>
        </row>
        <row r="896">
          <cell r="B896" t="str">
            <v>SPD26CL-MF-P</v>
          </cell>
          <cell r="C896" t="str">
            <v>WSPD26EL-CPN00L</v>
          </cell>
          <cell r="D896">
            <v>1</v>
          </cell>
          <cell r="E896" t="str">
            <v>AB PP WC SUPERPOWER 2SMF/D26CL MF +R</v>
          </cell>
        </row>
        <row r="897">
          <cell r="B897" t="str">
            <v>SPD31CL-MF-P</v>
          </cell>
          <cell r="C897" t="str">
            <v>WSPD31EL-CPN00L</v>
          </cell>
          <cell r="D897">
            <v>1</v>
          </cell>
          <cell r="E897" t="str">
            <v>AB PP WC SUPERPOWER 3SMF/D31CL MF +R</v>
          </cell>
        </row>
        <row r="898">
          <cell r="B898" t="str">
            <v>SPG24-6MF</v>
          </cell>
          <cell r="C898" t="str">
            <v>WSPG246R-CP410E</v>
          </cell>
          <cell r="D898">
            <v>1</v>
          </cell>
          <cell r="E898" t="str">
            <v>AB PP WC RUS-SPOWER G24-630MF +L</v>
          </cell>
        </row>
        <row r="899">
          <cell r="B899" t="str">
            <v>SPG24-7MF</v>
          </cell>
          <cell r="C899" t="str">
            <v>WSPG247R-CP410E</v>
          </cell>
          <cell r="D899">
            <v>1</v>
          </cell>
          <cell r="E899" t="str">
            <v>AB PP WC RUS-SPOWER G24-720MF +L</v>
          </cell>
        </row>
        <row r="900">
          <cell r="B900" t="str">
            <v>SPG24F-6MF</v>
          </cell>
          <cell r="C900" t="str">
            <v>WSPG246L-CP410E</v>
          </cell>
          <cell r="D900">
            <v>1</v>
          </cell>
          <cell r="E900" t="str">
            <v>AB PP WC RUS-SPOWER G24-630MF +R</v>
          </cell>
        </row>
        <row r="901">
          <cell r="B901" t="str">
            <v>SPG24F-7MF</v>
          </cell>
          <cell r="C901" t="str">
            <v>WSPG247L-CP410E</v>
          </cell>
          <cell r="D901">
            <v>1</v>
          </cell>
          <cell r="E901" t="str">
            <v>AB PP WC RUS-SPOWER G24-720MF +R</v>
          </cell>
        </row>
        <row r="902">
          <cell r="B902" t="str">
            <v>SPG27-8MF</v>
          </cell>
          <cell r="C902" t="str">
            <v>WSPG278R-CP410E</v>
          </cell>
          <cell r="D902">
            <v>1</v>
          </cell>
          <cell r="E902" t="str">
            <v>AB PP WC RUS-SPOWER G27-850MF +L</v>
          </cell>
        </row>
        <row r="903">
          <cell r="B903" t="str">
            <v>SPG27F-8MF</v>
          </cell>
          <cell r="C903" t="str">
            <v>WSPG278L-CP410E</v>
          </cell>
          <cell r="D903">
            <v>1</v>
          </cell>
          <cell r="E903" t="str">
            <v>AB PP WC RUS-SPOWER G27-840MF +R</v>
          </cell>
        </row>
        <row r="904">
          <cell r="B904" t="str">
            <v>SPG31A-9MF</v>
          </cell>
          <cell r="C904" t="str">
            <v>WSPB319R-CP210E</v>
          </cell>
          <cell r="D904">
            <v>1</v>
          </cell>
          <cell r="E904" t="str">
            <v>AB PP WC RUS-SPOWER G31-930MF AUTO</v>
          </cell>
        </row>
        <row r="905">
          <cell r="B905" t="str">
            <v>SPG31S-9MF</v>
          </cell>
          <cell r="C905" t="str">
            <v>WSPB31ZT-CP210E</v>
          </cell>
          <cell r="D905">
            <v>1</v>
          </cell>
          <cell r="E905" t="str">
            <v>AB PP WC RUS-SPOWER G31-930MF STUD</v>
          </cell>
        </row>
        <row r="906">
          <cell r="B906" t="str">
            <v>SPG51-4MF</v>
          </cell>
          <cell r="C906" t="str">
            <v>WSPB244A-CP410E</v>
          </cell>
          <cell r="D906">
            <v>1</v>
          </cell>
          <cell r="E906" t="str">
            <v>AB PP WC RUS-SPOWER G51-4MF +L SML-P</v>
          </cell>
        </row>
        <row r="907">
          <cell r="B907" t="str">
            <v>SPG51R-4MF</v>
          </cell>
          <cell r="C907" t="str">
            <v>WSPB244B-CP410E</v>
          </cell>
          <cell r="D907">
            <v>1</v>
          </cell>
          <cell r="E907" t="str">
            <v>AB PP WC RUS-SPOWER G51R-4MF +R SML-P</v>
          </cell>
        </row>
        <row r="908">
          <cell r="B908" t="str">
            <v>SSD31AR-MF-P</v>
          </cell>
          <cell r="C908" t="str">
            <v>WMCD31CR-SPN14E</v>
          </cell>
          <cell r="D908">
            <v>1</v>
          </cell>
          <cell r="E908" t="str">
            <v>AB PP WC SINMA-SNGPOR  D31+L WHT/BLK</v>
          </cell>
        </row>
        <row r="909">
          <cell r="B909" t="str">
            <v>SSMFG35-5-P</v>
          </cell>
          <cell r="C909" t="str">
            <v>WMGG35BL-TS314E</v>
          </cell>
          <cell r="D909">
            <v>1</v>
          </cell>
          <cell r="E909" t="str">
            <v>AB PP WC SINMA-SNGPOR SEALED G35-5 +R</v>
          </cell>
        </row>
        <row r="910">
          <cell r="B910" t="str">
            <v>SSMFG49-P</v>
          </cell>
          <cell r="C910" t="str">
            <v>WMGG49AL-TS114E</v>
          </cell>
          <cell r="D910">
            <v>1</v>
          </cell>
          <cell r="E910" t="str">
            <v>AB PP WC SINMA-SNGPOR G49/DIN100 MF BLK</v>
          </cell>
        </row>
        <row r="911">
          <cell r="B911" t="str">
            <v>SSMFN200-P</v>
          </cell>
          <cell r="C911" t="str">
            <v>WMGH52EL-TS314E</v>
          </cell>
          <cell r="D911">
            <v>1</v>
          </cell>
          <cell r="E911" t="str">
            <v>AB PP WC SINMA SINGAPORE TOT-SEALED N200</v>
          </cell>
        </row>
        <row r="912">
          <cell r="B912" t="str">
            <v>SSMFN55-P</v>
          </cell>
          <cell r="C912" t="str">
            <v>WMGN55EL-TS114E</v>
          </cell>
          <cell r="D912">
            <v>1</v>
          </cell>
          <cell r="E912" t="str">
            <v>AB PP WC SINMA-SNGPORE TOT-SLD DIN55 +R</v>
          </cell>
        </row>
        <row r="913">
          <cell r="B913" t="str">
            <v>SSMFN66-P</v>
          </cell>
          <cell r="C913" t="str">
            <v>WMGN66DL-TS114E</v>
          </cell>
          <cell r="D913">
            <v>1</v>
          </cell>
          <cell r="E913" t="str">
            <v>AB PP WC SINMA-SNGPORE TOT-SLD DIN66 +R</v>
          </cell>
        </row>
        <row r="914">
          <cell r="B914" t="str">
            <v>SSN200D-P</v>
          </cell>
          <cell r="C914" t="str">
            <v>DMTH52BL-SPN14E</v>
          </cell>
          <cell r="D914">
            <v>1</v>
          </cell>
          <cell r="E914" t="str">
            <v>AB PP DC SINMA TMASTER 8D/H52 (N200)</v>
          </cell>
        </row>
        <row r="915">
          <cell r="B915" t="str">
            <v>SSN70ZL-P</v>
          </cell>
          <cell r="C915" t="str">
            <v>WMGG27EL-TS314E</v>
          </cell>
          <cell r="D915">
            <v>1</v>
          </cell>
          <cell r="E915" t="str">
            <v>AB PP WC SINMA-SPORE TTLY SLD G27 AUTO+R</v>
          </cell>
        </row>
        <row r="916">
          <cell r="B916" t="str">
            <v>SSN70Z-P</v>
          </cell>
          <cell r="C916" t="str">
            <v>WMGG27ER-TS314E</v>
          </cell>
          <cell r="D916">
            <v>1</v>
          </cell>
          <cell r="E916" t="str">
            <v>AB PP WC SINMA-SNGPOR TOT-SLD G27 AUTO+L</v>
          </cell>
        </row>
        <row r="917">
          <cell r="B917" t="str">
            <v>SSNS40ZL(O)-P</v>
          </cell>
          <cell r="C917" t="str">
            <v>WMGB20CB-TS114E</v>
          </cell>
          <cell r="D917">
            <v>1</v>
          </cell>
          <cell r="E917" t="str">
            <v>AB PP WC SINMA-SNGPOR TOT-NS40Z OFFSET</v>
          </cell>
        </row>
        <row r="918">
          <cell r="B918" t="str">
            <v>SSNS50L-P</v>
          </cell>
          <cell r="C918" t="str">
            <v>WMGD23BL-CP314E</v>
          </cell>
          <cell r="D918">
            <v>1</v>
          </cell>
          <cell r="E918" t="str">
            <v>AB PP WC SINMA-SNGPOR TOT-SLD D23 AUTO+R</v>
          </cell>
        </row>
        <row r="919">
          <cell r="B919" t="str">
            <v>SSNS50-P</v>
          </cell>
          <cell r="C919" t="str">
            <v>WMGD23BR-CP314E</v>
          </cell>
          <cell r="D919">
            <v>1</v>
          </cell>
          <cell r="E919" t="str">
            <v>AB PP WC SINMA-SNGPOR TOT-SLD D23 AUTO+L</v>
          </cell>
        </row>
        <row r="920">
          <cell r="B920" t="str">
            <v>SSNS60L-P</v>
          </cell>
          <cell r="C920" t="str">
            <v>WMGB24BB-TS314E</v>
          </cell>
          <cell r="D920">
            <v>1</v>
          </cell>
          <cell r="E920" t="str">
            <v>AB PP WC SINMA-SNGPORE TOT-SLD NS60 +R</v>
          </cell>
        </row>
        <row r="921">
          <cell r="B921" t="str">
            <v>SSNS60LS-P</v>
          </cell>
          <cell r="C921" t="str">
            <v>WMGB24BL-TS314E</v>
          </cell>
          <cell r="D921">
            <v>1</v>
          </cell>
          <cell r="E921" t="str">
            <v>AB PP WC SINMA-SNGPOR TOT-SLD B24 AUTO+R</v>
          </cell>
        </row>
        <row r="922">
          <cell r="B922" t="str">
            <v>SSNS60-P</v>
          </cell>
          <cell r="C922" t="str">
            <v>WMGB24BA-TS314E</v>
          </cell>
          <cell r="D922">
            <v>1</v>
          </cell>
          <cell r="E922" t="str">
            <v>AB PP WC SINMA-SNGPORE TOT-SLD NS60 +L</v>
          </cell>
        </row>
        <row r="923">
          <cell r="B923" t="str">
            <v>SSNS60S-P</v>
          </cell>
          <cell r="C923" t="str">
            <v>WMGB24BR-TS314E</v>
          </cell>
          <cell r="D923">
            <v>1</v>
          </cell>
          <cell r="E923" t="str">
            <v>AB PP WC SINMA-SNGPOR TOT-SLD B24 AUTO+L</v>
          </cell>
        </row>
        <row r="924">
          <cell r="B924" t="str">
            <v>SSNS70L-P</v>
          </cell>
          <cell r="C924" t="str">
            <v>WMGG24DL-TS314E</v>
          </cell>
          <cell r="D924">
            <v>1</v>
          </cell>
          <cell r="E924" t="str">
            <v>AB PP WC SINMA-SINGAPORE NS70L +R</v>
          </cell>
        </row>
        <row r="925">
          <cell r="B925" t="str">
            <v>SSNS70-P</v>
          </cell>
          <cell r="C925" t="str">
            <v>WMGG24DR-TS314E</v>
          </cell>
          <cell r="D925">
            <v>1</v>
          </cell>
          <cell r="E925" t="str">
            <v>AB PP WC SINMA-SINGAPORE NS70 +R</v>
          </cell>
        </row>
        <row r="926">
          <cell r="B926" t="str">
            <v>SUNN120P</v>
          </cell>
          <cell r="C926" t="str">
            <v>DSCF51CL-SPN12E</v>
          </cell>
          <cell r="D926">
            <v>1</v>
          </cell>
          <cell r="E926" t="str">
            <v>AB PP DC CHINA-SUNNY N120/2D</v>
          </cell>
        </row>
        <row r="927">
          <cell r="B927" t="str">
            <v>SUNN150P</v>
          </cell>
          <cell r="C927" t="str">
            <v>DSCG51BL-SPN12E</v>
          </cell>
          <cell r="D927">
            <v>1</v>
          </cell>
          <cell r="E927" t="str">
            <v>AB PP DC CHINA-SUNNY N150/4D</v>
          </cell>
        </row>
        <row r="928">
          <cell r="B928" t="str">
            <v>SUNN200P</v>
          </cell>
          <cell r="C928" t="str">
            <v>DSCH52FL-SPN12E</v>
          </cell>
          <cell r="D928">
            <v>1</v>
          </cell>
          <cell r="E928" t="str">
            <v>AB PP DC CHINA-SUNNY N200/8D</v>
          </cell>
        </row>
        <row r="929">
          <cell r="B929" t="str">
            <v>SVDIN55-MF-P</v>
          </cell>
          <cell r="C929" t="str">
            <v>WMGN55EL-CP125E</v>
          </cell>
          <cell r="D929">
            <v>1</v>
          </cell>
          <cell r="E929" t="str">
            <v>AB PP WC MGOLD SAGIMEXCO DIN55 B3 +R</v>
          </cell>
        </row>
        <row r="930">
          <cell r="B930" t="str">
            <v>SVDIN66-MF-P</v>
          </cell>
          <cell r="C930" t="str">
            <v>WMGN66DL-CP125E</v>
          </cell>
          <cell r="D930">
            <v>1</v>
          </cell>
          <cell r="E930" t="str">
            <v>AB PP WC MGOLD VIETNAM DIN66 B3 +R</v>
          </cell>
        </row>
        <row r="931">
          <cell r="B931" t="str">
            <v>SVG34/78-6MF</v>
          </cell>
          <cell r="C931" t="str">
            <v>WMGD78DD-CP325E</v>
          </cell>
          <cell r="D931">
            <v>1</v>
          </cell>
          <cell r="E931" t="str">
            <v>AB PP WC MGOLD SAGIMEXCO G34/78-6MF +R</v>
          </cell>
        </row>
        <row r="932">
          <cell r="B932" t="str">
            <v>TBD23BL-P-TY</v>
          </cell>
          <cell r="C932" t="str">
            <v>WTBD23CL-CPNTYL</v>
          </cell>
          <cell r="D932">
            <v>1</v>
          </cell>
          <cell r="E932" t="str">
            <v>AB PP WC TURBO 1SMF/D23BL +R - TOYOTA</v>
          </cell>
        </row>
        <row r="933">
          <cell r="B933" t="str">
            <v>TBD26CL-P-TY</v>
          </cell>
          <cell r="C933" t="str">
            <v>WTBD26EL-CPNTYL</v>
          </cell>
          <cell r="D933">
            <v>1</v>
          </cell>
          <cell r="E933" t="str">
            <v>AB PP WC TURBO 2SMF/D26CL +R - TOYOTA</v>
          </cell>
        </row>
        <row r="934">
          <cell r="B934" t="str">
            <v>UCLG49-MF-P</v>
          </cell>
          <cell r="C934" t="str">
            <v>UCLG49AL-CP115E</v>
          </cell>
          <cell r="D934">
            <v>1</v>
          </cell>
          <cell r="E934" t="str">
            <v>AB PP UB ABM-CHALLENGER DIN100/G49 +R</v>
          </cell>
        </row>
        <row r="935">
          <cell r="B935" t="str">
            <v>UCLMFN55-P</v>
          </cell>
          <cell r="C935" t="str">
            <v>UCLN55EL-CP115E</v>
          </cell>
          <cell r="D935">
            <v>1</v>
          </cell>
          <cell r="E935" t="str">
            <v>AB PP UB ABM-CHALLENGER DIN55-MF +R</v>
          </cell>
        </row>
        <row r="936">
          <cell r="B936" t="str">
            <v>UCLMFN66-P</v>
          </cell>
          <cell r="C936" t="str">
            <v>UCLN66DL-CP115E</v>
          </cell>
          <cell r="D936">
            <v>1</v>
          </cell>
          <cell r="E936" t="str">
            <v>AB PP UB ABM-CHALLENGER DIN66-MF +R</v>
          </cell>
        </row>
        <row r="937">
          <cell r="B937" t="str">
            <v>UCLMFN88-P</v>
          </cell>
          <cell r="C937" t="str">
            <v>UCLN88BL-CP115E</v>
          </cell>
          <cell r="D937">
            <v>1</v>
          </cell>
          <cell r="E937" t="str">
            <v>AB PP UB ABM-CHALLENGER DIN88-MF +R</v>
          </cell>
        </row>
        <row r="938">
          <cell r="B938" t="str">
            <v>UCLN50ZL-MF-P</v>
          </cell>
          <cell r="C938" t="str">
            <v>UCLG24CL-CP315E</v>
          </cell>
          <cell r="D938">
            <v>1</v>
          </cell>
          <cell r="E938" t="str">
            <v>AB PP UB ABM-CHALLENGER N50ZL-MF +R</v>
          </cell>
        </row>
        <row r="939">
          <cell r="B939" t="str">
            <v>UCLN50Z-MF-P</v>
          </cell>
          <cell r="C939" t="str">
            <v>UCLG24CR-CP315E</v>
          </cell>
          <cell r="D939">
            <v>1</v>
          </cell>
          <cell r="E939" t="str">
            <v>AB PP UB ABM-CHALLENGER N50Z-MF +L</v>
          </cell>
        </row>
        <row r="940">
          <cell r="B940" t="str">
            <v>UCLN70L-MF-P</v>
          </cell>
          <cell r="C940" t="str">
            <v>UCLG27CL-CP315E</v>
          </cell>
          <cell r="D940">
            <v>1</v>
          </cell>
          <cell r="E940" t="str">
            <v>AB PP UB ABM-CHALLENGER N70L-MF +R</v>
          </cell>
        </row>
        <row r="941">
          <cell r="B941" t="str">
            <v>UCLN70-MF-P</v>
          </cell>
          <cell r="C941" t="str">
            <v>UCLG27CR-CP315E</v>
          </cell>
          <cell r="D941">
            <v>1</v>
          </cell>
          <cell r="E941" t="str">
            <v>AB PP UB ABM-CHALLENGER N70-MF +L</v>
          </cell>
        </row>
        <row r="942">
          <cell r="B942" t="str">
            <v>UCLN70ZL-MF-P</v>
          </cell>
          <cell r="C942" t="str">
            <v>UCLG27EL-CP315E</v>
          </cell>
          <cell r="D942">
            <v>1</v>
          </cell>
          <cell r="E942" t="str">
            <v>AB PP UB ABM-CHALLENGER N70ZL-MF +R</v>
          </cell>
        </row>
        <row r="943">
          <cell r="B943" t="str">
            <v>UCLN70Z-MF-P</v>
          </cell>
          <cell r="C943" t="str">
            <v>UCLG27ER-CP315E</v>
          </cell>
          <cell r="D943">
            <v>1</v>
          </cell>
          <cell r="E943" t="str">
            <v>AB PP UB ABM-CHALLENGER N70Z-MF + L</v>
          </cell>
        </row>
        <row r="944">
          <cell r="B944" t="str">
            <v>UCLNS50L-MF-P</v>
          </cell>
          <cell r="C944" t="str">
            <v>UCLD23BL-CP315E</v>
          </cell>
          <cell r="D944">
            <v>1</v>
          </cell>
          <cell r="E944" t="str">
            <v>AB PP UB ABM-CHALLENGER NS50L-MF +R</v>
          </cell>
        </row>
        <row r="945">
          <cell r="B945" t="str">
            <v>UCLNS50-MF-P</v>
          </cell>
          <cell r="C945" t="str">
            <v>UCLD23BR-CP315E</v>
          </cell>
          <cell r="D945">
            <v>1</v>
          </cell>
          <cell r="E945" t="str">
            <v>AB PP UB ABM-CHALLENGER NS50-MF +L</v>
          </cell>
        </row>
        <row r="946">
          <cell r="B946" t="str">
            <v>UCLNS50ZL-MF-P</v>
          </cell>
          <cell r="C946" t="str">
            <v>UCLD23DL-CP315E</v>
          </cell>
          <cell r="D946">
            <v>1</v>
          </cell>
          <cell r="E946" t="str">
            <v>AB PP UB ABM-CHALLENGER NS50ZL-MF +R</v>
          </cell>
        </row>
        <row r="947">
          <cell r="B947" t="str">
            <v>UCLNS50Z-MF-P</v>
          </cell>
          <cell r="C947" t="str">
            <v>UCLD23DR-CP315E</v>
          </cell>
          <cell r="D947">
            <v>1</v>
          </cell>
          <cell r="E947" t="str">
            <v>AB PP UB ABM-CHALLENGER NS50Z-MF +L</v>
          </cell>
        </row>
        <row r="948">
          <cell r="B948" t="str">
            <v>UCLNS60L-MF-P</v>
          </cell>
          <cell r="C948" t="str">
            <v>UCLB24BB-CP315E</v>
          </cell>
          <cell r="D948">
            <v>1</v>
          </cell>
          <cell r="E948" t="str">
            <v>AB PP UB ABM-CHALLENGER NS60L-MF +R</v>
          </cell>
        </row>
        <row r="949">
          <cell r="B949" t="str">
            <v>UCLNS60LS-MF-P</v>
          </cell>
          <cell r="C949" t="str">
            <v>UCLB24BL-CP315E</v>
          </cell>
          <cell r="D949">
            <v>1</v>
          </cell>
          <cell r="E949" t="str">
            <v>AB PP UB ABM-CHALLENGER NS60LS-MF +R</v>
          </cell>
        </row>
        <row r="950">
          <cell r="B950" t="str">
            <v>UCLNS60-MF-P</v>
          </cell>
          <cell r="C950" t="str">
            <v>UCLB24BA-CP315E</v>
          </cell>
          <cell r="D950">
            <v>1</v>
          </cell>
          <cell r="E950" t="str">
            <v>AB PP UB ABM-CHALLENGER NS60-MF +L</v>
          </cell>
        </row>
        <row r="951">
          <cell r="B951" t="str">
            <v>UCLNS60S-MF-P</v>
          </cell>
          <cell r="C951" t="str">
            <v>UCLB24BR-CP315E</v>
          </cell>
          <cell r="D951">
            <v>1</v>
          </cell>
          <cell r="E951" t="str">
            <v>AB PP UB ABM-CHALLENGER NS60S-MF +L</v>
          </cell>
        </row>
        <row r="952">
          <cell r="B952" t="str">
            <v>UCLNS60ZL-MF-P</v>
          </cell>
          <cell r="C952" t="str">
            <v>UCLB24DB-CP315E</v>
          </cell>
          <cell r="D952">
            <v>1</v>
          </cell>
          <cell r="E952" t="str">
            <v>AB PP UB ABM-CHALLENGER NS60ZL-MF +R</v>
          </cell>
        </row>
        <row r="953">
          <cell r="B953" t="str">
            <v>UCLNS60Z-MF-P</v>
          </cell>
          <cell r="C953" t="str">
            <v>UCLB24DA-CP315E</v>
          </cell>
          <cell r="D953">
            <v>1</v>
          </cell>
          <cell r="E953" t="str">
            <v>AB PP UB ABM-CHALLENGER NS60Z-MF +L</v>
          </cell>
        </row>
        <row r="954">
          <cell r="B954" t="str">
            <v>UCLNS70L-MF-P</v>
          </cell>
          <cell r="C954" t="str">
            <v>UCLG24DL-CP315E</v>
          </cell>
          <cell r="D954">
            <v>1</v>
          </cell>
          <cell r="E954" t="str">
            <v>AB PP UB ABM-CHALLENGER NS70L-MF +R</v>
          </cell>
        </row>
        <row r="955">
          <cell r="B955" t="str">
            <v>UCLNS70-MF-P</v>
          </cell>
          <cell r="C955" t="str">
            <v>UCLG24DR-CP315E</v>
          </cell>
          <cell r="D955">
            <v>1</v>
          </cell>
          <cell r="E955" t="str">
            <v>AB PP UB ABM-CHALLENGER NS70-MF +L</v>
          </cell>
        </row>
        <row r="956">
          <cell r="B956" t="str">
            <v>UCLNX110L-MF-P</v>
          </cell>
          <cell r="C956" t="str">
            <v>UCLG24EL-CP315E</v>
          </cell>
          <cell r="D956">
            <v>1</v>
          </cell>
          <cell r="E956" t="str">
            <v>AB PP UB ABM-CHALLENGER NX110L-MF +R</v>
          </cell>
        </row>
        <row r="957">
          <cell r="B957" t="str">
            <v>UCLNX110-MF-P</v>
          </cell>
          <cell r="C957" t="str">
            <v>UCLG24ER-CP315E</v>
          </cell>
          <cell r="D957">
            <v>1</v>
          </cell>
          <cell r="E957" t="str">
            <v>AB PP UB ABM-CHALLENGER NX110-MF +L</v>
          </cell>
        </row>
        <row r="958">
          <cell r="B958" t="str">
            <v>UCLNX120L-MF-P</v>
          </cell>
          <cell r="C958" t="str">
            <v>UCLG27GL-CP315E</v>
          </cell>
          <cell r="D958">
            <v>1</v>
          </cell>
          <cell r="E958" t="str">
            <v>AB PP UB ABM-CHALLENGER NX120L-MF +R</v>
          </cell>
        </row>
        <row r="959">
          <cell r="B959" t="str">
            <v>UCLNX120-MF-P</v>
          </cell>
          <cell r="C959" t="str">
            <v>UCLG27GR-CP315E</v>
          </cell>
          <cell r="D959">
            <v>1</v>
          </cell>
          <cell r="E959" t="str">
            <v>AB PP UB ABM-CHALLENGER NX120-MF +L</v>
          </cell>
        </row>
        <row r="960">
          <cell r="B960" t="str">
            <v>UFYG49-MF-P</v>
          </cell>
          <cell r="C960" t="str">
            <v>UFJG49AL-CP115E</v>
          </cell>
          <cell r="D960">
            <v>1</v>
          </cell>
          <cell r="E960" t="str">
            <v>AB PP UB ABM-FUJIYA  DIN100/G49 +R</v>
          </cell>
        </row>
        <row r="961">
          <cell r="B961" t="str">
            <v>UFYMFN55-P</v>
          </cell>
          <cell r="C961" t="str">
            <v>UFJN55EL-CP115E</v>
          </cell>
          <cell r="D961">
            <v>1</v>
          </cell>
          <cell r="E961" t="str">
            <v>AB PP UB ABM-FUJIYA DIN55-MF +R</v>
          </cell>
        </row>
        <row r="962">
          <cell r="B962" t="str">
            <v>UFYMFN66-P</v>
          </cell>
          <cell r="C962" t="str">
            <v>UFJN66DL-CP115E</v>
          </cell>
          <cell r="D962">
            <v>1</v>
          </cell>
          <cell r="E962" t="str">
            <v>AB PP UB ABM-FUJIYA DIN66-MF +R</v>
          </cell>
        </row>
        <row r="963">
          <cell r="B963" t="str">
            <v>UFYMFN88-P</v>
          </cell>
          <cell r="C963" t="str">
            <v>UFJN88BL-CP115E</v>
          </cell>
          <cell r="D963">
            <v>1</v>
          </cell>
          <cell r="E963" t="str">
            <v>AB PP UB ABM-FUJIYA DIN88-MF +R</v>
          </cell>
        </row>
        <row r="964">
          <cell r="B964" t="str">
            <v>UFYN50ZL-MF-P</v>
          </cell>
          <cell r="C964" t="str">
            <v>UFJG24CL-CP315E</v>
          </cell>
          <cell r="D964">
            <v>1</v>
          </cell>
          <cell r="E964" t="str">
            <v>AB PP UB ABM-FUJIYA N50ZL-MF +R</v>
          </cell>
        </row>
        <row r="965">
          <cell r="B965" t="str">
            <v>UFYN50Z-MF-P</v>
          </cell>
          <cell r="C965" t="str">
            <v>UFJG24CR-CP315E</v>
          </cell>
          <cell r="D965">
            <v>1</v>
          </cell>
          <cell r="E965" t="str">
            <v>AB PP UB ABM-FUJIYA N50Z-MF +L</v>
          </cell>
        </row>
        <row r="966">
          <cell r="B966" t="str">
            <v>UFYN70L-MF-P</v>
          </cell>
          <cell r="C966" t="str">
            <v>UFJG27CL-CP315E</v>
          </cell>
          <cell r="D966">
            <v>1</v>
          </cell>
          <cell r="E966" t="str">
            <v>AB PP UB ABM-FUJIYA N70L-MF +R</v>
          </cell>
        </row>
        <row r="967">
          <cell r="B967" t="str">
            <v>UFYN70-MF-P</v>
          </cell>
          <cell r="C967" t="str">
            <v>UFJG27CR-CP315E</v>
          </cell>
          <cell r="D967">
            <v>1</v>
          </cell>
          <cell r="E967" t="str">
            <v>AB PP UB ABM-FUJIYA N70-MF +L</v>
          </cell>
        </row>
        <row r="968">
          <cell r="B968" t="str">
            <v>UFYN70ZL-MF-P</v>
          </cell>
          <cell r="C968" t="str">
            <v>UFJG27EL-CP315E</v>
          </cell>
          <cell r="D968">
            <v>1</v>
          </cell>
          <cell r="E968" t="str">
            <v>AB PP UB ABM-FUJIYA N70ZL-MF +R</v>
          </cell>
        </row>
        <row r="969">
          <cell r="B969" t="str">
            <v>UFYN70Z-MF-P</v>
          </cell>
          <cell r="C969" t="str">
            <v>UFJG27ER-CP315E</v>
          </cell>
          <cell r="D969">
            <v>1</v>
          </cell>
          <cell r="E969" t="str">
            <v>AB PP UB ABM-FUJIYA N70Z-MF + L</v>
          </cell>
        </row>
        <row r="970">
          <cell r="B970" t="str">
            <v>UFYNS50L-MF-P</v>
          </cell>
          <cell r="C970" t="str">
            <v>UFJD23BL-CP315E</v>
          </cell>
          <cell r="D970">
            <v>1</v>
          </cell>
          <cell r="E970" t="str">
            <v>AB PP UB ABM-FUJIYA NS50L-MF +R</v>
          </cell>
        </row>
        <row r="971">
          <cell r="B971" t="str">
            <v>UFYNS50-MF-P</v>
          </cell>
          <cell r="C971" t="str">
            <v>UFJD23BR-CP315E</v>
          </cell>
          <cell r="D971">
            <v>1</v>
          </cell>
          <cell r="E971" t="str">
            <v>AB PP UB ABM-FUJIYA NS50-MF +L</v>
          </cell>
        </row>
        <row r="972">
          <cell r="B972" t="str">
            <v>UFYNS50ZL-MF-P</v>
          </cell>
          <cell r="C972" t="str">
            <v>UFJD23DL-CP315E</v>
          </cell>
          <cell r="D972">
            <v>1</v>
          </cell>
          <cell r="E972" t="str">
            <v>AB PP UB ABM-FUJIYA NS50ZL-MF +R</v>
          </cell>
        </row>
        <row r="973">
          <cell r="B973" t="str">
            <v>UFYNS50Z-MF-P</v>
          </cell>
          <cell r="C973" t="str">
            <v>UFJD23DR-CP315E</v>
          </cell>
          <cell r="D973">
            <v>1</v>
          </cell>
          <cell r="E973" t="str">
            <v>AB PP UB ABM-FUJIYA NS50Z-MF +L</v>
          </cell>
        </row>
        <row r="974">
          <cell r="B974" t="str">
            <v>UFYNS60L-MF-P</v>
          </cell>
          <cell r="C974" t="str">
            <v>UFJB24BB-CP315E</v>
          </cell>
          <cell r="D974">
            <v>1</v>
          </cell>
          <cell r="E974" t="str">
            <v>AB PP UB ABM-FUJIYA NS60L-MF +R</v>
          </cell>
        </row>
        <row r="975">
          <cell r="B975" t="str">
            <v>UFYNS60LS-MF-P</v>
          </cell>
          <cell r="C975" t="str">
            <v>UFJB24BL-CP315E</v>
          </cell>
          <cell r="D975">
            <v>1</v>
          </cell>
          <cell r="E975" t="str">
            <v>AB PP UB ABM-FUJIYA NS60LS-MF +R</v>
          </cell>
        </row>
        <row r="976">
          <cell r="B976" t="str">
            <v>UFYNS60-MF-P</v>
          </cell>
          <cell r="C976" t="str">
            <v>UFJB24BA-CP315E</v>
          </cell>
          <cell r="D976">
            <v>1</v>
          </cell>
          <cell r="E976" t="str">
            <v>AB PP UB ABM-FUJIYA NS60-MF +L</v>
          </cell>
        </row>
        <row r="977">
          <cell r="B977" t="str">
            <v>UFYNS60S-MF-P</v>
          </cell>
          <cell r="C977" t="str">
            <v>UFJB24BR-CP315E</v>
          </cell>
          <cell r="D977">
            <v>1</v>
          </cell>
          <cell r="E977" t="str">
            <v>AB PP UB ABM-FUJIYA NS60S-MF +L</v>
          </cell>
        </row>
        <row r="978">
          <cell r="B978" t="str">
            <v>UFYNS60ZL-MF-P</v>
          </cell>
          <cell r="C978" t="str">
            <v>UFJB24DB-CP315E</v>
          </cell>
          <cell r="D978">
            <v>1</v>
          </cell>
          <cell r="E978" t="str">
            <v>AB PP UB ABM-FUJIYA NS60ZL-MF +R</v>
          </cell>
        </row>
        <row r="979">
          <cell r="B979" t="str">
            <v>UFYNS60Z-MF-P</v>
          </cell>
          <cell r="C979" t="str">
            <v>UFJB24DA-CP315E</v>
          </cell>
          <cell r="D979">
            <v>1</v>
          </cell>
          <cell r="E979" t="str">
            <v>AB PP UB ABM-FUJIYA NS60Z-MF +L</v>
          </cell>
        </row>
        <row r="980">
          <cell r="B980" t="str">
            <v>UFYNS70L-MF-P</v>
          </cell>
          <cell r="C980" t="str">
            <v>UFJG24DL-CP315E</v>
          </cell>
          <cell r="D980">
            <v>1</v>
          </cell>
          <cell r="E980" t="str">
            <v>AB PP UB ABM-FUJIYA NS70L-MF +R</v>
          </cell>
        </row>
        <row r="981">
          <cell r="B981" t="str">
            <v>UFYNS70-MF-P</v>
          </cell>
          <cell r="C981" t="str">
            <v>UFJG24DR-CP315E</v>
          </cell>
          <cell r="D981">
            <v>1</v>
          </cell>
          <cell r="E981" t="str">
            <v>AB PP UB ABM-FUJIYA NS70-MF +L</v>
          </cell>
        </row>
        <row r="982">
          <cell r="B982" t="str">
            <v>UFYNX110L-MF-P</v>
          </cell>
          <cell r="C982" t="str">
            <v>UFJG24EL-CP315E</v>
          </cell>
          <cell r="D982">
            <v>1</v>
          </cell>
          <cell r="E982" t="str">
            <v>AB PP UB ABM-FUJIYA NX110L-MF +R</v>
          </cell>
        </row>
        <row r="983">
          <cell r="B983" t="str">
            <v>UFYNX110-MF-P</v>
          </cell>
          <cell r="C983" t="str">
            <v>UFJG24ER-CP315E</v>
          </cell>
          <cell r="D983">
            <v>1</v>
          </cell>
          <cell r="E983" t="str">
            <v>AB PP UB ABM-FUJIYA NX110-MF +L</v>
          </cell>
        </row>
        <row r="984">
          <cell r="B984" t="str">
            <v>UFYNX120L-MF-P</v>
          </cell>
          <cell r="C984" t="str">
            <v>UFJG27GL-CP315E</v>
          </cell>
          <cell r="D984">
            <v>1</v>
          </cell>
          <cell r="E984" t="str">
            <v>AB PP UB ABM-FUJIYA NX120L-MF +R</v>
          </cell>
        </row>
        <row r="985">
          <cell r="B985" t="str">
            <v>UFYNX120-MF-P</v>
          </cell>
          <cell r="C985" t="str">
            <v>UFJG27GR-CP315E</v>
          </cell>
          <cell r="D985">
            <v>1</v>
          </cell>
          <cell r="E985" t="str">
            <v>AB PP UB ABM-FUJIYA NX120-MF +L</v>
          </cell>
        </row>
        <row r="986">
          <cell r="B986" t="str">
            <v>UWB20ALD-P</v>
          </cell>
          <cell r="C986" t="str">
            <v>EUWB20AL-CPN00L</v>
          </cell>
          <cell r="D986">
            <v>1</v>
          </cell>
          <cell r="E986" t="str">
            <v>AB PP DC UW NS40 +R</v>
          </cell>
        </row>
        <row r="987">
          <cell r="B987" t="str">
            <v>UWC24ALD-P</v>
          </cell>
          <cell r="C987" t="str">
            <v>EUWC24BL-SPN00L</v>
          </cell>
          <cell r="D987">
            <v>1</v>
          </cell>
          <cell r="E987" t="str">
            <v>AB PP DC UW N40 +R</v>
          </cell>
        </row>
        <row r="988">
          <cell r="B988" t="str">
            <v>UWD22ALD-P</v>
          </cell>
          <cell r="C988" t="str">
            <v>EUWD23BL-SPN00L</v>
          </cell>
          <cell r="D988">
            <v>1</v>
          </cell>
          <cell r="E988" t="str">
            <v>AB PP DC UW NS50/1SM +R</v>
          </cell>
        </row>
        <row r="989">
          <cell r="B989" t="str">
            <v>UWD26ALD-P</v>
          </cell>
          <cell r="C989" t="str">
            <v>EUWD26AL-SPN00L</v>
          </cell>
          <cell r="D989">
            <v>1</v>
          </cell>
          <cell r="E989" t="str">
            <v>AB PP DC UW N50/2SM +R</v>
          </cell>
        </row>
        <row r="990">
          <cell r="B990" t="str">
            <v>UWD31ALD-P</v>
          </cell>
          <cell r="C990" t="str">
            <v>EUWD31BL-SPN00L</v>
          </cell>
          <cell r="D990">
            <v>1</v>
          </cell>
          <cell r="E990" t="str">
            <v>AB PP DC UW N70/3SM +R</v>
          </cell>
        </row>
        <row r="991">
          <cell r="B991" t="str">
            <v>UWE41ALD-P</v>
          </cell>
          <cell r="C991" t="str">
            <v>EUWE41AL-SPN00L</v>
          </cell>
          <cell r="D991">
            <v>1</v>
          </cell>
          <cell r="E991" t="str">
            <v>AB PP DC UW N100 +R</v>
          </cell>
        </row>
        <row r="992">
          <cell r="B992" t="str">
            <v>UWF51ALD-P</v>
          </cell>
          <cell r="C992" t="str">
            <v>EUWF51CL-SPN00L</v>
          </cell>
          <cell r="D992">
            <v>1</v>
          </cell>
          <cell r="E992" t="str">
            <v>AB PP DC UW N120 +R</v>
          </cell>
        </row>
        <row r="993">
          <cell r="B993" t="str">
            <v>UWG51ALD-P</v>
          </cell>
          <cell r="C993" t="str">
            <v>EUWG51BL-SPN00L</v>
          </cell>
          <cell r="D993">
            <v>1</v>
          </cell>
          <cell r="E993" t="str">
            <v>AB PP DC UW N150/4D +R</v>
          </cell>
        </row>
        <row r="994">
          <cell r="B994" t="str">
            <v>UWH52ALD-P</v>
          </cell>
          <cell r="C994" t="str">
            <v>EUWH52BL-SPN00L</v>
          </cell>
          <cell r="D994">
            <v>1</v>
          </cell>
          <cell r="E994" t="str">
            <v>AB PP DC UW N200/8D +R</v>
          </cell>
        </row>
        <row r="995">
          <cell r="B995" t="str">
            <v>UXC24BLD-P</v>
          </cell>
          <cell r="C995" t="str">
            <v>EUXC24BL-SPN00L</v>
          </cell>
          <cell r="D995">
            <v>1</v>
          </cell>
          <cell r="E995" t="str">
            <v>AB PP DC UX N40 +R</v>
          </cell>
        </row>
        <row r="996">
          <cell r="B996" t="str">
            <v>UXD22BLD-P</v>
          </cell>
          <cell r="C996" t="str">
            <v>EUXD23BL-SPN00L</v>
          </cell>
          <cell r="D996">
            <v>1</v>
          </cell>
          <cell r="E996" t="str">
            <v>AB PP DC UX NS50/1SM +R</v>
          </cell>
        </row>
        <row r="997">
          <cell r="B997" t="str">
            <v>UXD26BLD-P</v>
          </cell>
          <cell r="C997" t="str">
            <v>EUXD26AL-SPN00L</v>
          </cell>
          <cell r="D997">
            <v>1</v>
          </cell>
          <cell r="E997" t="str">
            <v>AB PP DC UX N50/2SM +R</v>
          </cell>
        </row>
        <row r="998">
          <cell r="B998" t="str">
            <v>UXD31BLD-P</v>
          </cell>
          <cell r="C998" t="str">
            <v>EUXD31CL-SPN00L</v>
          </cell>
          <cell r="D998">
            <v>1</v>
          </cell>
          <cell r="E998" t="str">
            <v>AB PP DC UX N70/3SM +R</v>
          </cell>
        </row>
        <row r="999">
          <cell r="B999" t="str">
            <v>UXE41BLD-P</v>
          </cell>
          <cell r="C999" t="str">
            <v>EUXE41CL-SPN00L</v>
          </cell>
          <cell r="D999">
            <v>1</v>
          </cell>
          <cell r="E999" t="str">
            <v>AB PP DC UX N100 +R</v>
          </cell>
        </row>
        <row r="1000">
          <cell r="B1000" t="str">
            <v>UXF51BLD-P</v>
          </cell>
          <cell r="C1000" t="str">
            <v>EUXF51CL-SPN00L</v>
          </cell>
          <cell r="D1000">
            <v>1</v>
          </cell>
          <cell r="E1000" t="str">
            <v>AB PP DC UX N120 +R</v>
          </cell>
        </row>
        <row r="1001">
          <cell r="B1001" t="str">
            <v>UXG51BLD-P</v>
          </cell>
          <cell r="C1001" t="str">
            <v>EUXG51BL-SPN00L</v>
          </cell>
          <cell r="D1001">
            <v>1</v>
          </cell>
          <cell r="E1001" t="str">
            <v>AB PP DC UX N150 +R</v>
          </cell>
        </row>
        <row r="1002">
          <cell r="B1002" t="str">
            <v>UXH52BLD-P</v>
          </cell>
          <cell r="C1002" t="str">
            <v>EUXH52BL-SPN00L</v>
          </cell>
          <cell r="D1002">
            <v>1</v>
          </cell>
          <cell r="E1002" t="str">
            <v>AB PP DC UX N200 +R</v>
          </cell>
        </row>
        <row r="1003">
          <cell r="B1003" t="str">
            <v>UYC24BLD-P</v>
          </cell>
          <cell r="C1003" t="str">
            <v>EUYC24BL-SPN00L</v>
          </cell>
          <cell r="D1003">
            <v>1</v>
          </cell>
          <cell r="E1003" t="str">
            <v>AB PP DC UY N40/1SN +R</v>
          </cell>
        </row>
        <row r="1004">
          <cell r="B1004" t="str">
            <v>UYD22BLD-P</v>
          </cell>
          <cell r="C1004" t="str">
            <v>EUYD23BL-SPN00L</v>
          </cell>
          <cell r="D1004">
            <v>1</v>
          </cell>
          <cell r="E1004" t="str">
            <v>AB PP DC UY NS50/1SM +R</v>
          </cell>
        </row>
        <row r="1005">
          <cell r="B1005" t="str">
            <v>UYD26BLD-P</v>
          </cell>
          <cell r="C1005" t="str">
            <v>EUYD26AL-SPN00L</v>
          </cell>
          <cell r="D1005">
            <v>1</v>
          </cell>
          <cell r="E1005" t="str">
            <v>AB PP DC UY N50/2SM +R</v>
          </cell>
        </row>
        <row r="1006">
          <cell r="B1006" t="str">
            <v>UYD31BLD-P</v>
          </cell>
          <cell r="C1006" t="str">
            <v>EUYD31CL-SPN00L</v>
          </cell>
          <cell r="D1006">
            <v>1</v>
          </cell>
          <cell r="E1006" t="str">
            <v>AB PP DC UY N70/3SM +R</v>
          </cell>
        </row>
        <row r="1007">
          <cell r="B1007" t="str">
            <v>UYE41BLD-P</v>
          </cell>
          <cell r="C1007" t="str">
            <v>EUYE41CL-SPN00L</v>
          </cell>
          <cell r="D1007">
            <v>1</v>
          </cell>
          <cell r="E1007" t="str">
            <v>AB PP DC UY N100 +R</v>
          </cell>
        </row>
        <row r="1008">
          <cell r="B1008" t="str">
            <v>UYF51BLD-P</v>
          </cell>
          <cell r="C1008" t="str">
            <v>EUYF51CL-SPN00L</v>
          </cell>
          <cell r="D1008">
            <v>1</v>
          </cell>
          <cell r="E1008" t="str">
            <v>AB PP DC UY N120 +R</v>
          </cell>
        </row>
        <row r="1009">
          <cell r="B1009" t="str">
            <v>UYG51BLD-P</v>
          </cell>
          <cell r="C1009" t="str">
            <v>EUYG51BL-SPN00L</v>
          </cell>
          <cell r="D1009">
            <v>1</v>
          </cell>
          <cell r="E1009" t="str">
            <v>AB PP DC UY N150 +R</v>
          </cell>
        </row>
        <row r="1010">
          <cell r="B1010" t="str">
            <v>UYH52BLD-P</v>
          </cell>
          <cell r="C1010" t="str">
            <v>EUYH52BL-SPN00L</v>
          </cell>
          <cell r="D1010">
            <v>1</v>
          </cell>
          <cell r="E1010" t="str">
            <v>AB PP DC UY N200 +R</v>
          </cell>
        </row>
        <row r="1011">
          <cell r="B1011" t="str">
            <v>UZC24BLD-P</v>
          </cell>
          <cell r="C1011" t="str">
            <v>EUZC24BL-SPN00L</v>
          </cell>
          <cell r="D1011">
            <v>1</v>
          </cell>
          <cell r="E1011" t="str">
            <v>AB PP DC UZ N40/1SN +R</v>
          </cell>
        </row>
        <row r="1012">
          <cell r="B1012" t="str">
            <v>UZC24BRD-P</v>
          </cell>
          <cell r="C1012" t="str">
            <v>EUZC24BR-SPN00L</v>
          </cell>
          <cell r="D1012">
            <v>1</v>
          </cell>
          <cell r="E1012" t="str">
            <v>AB PP DC UZ N40/1SN +L</v>
          </cell>
        </row>
        <row r="1013">
          <cell r="B1013" t="str">
            <v>UZD22BLD-P</v>
          </cell>
          <cell r="C1013" t="str">
            <v>EUZD23BL-SPN00L</v>
          </cell>
          <cell r="D1013">
            <v>1</v>
          </cell>
          <cell r="E1013" t="str">
            <v>AB PP DC UZ NS50/1SM +R</v>
          </cell>
        </row>
        <row r="1014">
          <cell r="B1014" t="str">
            <v>UZD26CLD-P</v>
          </cell>
          <cell r="C1014" t="str">
            <v>EUZD26BL-SPN00L</v>
          </cell>
          <cell r="D1014">
            <v>1</v>
          </cell>
          <cell r="E1014" t="str">
            <v>AB PP DC UZ N50/2SM +R</v>
          </cell>
        </row>
        <row r="1015">
          <cell r="B1015" t="str">
            <v>UZD26CRD-P</v>
          </cell>
          <cell r="C1015" t="str">
            <v>EUZD26BR-SPN00L</v>
          </cell>
          <cell r="D1015">
            <v>1</v>
          </cell>
          <cell r="E1015" t="str">
            <v>AB PP DC UZ N50/2SM +L</v>
          </cell>
        </row>
        <row r="1016">
          <cell r="B1016" t="str">
            <v>UZD31CLD-P</v>
          </cell>
          <cell r="C1016" t="str">
            <v>EUZD31BL-SPN00L</v>
          </cell>
          <cell r="D1016">
            <v>1</v>
          </cell>
          <cell r="E1016" t="str">
            <v>AB PP DC UZ N70/3SM +R</v>
          </cell>
        </row>
        <row r="1017">
          <cell r="B1017" t="str">
            <v>UZD31CRD-P</v>
          </cell>
          <cell r="C1017" t="str">
            <v>EUZD31BR-SPN00L</v>
          </cell>
          <cell r="D1017">
            <v>1</v>
          </cell>
          <cell r="E1017" t="str">
            <v>AB PP DC UZ N70/3SM +L</v>
          </cell>
        </row>
        <row r="1018">
          <cell r="B1018" t="str">
            <v>UZE41BLD-P</v>
          </cell>
          <cell r="C1018" t="str">
            <v>EUZE41BL-SPN00L</v>
          </cell>
          <cell r="D1018">
            <v>1</v>
          </cell>
          <cell r="E1018" t="str">
            <v>AB PP DC UZ N100 +R</v>
          </cell>
        </row>
        <row r="1019">
          <cell r="B1019" t="str">
            <v>UZF51BLD-P</v>
          </cell>
          <cell r="C1019" t="str">
            <v>EUZF51BL-SPN00L</v>
          </cell>
          <cell r="D1019">
            <v>1</v>
          </cell>
          <cell r="E1019" t="str">
            <v>AB PP DC UZ N120 +R</v>
          </cell>
        </row>
        <row r="1020">
          <cell r="B1020" t="str">
            <v>UZG51BLD-P</v>
          </cell>
          <cell r="C1020" t="str">
            <v>EUZG51BL-SPN00L</v>
          </cell>
          <cell r="D1020">
            <v>1</v>
          </cell>
          <cell r="E1020" t="str">
            <v>AB PP DC UZ N150 +R</v>
          </cell>
        </row>
        <row r="1021">
          <cell r="B1021" t="str">
            <v>UZH52BLD-P</v>
          </cell>
          <cell r="C1021" t="str">
            <v>EUZH52BL-SPN00L</v>
          </cell>
          <cell r="D1021">
            <v>1</v>
          </cell>
          <cell r="E1021" t="str">
            <v>AB PP DC UZ N200 +R</v>
          </cell>
        </row>
        <row r="1022">
          <cell r="B1022" t="str">
            <v>VLC24ALD-P</v>
          </cell>
          <cell r="C1022" t="str">
            <v>EVLC24BL-SPN00L</v>
          </cell>
          <cell r="D1022">
            <v>1</v>
          </cell>
          <cell r="E1022" t="str">
            <v>AB PP DC VALIENT C24 +R</v>
          </cell>
        </row>
        <row r="1023">
          <cell r="B1023" t="str">
            <v>VLD22ALD-P</v>
          </cell>
          <cell r="C1023" t="str">
            <v>EVLD23BL-SPN00L</v>
          </cell>
          <cell r="D1023">
            <v>1</v>
          </cell>
          <cell r="E1023" t="str">
            <v>AB PP DC VALIANT 1SMF/D22 +R</v>
          </cell>
        </row>
        <row r="1024">
          <cell r="B1024" t="str">
            <v>VLD26ALD-P</v>
          </cell>
          <cell r="C1024" t="str">
            <v>EVLD26BL-SPN00L</v>
          </cell>
          <cell r="D1024">
            <v>1</v>
          </cell>
          <cell r="E1024" t="str">
            <v>AB PP DC VALIANT 2SMF/D26 +R</v>
          </cell>
        </row>
        <row r="1025">
          <cell r="B1025" t="str">
            <v>VLD31ALD-P</v>
          </cell>
          <cell r="C1025" t="str">
            <v>EVLD31BL-SPN00L</v>
          </cell>
          <cell r="D1025">
            <v>1</v>
          </cell>
          <cell r="E1025" t="str">
            <v>AB PP DC VALIANT 3SMF/D31 +R</v>
          </cell>
        </row>
        <row r="1026">
          <cell r="B1026" t="str">
            <v>VLE41ALD-P</v>
          </cell>
          <cell r="C1026" t="str">
            <v>EVLE41BL-SPN00L</v>
          </cell>
          <cell r="D1026">
            <v>1</v>
          </cell>
          <cell r="E1026" t="str">
            <v>AB PP DC VALIANT-OMMC N100 +R AUTO</v>
          </cell>
        </row>
        <row r="1027">
          <cell r="B1027" t="str">
            <v>VLF51ALD-P</v>
          </cell>
          <cell r="C1027" t="str">
            <v>EVLF51BL-SPN00L</v>
          </cell>
          <cell r="D1027">
            <v>1</v>
          </cell>
          <cell r="E1027" t="str">
            <v>AB PP DC VALIANT 2D/F51AL</v>
          </cell>
        </row>
        <row r="1028">
          <cell r="B1028" t="str">
            <v>VLG51ALD-P</v>
          </cell>
          <cell r="C1028" t="str">
            <v>EVLG51BL-SPN00L</v>
          </cell>
          <cell r="D1028">
            <v>1</v>
          </cell>
          <cell r="E1028" t="str">
            <v>AB PP DC VALIANT G51 +R</v>
          </cell>
        </row>
        <row r="1029">
          <cell r="B1029" t="str">
            <v>VLH52ALD-P</v>
          </cell>
          <cell r="C1029" t="str">
            <v>EVLH52BL-SPN00L</v>
          </cell>
          <cell r="D1029">
            <v>1</v>
          </cell>
          <cell r="E1029" t="str">
            <v>AB PP DC VALIANT H52/8D +R</v>
          </cell>
        </row>
        <row r="1030">
          <cell r="B1030" t="str">
            <v>VTC24ALD-P</v>
          </cell>
          <cell r="C1030" t="str">
            <v>EVTC24BL-SPN00L</v>
          </cell>
          <cell r="D1030">
            <v>1</v>
          </cell>
          <cell r="E1030" t="str">
            <v>AB PP DC VOLTRON C24 +R</v>
          </cell>
        </row>
        <row r="1031">
          <cell r="B1031" t="str">
            <v>VTD22ALD-P</v>
          </cell>
          <cell r="C1031" t="str">
            <v>EVTD23BL-SPN00L</v>
          </cell>
          <cell r="D1031">
            <v>1</v>
          </cell>
          <cell r="E1031" t="str">
            <v>AB PP DC VOLTRON-OMMC D22 +R AUTO</v>
          </cell>
        </row>
        <row r="1032">
          <cell r="B1032" t="str">
            <v>VTD26ALD-P</v>
          </cell>
          <cell r="C1032" t="str">
            <v>EVTD26BL-SPN00L</v>
          </cell>
          <cell r="D1032">
            <v>1</v>
          </cell>
          <cell r="E1032" t="str">
            <v>AB PP DC VOLTRON 2SMF/D26 +R</v>
          </cell>
        </row>
        <row r="1033">
          <cell r="B1033" t="str">
            <v>VTD31ALD-P</v>
          </cell>
          <cell r="C1033" t="str">
            <v>EVTD31BL-SPN00L</v>
          </cell>
          <cell r="D1033">
            <v>1</v>
          </cell>
          <cell r="E1033" t="str">
            <v>AB PP DC VOLTRON 3SMF/D31 +R</v>
          </cell>
        </row>
        <row r="1034">
          <cell r="B1034" t="str">
            <v>VTE41ALD-P</v>
          </cell>
          <cell r="C1034" t="str">
            <v>EVTE41BL-SPN00L</v>
          </cell>
          <cell r="D1034">
            <v>1</v>
          </cell>
          <cell r="E1034" t="str">
            <v>AB PP DC VOLTRON-OMMC N100 +R AUTO</v>
          </cell>
        </row>
        <row r="1035">
          <cell r="B1035" t="str">
            <v>VTF51ALD-P</v>
          </cell>
          <cell r="C1035" t="str">
            <v>EVTF51BL-SPN00L</v>
          </cell>
          <cell r="D1035">
            <v>1</v>
          </cell>
          <cell r="E1035" t="str">
            <v>AB PP DC VOLTRON 2D/F51AL (N120)</v>
          </cell>
        </row>
        <row r="1036">
          <cell r="B1036" t="str">
            <v>VTG51ALD-P</v>
          </cell>
          <cell r="C1036" t="str">
            <v>EVTG51BL-SPN00L</v>
          </cell>
          <cell r="D1036">
            <v>1</v>
          </cell>
          <cell r="E1036" t="str">
            <v>AB PP DC VOLTRON G51 +R</v>
          </cell>
        </row>
        <row r="1037">
          <cell r="B1037" t="str">
            <v>VTH52ALD-P</v>
          </cell>
          <cell r="C1037" t="str">
            <v>EVTH52BL-SPN00L</v>
          </cell>
          <cell r="D1037">
            <v>1</v>
          </cell>
          <cell r="E1037" t="str">
            <v>AB PP DC VOLTRON-OMMC N200 +R AUTO</v>
          </cell>
        </row>
        <row r="1038">
          <cell r="B1038" t="str">
            <v>WMN50ZL-MF-P</v>
          </cell>
          <cell r="C1038" t="str">
            <v>UF1G24CL-CP311E</v>
          </cell>
          <cell r="D1038">
            <v>1</v>
          </cell>
          <cell r="E1038" t="str">
            <v>AB PP UB WATTA-MF1 N50ZL-MF +R</v>
          </cell>
        </row>
        <row r="1039">
          <cell r="B1039" t="str">
            <v>WMN50Z-MF-P</v>
          </cell>
          <cell r="C1039" t="str">
            <v>UF1G24CR-CP311E</v>
          </cell>
          <cell r="D1039">
            <v>1</v>
          </cell>
          <cell r="E1039" t="str">
            <v>AB PP UB WATTA-MF1 N50Z-MF +L</v>
          </cell>
        </row>
        <row r="1040">
          <cell r="B1040" t="str">
            <v>WMN70L-MF-P</v>
          </cell>
          <cell r="C1040" t="str">
            <v>UF1G27CL-CP311E</v>
          </cell>
          <cell r="D1040">
            <v>1</v>
          </cell>
          <cell r="E1040" t="str">
            <v>AB PP UB WATTA-MF1 N70L-MF +R</v>
          </cell>
        </row>
        <row r="1041">
          <cell r="B1041" t="str">
            <v>WMN70-MF-P</v>
          </cell>
          <cell r="C1041" t="str">
            <v>UF1G27CR-CP311E</v>
          </cell>
          <cell r="D1041">
            <v>1</v>
          </cell>
          <cell r="E1041" t="str">
            <v>AB PP UB WATTA-MF1 N70-MF +L</v>
          </cell>
        </row>
        <row r="1042">
          <cell r="B1042" t="str">
            <v>WMN70ZL-MF-P</v>
          </cell>
          <cell r="C1042" t="str">
            <v>UF1G27EL-CP311E</v>
          </cell>
          <cell r="D1042">
            <v>1</v>
          </cell>
          <cell r="E1042" t="str">
            <v>AB PP UB WATTA-MF1 N70ZL-MF +R</v>
          </cell>
        </row>
        <row r="1043">
          <cell r="B1043" t="str">
            <v>WMN70Z-MF-P</v>
          </cell>
          <cell r="C1043" t="str">
            <v>UF1G27ER-CP311E</v>
          </cell>
          <cell r="D1043">
            <v>1</v>
          </cell>
          <cell r="E1043" t="str">
            <v>AB PP UB WATTA-MF1 N70Z-MF +L</v>
          </cell>
        </row>
        <row r="1044">
          <cell r="B1044" t="str">
            <v>WMNS40L-MF-P</v>
          </cell>
          <cell r="C1044" t="str">
            <v>WF1B20BB-TS111E</v>
          </cell>
          <cell r="D1044">
            <v>1</v>
          </cell>
          <cell r="E1044" t="str">
            <v>AB PP WC WATTA-MF1 SEALD NS40L +R SML</v>
          </cell>
        </row>
        <row r="1045">
          <cell r="B1045" t="str">
            <v>WMNS40ZL-MF-P</v>
          </cell>
          <cell r="C1045" t="str">
            <v>WF1B20CC-TS111E</v>
          </cell>
          <cell r="D1045">
            <v>1</v>
          </cell>
          <cell r="E1045" t="str">
            <v>AB PP WC MF1-GOLD NS40ZL-MF +R</v>
          </cell>
        </row>
        <row r="1046">
          <cell r="B1046" t="str">
            <v>WMNS50L-MF-P</v>
          </cell>
          <cell r="C1046" t="str">
            <v>UF1D23BL-CP311E</v>
          </cell>
          <cell r="D1046">
            <v>1</v>
          </cell>
          <cell r="E1046" t="str">
            <v>AB PP UB WATTA-MF1 NS50L-MF +R</v>
          </cell>
        </row>
        <row r="1047">
          <cell r="B1047" t="str">
            <v>WMNS50-MF-P</v>
          </cell>
          <cell r="C1047" t="str">
            <v>UF1D23BR-CP311E</v>
          </cell>
          <cell r="D1047">
            <v>1</v>
          </cell>
          <cell r="E1047" t="str">
            <v>AB PP UB WATTA-MF1 NS50-MF +L</v>
          </cell>
        </row>
        <row r="1048">
          <cell r="B1048" t="str">
            <v>WMNS50ZL-MF-P</v>
          </cell>
          <cell r="C1048" t="str">
            <v>UF1D23CL-CP311E</v>
          </cell>
          <cell r="D1048">
            <v>1</v>
          </cell>
          <cell r="E1048" t="str">
            <v>AB PP UB WATTA-MF1 NS50ZL-MF +R</v>
          </cell>
        </row>
        <row r="1049">
          <cell r="B1049" t="str">
            <v>WMNS50Z-MF-P</v>
          </cell>
          <cell r="C1049" t="str">
            <v>UF1D23CR-CP311E</v>
          </cell>
          <cell r="D1049">
            <v>1</v>
          </cell>
          <cell r="E1049" t="str">
            <v>AB PP UB WATTA-MF1 NS50Z-MF +L</v>
          </cell>
        </row>
        <row r="1050">
          <cell r="B1050" t="str">
            <v>WMNS60L-MF-P</v>
          </cell>
          <cell r="C1050" t="str">
            <v>UF1B24BB-CP311E</v>
          </cell>
          <cell r="D1050">
            <v>1</v>
          </cell>
          <cell r="E1050" t="str">
            <v>AB PP UB WATTA-MF1 NS60L-MF +R</v>
          </cell>
        </row>
        <row r="1051">
          <cell r="B1051" t="str">
            <v>WMNS60LS-MF-P</v>
          </cell>
          <cell r="C1051" t="str">
            <v>UF1B24BL-CP311E</v>
          </cell>
          <cell r="D1051">
            <v>1</v>
          </cell>
          <cell r="E1051" t="str">
            <v>AB PP UB WATTA-MF1 NS60LS-MF +R</v>
          </cell>
        </row>
        <row r="1052">
          <cell r="B1052" t="str">
            <v>WMNS60-MF-P</v>
          </cell>
          <cell r="C1052" t="str">
            <v>UF1B24BA-CP311E</v>
          </cell>
          <cell r="D1052">
            <v>1</v>
          </cell>
          <cell r="E1052" t="str">
            <v>AB PP UB WATTA-MF1 NS60-MF +L</v>
          </cell>
        </row>
        <row r="1053">
          <cell r="B1053" t="str">
            <v>WMNS60S-MF-P</v>
          </cell>
          <cell r="C1053" t="str">
            <v>UF1B24BR-CP311E</v>
          </cell>
          <cell r="D1053">
            <v>1</v>
          </cell>
          <cell r="E1053" t="str">
            <v>AB PP UB WATTA-MF1 NS60S-MF +L</v>
          </cell>
        </row>
        <row r="1054">
          <cell r="B1054" t="str">
            <v>WMNS60ZL-MF-P</v>
          </cell>
          <cell r="C1054" t="str">
            <v>UF1B24DB-CP311E</v>
          </cell>
          <cell r="D1054">
            <v>1</v>
          </cell>
          <cell r="E1054" t="str">
            <v>AB PP UB WATTA-MF1 NS60ZL-MF +R</v>
          </cell>
        </row>
        <row r="1055">
          <cell r="B1055" t="str">
            <v>WMNS60Z-MF-P</v>
          </cell>
          <cell r="C1055" t="str">
            <v>UF1B24DA-CP311E</v>
          </cell>
          <cell r="D1055">
            <v>1</v>
          </cell>
          <cell r="E1055" t="str">
            <v>AB PP UB WATTA-MF1 NS60Z-MF +L</v>
          </cell>
        </row>
        <row r="1056">
          <cell r="B1056" t="str">
            <v>WMNS70L-MF-P</v>
          </cell>
          <cell r="C1056" t="str">
            <v>UF1G24DL-CP311E</v>
          </cell>
          <cell r="D1056">
            <v>1</v>
          </cell>
          <cell r="E1056" t="str">
            <v>AB PP UB WATTA-MF1 NS70L-MF +R</v>
          </cell>
        </row>
        <row r="1057">
          <cell r="B1057" t="str">
            <v>WMNS70-MF-P</v>
          </cell>
          <cell r="C1057" t="str">
            <v>UF1G24DR-CP311E</v>
          </cell>
          <cell r="D1057">
            <v>1</v>
          </cell>
          <cell r="E1057" t="str">
            <v>AB PP UB WATTA-MF1 NS70-MF +L</v>
          </cell>
        </row>
        <row r="1058">
          <cell r="B1058" t="str">
            <v>WMNX110L-MF-P</v>
          </cell>
          <cell r="C1058" t="str">
            <v>UF1G24EL-CP311E</v>
          </cell>
          <cell r="D1058">
            <v>1</v>
          </cell>
          <cell r="E1058" t="str">
            <v>AB PP UB WATTA-MF1 NX110L-MF +R</v>
          </cell>
        </row>
        <row r="1059">
          <cell r="B1059" t="str">
            <v>WMNX110-MF-P</v>
          </cell>
          <cell r="C1059" t="str">
            <v>UF1G24ER-CP311E</v>
          </cell>
          <cell r="D1059">
            <v>1</v>
          </cell>
          <cell r="E1059" t="str">
            <v>AB PP UB WATTA-MF1 NX110-MF +L</v>
          </cell>
        </row>
        <row r="1060">
          <cell r="B1060" t="str">
            <v>WMNX120L-MF-P</v>
          </cell>
          <cell r="C1060" t="str">
            <v>UF1G27GL-CP311E</v>
          </cell>
          <cell r="D1060">
            <v>1</v>
          </cell>
          <cell r="E1060" t="str">
            <v>AB PP UB WATTA-MF1 NX120L-MF +R</v>
          </cell>
        </row>
        <row r="1061">
          <cell r="B1061" t="str">
            <v>WMNX120-MF-P</v>
          </cell>
          <cell r="C1061" t="str">
            <v>UF1G27GR-CP311E</v>
          </cell>
          <cell r="D1061">
            <v>1</v>
          </cell>
          <cell r="E1061" t="str">
            <v>AB PP UB WATTA-MF1 NX120-MF +L</v>
          </cell>
        </row>
        <row r="1062">
          <cell r="B1062" t="str">
            <v>XM105D31R-MF-P</v>
          </cell>
          <cell r="C1062" t="str">
            <v>WMGG27HR-CP312E</v>
          </cell>
          <cell r="D1062">
            <v>1</v>
          </cell>
          <cell r="E1062" t="str">
            <v>AB PP WC HK-MGOLD SUNNY 105D31R MF AU53</v>
          </cell>
        </row>
        <row r="1063">
          <cell r="B1063" t="str">
            <v>XM4DLT-8</v>
          </cell>
          <cell r="C1063" t="str">
            <v>WUB4DT8L-CPN02E</v>
          </cell>
          <cell r="D1063">
            <v>1</v>
          </cell>
          <cell r="E1063" t="str">
            <v>AB PP WC RBI/DS 4DLT +L 800CCA 225 RC</v>
          </cell>
        </row>
        <row r="1064">
          <cell r="B1064" t="str">
            <v>XM4DP-1000</v>
          </cell>
          <cell r="C1064" t="str">
            <v>WUB4DPZI-SPN02E</v>
          </cell>
          <cell r="D1064">
            <v>1</v>
          </cell>
          <cell r="E1064" t="str">
            <v>AB PP WC RBI-MGOLD 4DP-1000</v>
          </cell>
        </row>
        <row r="1065">
          <cell r="B1065" t="str">
            <v>XM4DP-800</v>
          </cell>
          <cell r="C1065" t="str">
            <v>WUB4DP8L-SPN02E</v>
          </cell>
          <cell r="D1065">
            <v>1</v>
          </cell>
          <cell r="E1065" t="str">
            <v>AB PP WC RBI-MGOLD 4DP-800</v>
          </cell>
        </row>
        <row r="1066">
          <cell r="B1066" t="str">
            <v>XM65D23L-MF-P</v>
          </cell>
          <cell r="C1066" t="str">
            <v>WMGD23CL-CP312E</v>
          </cell>
          <cell r="D1066">
            <v>1</v>
          </cell>
          <cell r="E1066" t="str">
            <v>AB PP WC HK-MGOLD SUNNY 65D23L-MF +R</v>
          </cell>
        </row>
        <row r="1067">
          <cell r="B1067" t="str">
            <v>XM65D26L-MF-P</v>
          </cell>
          <cell r="C1067" t="str">
            <v>WMGG24CL-CP312E</v>
          </cell>
          <cell r="D1067">
            <v>1</v>
          </cell>
          <cell r="E1067" t="str">
            <v>AB PP WC HK-MGOLD SUNNY 65D26L-MF +R</v>
          </cell>
        </row>
        <row r="1068">
          <cell r="B1068" t="str">
            <v>XM65D26R-MF-P</v>
          </cell>
          <cell r="C1068" t="str">
            <v>WMGG24CR-CP312E</v>
          </cell>
          <cell r="D1068">
            <v>1</v>
          </cell>
          <cell r="E1068" t="str">
            <v>AB PP WC HK-MGOLD SUNNY 65D26R-MF +L</v>
          </cell>
        </row>
        <row r="1069">
          <cell r="B1069" t="str">
            <v>XM8DMF-1100(TSH)</v>
          </cell>
          <cell r="C1069" t="str">
            <v>WUBH52YI-TS402E</v>
          </cell>
          <cell r="D1069">
            <v>1</v>
          </cell>
          <cell r="E1069" t="str">
            <v>AB PP WC RBI 8D-1100 SLD HEYE +L AUTO BK</v>
          </cell>
        </row>
        <row r="1070">
          <cell r="B1070" t="str">
            <v>XM8DMF-1300(TSH)</v>
          </cell>
          <cell r="C1070" t="str">
            <v>WUBH52WI-TS302E</v>
          </cell>
          <cell r="D1070">
            <v>1</v>
          </cell>
          <cell r="E1070" t="str">
            <v>AB PP WC RBI 8D-1300 SLD HEYE +L AUTO BK</v>
          </cell>
        </row>
        <row r="1071">
          <cell r="B1071" t="str">
            <v>XM8DP-1000</v>
          </cell>
          <cell r="C1071" t="str">
            <v>WUBH52ZI-CP302E</v>
          </cell>
          <cell r="D1071">
            <v>1</v>
          </cell>
          <cell r="E1071" t="str">
            <v>AB PP WC RBI-MGOLD 8DP-1000</v>
          </cell>
        </row>
        <row r="1072">
          <cell r="B1072" t="str">
            <v>XM8DP-1000(ST)</v>
          </cell>
          <cell r="C1072" t="str">
            <v>WUBH52ZS-SPN02E</v>
          </cell>
          <cell r="D1072">
            <v>1</v>
          </cell>
          <cell r="E1072" t="str">
            <v>AB PP WC EX RBI 8D-1000 SIDE TERMINAL</v>
          </cell>
        </row>
        <row r="1073">
          <cell r="B1073" t="str">
            <v>XM8DP-1200</v>
          </cell>
          <cell r="C1073" t="str">
            <v>WUBH52XI-CP302E</v>
          </cell>
          <cell r="D1073">
            <v>1</v>
          </cell>
          <cell r="E1073" t="str">
            <v>AB PP WC RBI-MGOLD 8DP-1200</v>
          </cell>
        </row>
        <row r="1074">
          <cell r="B1074" t="str">
            <v>XM8DP-1200(ST)</v>
          </cell>
          <cell r="C1074" t="str">
            <v>WUBH52XS-SPN02E</v>
          </cell>
          <cell r="D1074">
            <v>1</v>
          </cell>
          <cell r="E1074" t="str">
            <v>AB PP WC EX RBI 8D-1200 SIDE TERMINAL</v>
          </cell>
        </row>
        <row r="1075">
          <cell r="B1075" t="str">
            <v>XMB20BL-MF-P</v>
          </cell>
          <cell r="C1075" t="str">
            <v>WMGB20CC-TS112E</v>
          </cell>
          <cell r="D1075">
            <v>1</v>
          </cell>
          <cell r="E1075" t="str">
            <v>AB PP WC HK-MGOLD 36B20L-MF +R SML</v>
          </cell>
        </row>
        <row r="1076">
          <cell r="B1076" t="str">
            <v>XMB24CL-MF-P</v>
          </cell>
          <cell r="C1076" t="str">
            <v>WMGB24DB-CP312E</v>
          </cell>
          <cell r="D1076">
            <v>1</v>
          </cell>
          <cell r="E1076" t="str">
            <v>AB PP WC HK-MGOLD 55B24L-MF +R SML</v>
          </cell>
        </row>
        <row r="1077">
          <cell r="B1077" t="str">
            <v>XMB24CLS-MF-P</v>
          </cell>
          <cell r="C1077" t="str">
            <v>WMGB24DL-CP312E</v>
          </cell>
          <cell r="D1077">
            <v>1</v>
          </cell>
          <cell r="E1077" t="str">
            <v>AB PP WC HK-MGOLD 55B24L-MF +R STD</v>
          </cell>
        </row>
        <row r="1078">
          <cell r="B1078" t="str">
            <v>XMB24CR-MF-P</v>
          </cell>
          <cell r="C1078" t="str">
            <v>WMGB24DA-CP312E</v>
          </cell>
          <cell r="D1078">
            <v>1</v>
          </cell>
          <cell r="E1078" t="str">
            <v>AB PP WC HK-MGOLD 55B24R-MF +L SML</v>
          </cell>
        </row>
        <row r="1079">
          <cell r="B1079" t="str">
            <v>XMB24CRS-MF-P</v>
          </cell>
          <cell r="C1079" t="str">
            <v>WMGB24DR-CP312E</v>
          </cell>
          <cell r="D1079">
            <v>1</v>
          </cell>
          <cell r="E1079" t="str">
            <v>AB PP WC HK-MGOLD 55B24R-MF +L STD</v>
          </cell>
        </row>
        <row r="1080">
          <cell r="B1080" t="str">
            <v>XMD23BL-MF-P</v>
          </cell>
          <cell r="C1080" t="str">
            <v>WMGD23BL-CP312E</v>
          </cell>
          <cell r="D1080">
            <v>1</v>
          </cell>
          <cell r="E1080" t="str">
            <v>AB PP WC HK-MGOLD 55D23L-MF +R</v>
          </cell>
        </row>
        <row r="1081">
          <cell r="B1081" t="str">
            <v>XMD23BR-MF-P</v>
          </cell>
          <cell r="C1081" t="str">
            <v>WMGD23BR-CP312E</v>
          </cell>
          <cell r="D1081">
            <v>1</v>
          </cell>
          <cell r="E1081" t="str">
            <v>AB PP WC HK-MGOLD 55D23R-MF +L</v>
          </cell>
        </row>
        <row r="1082">
          <cell r="B1082" t="str">
            <v>XMD23CL-MF-P</v>
          </cell>
          <cell r="C1082" t="str">
            <v>WMGD23DL-CP312E</v>
          </cell>
          <cell r="D1082">
            <v>1</v>
          </cell>
          <cell r="E1082" t="str">
            <v>AB PP WC HK-MGOLD 75D23L-MF +R</v>
          </cell>
        </row>
        <row r="1083">
          <cell r="B1083" t="str">
            <v>XMD26BL-MF-P</v>
          </cell>
          <cell r="C1083" t="str">
            <v>WMGG24DL-CP312E</v>
          </cell>
          <cell r="D1083">
            <v>1</v>
          </cell>
          <cell r="E1083" t="str">
            <v>AB PP WC HK-MGOLD 75D26L-MF +R</v>
          </cell>
        </row>
        <row r="1084">
          <cell r="B1084" t="str">
            <v>XMD26BR-MF-P</v>
          </cell>
          <cell r="C1084" t="str">
            <v>WMGG24DR-CP312E</v>
          </cell>
          <cell r="D1084">
            <v>1</v>
          </cell>
          <cell r="E1084" t="str">
            <v>AB PP WC HK-MGOLD 75D26R-MF +L</v>
          </cell>
        </row>
        <row r="1085">
          <cell r="B1085" t="str">
            <v>XMD26CL-MF-P</v>
          </cell>
          <cell r="C1085" t="str">
            <v>WMGG24EL-CP312E</v>
          </cell>
          <cell r="D1085">
            <v>1</v>
          </cell>
          <cell r="E1085" t="str">
            <v>AB PP WC HK-MGOLD 80D26L-MF +R</v>
          </cell>
        </row>
        <row r="1086">
          <cell r="B1086" t="str">
            <v>XMD26CR-MF-P</v>
          </cell>
          <cell r="C1086" t="str">
            <v>WMGG24ER-CP312E</v>
          </cell>
          <cell r="D1086">
            <v>1</v>
          </cell>
          <cell r="E1086" t="str">
            <v>AB PP WC HK-MGOLD 80D26R-MF +L</v>
          </cell>
        </row>
        <row r="1087">
          <cell r="B1087" t="str">
            <v>XMD31BR-MF-P</v>
          </cell>
          <cell r="C1087" t="str">
            <v>WMGG27ER-CP312E</v>
          </cell>
          <cell r="D1087">
            <v>1</v>
          </cell>
          <cell r="E1087" t="str">
            <v>AB PP WC HK-MGOLD 75D31R-MF +L</v>
          </cell>
        </row>
        <row r="1088">
          <cell r="B1088" t="str">
            <v>XMD31CL-MF-P</v>
          </cell>
          <cell r="C1088" t="str">
            <v>WMGG27GL-CP312E</v>
          </cell>
          <cell r="D1088">
            <v>1</v>
          </cell>
          <cell r="E1088" t="str">
            <v>AB PP WC HK-MGOLD 95D31L-MF +R</v>
          </cell>
        </row>
        <row r="1089">
          <cell r="B1089" t="str">
            <v>XMD31CR-MF-P</v>
          </cell>
          <cell r="C1089" t="str">
            <v>WMGG27GR-CP312E</v>
          </cell>
          <cell r="D1089">
            <v>1</v>
          </cell>
          <cell r="E1089" t="str">
            <v>AB PP WC HK-MGOLD 95D31R-MF +L</v>
          </cell>
        </row>
        <row r="1090">
          <cell r="B1090" t="str">
            <v>XMG22NF-4</v>
          </cell>
          <cell r="C1090" t="str">
            <v>WUBC244I-CP302E</v>
          </cell>
          <cell r="D1090">
            <v>1</v>
          </cell>
          <cell r="E1090" t="str">
            <v>AB PP WC RBI-MGOLD G22NF STD +R</v>
          </cell>
        </row>
        <row r="1091">
          <cell r="B1091" t="str">
            <v>XMG22NFC-4</v>
          </cell>
          <cell r="C1091" t="str">
            <v>WUBC244E-CP302E</v>
          </cell>
          <cell r="D1091">
            <v>1</v>
          </cell>
          <cell r="E1091" t="str">
            <v>AB PP WC RBI-MGOLD G22NFC STD +L</v>
          </cell>
        </row>
        <row r="1092">
          <cell r="B1092" t="str">
            <v>XMG24-4MF</v>
          </cell>
          <cell r="C1092" t="str">
            <v>WUBG244E-CP302E</v>
          </cell>
          <cell r="D1092">
            <v>1</v>
          </cell>
          <cell r="E1092" t="str">
            <v>AB PP WC RBI-MGOLD G24-400MF AUTO +L</v>
          </cell>
        </row>
        <row r="1093">
          <cell r="B1093" t="str">
            <v>XMG24-4MF(TSH)</v>
          </cell>
          <cell r="C1093" t="str">
            <v>WUBG244E-TS302E</v>
          </cell>
          <cell r="D1093">
            <v>1</v>
          </cell>
          <cell r="E1093" t="str">
            <v>AB PP WC RBI/DS G24-4MF TLY-SLD H-E +L</v>
          </cell>
        </row>
        <row r="1094">
          <cell r="B1094" t="str">
            <v>XMG24-4MF(TSP)</v>
          </cell>
          <cell r="C1094" t="str">
            <v>WUBG244E-TSP02E</v>
          </cell>
          <cell r="D1094">
            <v>1</v>
          </cell>
          <cell r="E1094" t="str">
            <v>AB PP WC RBI/DS G24-4MF TLY-SLD PLUG +L</v>
          </cell>
        </row>
        <row r="1095">
          <cell r="B1095" t="str">
            <v>XMG24-4SM</v>
          </cell>
          <cell r="C1095" t="str">
            <v>WUBG244F-CP302E</v>
          </cell>
          <cell r="D1095">
            <v>1</v>
          </cell>
          <cell r="E1095" t="str">
            <v>AB PP WC RBI-MGOLD G24-400 SM STUD +L</v>
          </cell>
        </row>
        <row r="1096">
          <cell r="B1096" t="str">
            <v>XMG24-4SM(TSH)</v>
          </cell>
          <cell r="C1096" t="str">
            <v>WUBG244F-TS302E</v>
          </cell>
          <cell r="D1096">
            <v>1</v>
          </cell>
          <cell r="E1096" t="str">
            <v>AB PP WC RBI-DS G4-4SM TLY-SLD H.E. +L</v>
          </cell>
        </row>
        <row r="1097">
          <cell r="B1097" t="str">
            <v>XMG24-4SM(TSP)</v>
          </cell>
          <cell r="C1097" t="str">
            <v>WUBG244F-TSP02E</v>
          </cell>
          <cell r="D1097">
            <v>1</v>
          </cell>
          <cell r="E1097" t="str">
            <v>AB PP WC RBI-DS G24-4SM TLY-SLD PLUG +L</v>
          </cell>
        </row>
        <row r="1098">
          <cell r="B1098" t="str">
            <v>XMG24-4STD</v>
          </cell>
          <cell r="C1098" t="str">
            <v>WUBG244E-CPP02E</v>
          </cell>
          <cell r="D1098">
            <v>1</v>
          </cell>
          <cell r="E1098" t="str">
            <v>AB PP WC RBI-MGOLD G24-400 AUTO +L STD</v>
          </cell>
        </row>
        <row r="1099">
          <cell r="B1099" t="str">
            <v>XMG24-5MF</v>
          </cell>
          <cell r="C1099" t="str">
            <v>WUBG245E-CP302E</v>
          </cell>
          <cell r="D1099">
            <v>1</v>
          </cell>
          <cell r="E1099" t="str">
            <v>AB PP WC RBI-MGOLD G24-520MF AUTO +L</v>
          </cell>
        </row>
        <row r="1100">
          <cell r="B1100" t="str">
            <v>XMG24-5MF(TSH)</v>
          </cell>
          <cell r="C1100" t="str">
            <v>WUBG245E-TS302E</v>
          </cell>
          <cell r="D1100">
            <v>1</v>
          </cell>
          <cell r="E1100" t="str">
            <v>AB PP WC RBI/DS G24-5MF TLY-SLD H-E +L</v>
          </cell>
        </row>
        <row r="1101">
          <cell r="B1101" t="str">
            <v>XMG24-5MF(TSP)</v>
          </cell>
          <cell r="C1101" t="str">
            <v>WUBG245E-TSP02E</v>
          </cell>
          <cell r="D1101">
            <v>1</v>
          </cell>
          <cell r="E1101" t="str">
            <v>AB PP WC RBI/DS G24-5MF TLY-SLD PLUG +L</v>
          </cell>
        </row>
        <row r="1102">
          <cell r="B1102" t="str">
            <v>XMG24-5SM</v>
          </cell>
          <cell r="C1102" t="str">
            <v>WUBG245F-CP302E</v>
          </cell>
          <cell r="D1102">
            <v>1</v>
          </cell>
          <cell r="E1102" t="str">
            <v>AB PP WC RBI-MGOLD G24-520 SM STUD +L</v>
          </cell>
        </row>
        <row r="1103">
          <cell r="B1103" t="str">
            <v>XMG24-5SM(TSH)</v>
          </cell>
          <cell r="C1103" t="str">
            <v>WUBG245F-TS302E</v>
          </cell>
          <cell r="D1103">
            <v>1</v>
          </cell>
          <cell r="E1103" t="str">
            <v>AB PP WC RBI-DS G24-5SM TLY-SLD H.E. +L</v>
          </cell>
        </row>
        <row r="1104">
          <cell r="B1104" t="str">
            <v>XMG24-5STD</v>
          </cell>
          <cell r="C1104" t="str">
            <v>WUBG245E-CPP02E</v>
          </cell>
          <cell r="D1104">
            <v>1</v>
          </cell>
          <cell r="E1104" t="str">
            <v>AB PP WC RBI-MGOLD G24-520 AUTO +L</v>
          </cell>
        </row>
        <row r="1105">
          <cell r="B1105" t="str">
            <v>XMG24-60MCRD</v>
          </cell>
          <cell r="C1105" t="str">
            <v>WUBG24NM-CPN02E</v>
          </cell>
          <cell r="D1105">
            <v>1</v>
          </cell>
          <cell r="E1105" t="str">
            <v>AB PP WC RBI-MGOLD G24-10DC 2-POST +L</v>
          </cell>
        </row>
        <row r="1106">
          <cell r="B1106" t="str">
            <v>XMG24-6DPM</v>
          </cell>
          <cell r="C1106" t="str">
            <v>WUBG246M-CP302E</v>
          </cell>
          <cell r="D1106">
            <v>1</v>
          </cell>
          <cell r="E1106" t="str">
            <v>AB PP WC RBI G24-6 DPM ACCESIBLE HEYE +L</v>
          </cell>
        </row>
        <row r="1107">
          <cell r="B1107" t="str">
            <v>XMG24-6DPM(TSH)</v>
          </cell>
          <cell r="C1107" t="str">
            <v>WUBG246M-TS302E</v>
          </cell>
          <cell r="D1107">
            <v>1</v>
          </cell>
          <cell r="E1107" t="str">
            <v>AB PP WC RBI G24-6 DPM TLY-SLD HEYE +L</v>
          </cell>
        </row>
        <row r="1108">
          <cell r="B1108" t="str">
            <v>XMG24-6DPM(TSP)</v>
          </cell>
          <cell r="C1108" t="str">
            <v>WUBG246M-TSP02E</v>
          </cell>
          <cell r="D1108">
            <v>1</v>
          </cell>
          <cell r="E1108" t="str">
            <v>AB PP WC RBI G24-6 DPM TLY-SLD PLUG +L</v>
          </cell>
        </row>
        <row r="1109">
          <cell r="B1109" t="str">
            <v>XMG24-6MF</v>
          </cell>
          <cell r="C1109" t="str">
            <v>WUBG246E-CP302E</v>
          </cell>
          <cell r="D1109">
            <v>1</v>
          </cell>
          <cell r="E1109" t="str">
            <v>AB PP WC RBI-MGOLD G24-620MF AUTO +L</v>
          </cell>
        </row>
        <row r="1110">
          <cell r="B1110" t="str">
            <v>XMG24-6MF(TSH)</v>
          </cell>
          <cell r="C1110" t="str">
            <v>WUBG246E-TS302E</v>
          </cell>
          <cell r="D1110">
            <v>1</v>
          </cell>
          <cell r="E1110" t="str">
            <v>AB PP WC RBI/DS G24-6MF TLY-SLD H-E +L</v>
          </cell>
        </row>
        <row r="1111">
          <cell r="B1111" t="str">
            <v>XMG24-6MF(TSP)</v>
          </cell>
          <cell r="C1111" t="str">
            <v>WUBG246E-TSP02E</v>
          </cell>
          <cell r="D1111">
            <v>1</v>
          </cell>
          <cell r="E1111" t="str">
            <v>AB PP WC RBI/DS G24-6MF TLY-SLD PLUG +L</v>
          </cell>
        </row>
        <row r="1112">
          <cell r="B1112" t="str">
            <v>XMG24-6STD</v>
          </cell>
          <cell r="C1112" t="str">
            <v>WUBG246E-CPP02E</v>
          </cell>
          <cell r="D1112">
            <v>1</v>
          </cell>
          <cell r="E1112" t="str">
            <v>AB PP WC RBI-MGOLD G24-620 AUTO +L</v>
          </cell>
        </row>
        <row r="1113">
          <cell r="B1113" t="str">
            <v>XMG24-75MCRD</v>
          </cell>
          <cell r="C1113" t="str">
            <v>WUBG24OM-CPN02E</v>
          </cell>
          <cell r="D1113">
            <v>1</v>
          </cell>
          <cell r="E1113" t="str">
            <v>AB PP WC RBI-MGOLD G24-11DC 2-POST +L</v>
          </cell>
        </row>
        <row r="1114">
          <cell r="B1114" t="str">
            <v>XMG24-7DPM</v>
          </cell>
          <cell r="C1114" t="str">
            <v>WUBG247M-CP302E</v>
          </cell>
          <cell r="D1114">
            <v>1</v>
          </cell>
          <cell r="E1114" t="str">
            <v>AB PP WC RBI G24-7 DUAL PRPOSE MARINE +L</v>
          </cell>
        </row>
        <row r="1115">
          <cell r="B1115" t="str">
            <v>XMG24-7DPM(TSH)</v>
          </cell>
          <cell r="C1115" t="str">
            <v>WUBG247M-TS302E</v>
          </cell>
          <cell r="D1115">
            <v>1</v>
          </cell>
          <cell r="E1115" t="str">
            <v>AB PP WC RBI G24-7 DPM TTLY SEALED HE +L</v>
          </cell>
        </row>
        <row r="1116">
          <cell r="B1116" t="str">
            <v>XMG24-7DPM(TSP)</v>
          </cell>
          <cell r="C1116" t="str">
            <v>WUBG247M-TSP02E</v>
          </cell>
          <cell r="D1116">
            <v>1</v>
          </cell>
          <cell r="E1116" t="str">
            <v>AB PP WC RBI G24-7 DPM TTLY SEALED EP +L</v>
          </cell>
        </row>
        <row r="1117">
          <cell r="B1117" t="str">
            <v>XMG24-7MF</v>
          </cell>
          <cell r="C1117" t="str">
            <v>WUBG247E-CP302E</v>
          </cell>
          <cell r="D1117">
            <v>1</v>
          </cell>
          <cell r="E1117" t="str">
            <v>AB PP WC RBI-MGOLD G24-730MF AUTO +L</v>
          </cell>
        </row>
        <row r="1118">
          <cell r="B1118" t="str">
            <v>XMG24-7MF(TSH)</v>
          </cell>
          <cell r="C1118" t="str">
            <v>WUBG247E-TS302E</v>
          </cell>
          <cell r="D1118">
            <v>1</v>
          </cell>
          <cell r="E1118" t="str">
            <v>AB PP WC RBI/DS G24-7MF TLY-SLD H-E +L</v>
          </cell>
        </row>
        <row r="1119">
          <cell r="B1119" t="str">
            <v>XMG24-7MF(TSP)</v>
          </cell>
          <cell r="C1119" t="str">
            <v>WUBG247E-TSP02E</v>
          </cell>
          <cell r="D1119">
            <v>1</v>
          </cell>
          <cell r="E1119" t="str">
            <v>AB PP WC RBI/DS G24-7MF TLY-SLD PLUG +L</v>
          </cell>
        </row>
        <row r="1120">
          <cell r="B1120" t="str">
            <v>XMG24-7STD</v>
          </cell>
          <cell r="C1120" t="str">
            <v>WUBG247E-CPP02E</v>
          </cell>
          <cell r="D1120">
            <v>1</v>
          </cell>
          <cell r="E1120" t="str">
            <v>AB PP WC RBI-MGOLD G24-730 AUTO +L</v>
          </cell>
        </row>
        <row r="1121">
          <cell r="B1121" t="str">
            <v>XMG24-90MCRD</v>
          </cell>
          <cell r="C1121" t="str">
            <v>WUBG24PM-CPN02E</v>
          </cell>
          <cell r="D1121">
            <v>1</v>
          </cell>
          <cell r="E1121" t="str">
            <v>AB PP WC RBI-MGOLD G24-13DC 2-POST +L</v>
          </cell>
        </row>
        <row r="1122">
          <cell r="B1122" t="str">
            <v>XMG24F-4MF</v>
          </cell>
          <cell r="C1122" t="str">
            <v>WUBG244I-CP302E</v>
          </cell>
          <cell r="D1122">
            <v>1</v>
          </cell>
          <cell r="E1122" t="str">
            <v>AB PP WC RBI-MGOLD G24F-400MF AUTO +R</v>
          </cell>
        </row>
        <row r="1123">
          <cell r="B1123" t="str">
            <v>XMG24F-4MF(TSH)</v>
          </cell>
          <cell r="C1123" t="str">
            <v>WUBG244I-TS302E</v>
          </cell>
          <cell r="D1123">
            <v>1</v>
          </cell>
          <cell r="E1123" t="str">
            <v>AB PP WC RBI/DS G24F-4MF TLY-SLD HE +R</v>
          </cell>
        </row>
        <row r="1124">
          <cell r="B1124" t="str">
            <v>XMG24F-4MF(TSP)</v>
          </cell>
          <cell r="C1124" t="str">
            <v>WUBG244I-TSP02E</v>
          </cell>
          <cell r="D1124">
            <v>1</v>
          </cell>
          <cell r="E1124" t="str">
            <v>AB PP WC RBI/DS G24F-4MF TLY-SLD PLUG +R</v>
          </cell>
        </row>
        <row r="1125">
          <cell r="B1125" t="str">
            <v>XMG24F-4STD</v>
          </cell>
          <cell r="C1125" t="str">
            <v>WUBG244I-CPP02E</v>
          </cell>
          <cell r="D1125">
            <v>1</v>
          </cell>
          <cell r="E1125" t="str">
            <v>AB PP WC RBI-MGOLD G24F-400 AUTO +R STD</v>
          </cell>
        </row>
        <row r="1126">
          <cell r="B1126" t="str">
            <v>XMG24F-5MF</v>
          </cell>
          <cell r="C1126" t="str">
            <v>WUBG245I-CP302E</v>
          </cell>
          <cell r="D1126">
            <v>1</v>
          </cell>
          <cell r="E1126" t="str">
            <v>AB PP WC RBI-MGOLD G24F-520MF AUTO +R</v>
          </cell>
        </row>
        <row r="1127">
          <cell r="B1127" t="str">
            <v>XMG24F-5MF(TSH)</v>
          </cell>
          <cell r="C1127" t="str">
            <v>WUBG245I-TS302E</v>
          </cell>
          <cell r="D1127">
            <v>1</v>
          </cell>
          <cell r="E1127" t="str">
            <v>AB PP WC RBI/DS G24F-5MF TLY-SLD H-E +R</v>
          </cell>
        </row>
        <row r="1128">
          <cell r="B1128" t="str">
            <v>XMG24F-5MF(TSP)</v>
          </cell>
          <cell r="C1128" t="str">
            <v>WUBG245I-TSP02E</v>
          </cell>
          <cell r="D1128">
            <v>1</v>
          </cell>
          <cell r="E1128" t="str">
            <v>AB PP WC RBI/DS G24F-5MF TLY-SLD PLUG +R</v>
          </cell>
        </row>
        <row r="1129">
          <cell r="B1129" t="str">
            <v>XMG24F-5STD</v>
          </cell>
          <cell r="C1129" t="str">
            <v>WUBG245I-CPP02E</v>
          </cell>
          <cell r="D1129">
            <v>1</v>
          </cell>
          <cell r="E1129" t="str">
            <v>AB PP WC RBI-MGOLD G24F-520 AUTO +R</v>
          </cell>
        </row>
        <row r="1130">
          <cell r="B1130" t="str">
            <v>XMG24F-6MF</v>
          </cell>
          <cell r="C1130" t="str">
            <v>WUBG246I-CP302E</v>
          </cell>
          <cell r="D1130">
            <v>1</v>
          </cell>
          <cell r="E1130" t="str">
            <v>AB PP WC RBI-MGOLD G24F-620MF AUTO +R</v>
          </cell>
        </row>
        <row r="1131">
          <cell r="B1131" t="str">
            <v>XMG24F-6MF(TSH)</v>
          </cell>
          <cell r="C1131" t="str">
            <v>WUBG246I-TS302E</v>
          </cell>
          <cell r="D1131">
            <v>1</v>
          </cell>
          <cell r="E1131" t="str">
            <v>AB PP WC RBI/DS G24F-6MF TLY-SLD H-E +R</v>
          </cell>
        </row>
        <row r="1132">
          <cell r="B1132" t="str">
            <v>XMG24F-6MF(TSP)</v>
          </cell>
          <cell r="C1132" t="str">
            <v>WUBG246I-TSP02E</v>
          </cell>
          <cell r="D1132">
            <v>1</v>
          </cell>
          <cell r="E1132" t="str">
            <v>AB PP WC RBI/DS G24F-6MF TLY-SLD PLUG +R</v>
          </cell>
        </row>
        <row r="1133">
          <cell r="B1133" t="str">
            <v>XMG24F-6STD</v>
          </cell>
          <cell r="C1133" t="str">
            <v>WUBG246I-CPP02E</v>
          </cell>
          <cell r="D1133">
            <v>1</v>
          </cell>
          <cell r="E1133" t="str">
            <v>AB PP WC RBI-MGOLD G24F-620 AUTO +R</v>
          </cell>
        </row>
        <row r="1134">
          <cell r="B1134" t="str">
            <v>XMG24F-7MF</v>
          </cell>
          <cell r="C1134" t="str">
            <v>WUBG247I-CP302E</v>
          </cell>
          <cell r="D1134">
            <v>1</v>
          </cell>
          <cell r="E1134" t="str">
            <v>AB PP WC RBI-MGOLD G24F-730MF AUTO +R</v>
          </cell>
        </row>
        <row r="1135">
          <cell r="B1135" t="str">
            <v>XMG24F-7MF(TSH)</v>
          </cell>
          <cell r="C1135" t="str">
            <v>WUBG247I-TS302E</v>
          </cell>
          <cell r="D1135">
            <v>1</v>
          </cell>
          <cell r="E1135" t="str">
            <v>AB PP WC RBI/DS G24F-7MF TLY-SLD H-E +R</v>
          </cell>
        </row>
        <row r="1136">
          <cell r="B1136" t="str">
            <v>XMG24F-7MF(TSP)</v>
          </cell>
          <cell r="C1136" t="str">
            <v>WUBG247I-TSP02E</v>
          </cell>
          <cell r="D1136">
            <v>1</v>
          </cell>
          <cell r="E1136" t="str">
            <v>AB PP WC RBI/DS G24F-7MF TLY-SLD PLUG +R</v>
          </cell>
        </row>
        <row r="1137">
          <cell r="B1137" t="str">
            <v>XMG24F-7STD</v>
          </cell>
          <cell r="C1137" t="str">
            <v>WUBG247I-CPP02E</v>
          </cell>
          <cell r="D1137">
            <v>1</v>
          </cell>
          <cell r="E1137" t="str">
            <v>AB PP WC RBI-MGOLD G24F-730 AUTO +R</v>
          </cell>
        </row>
        <row r="1138">
          <cell r="B1138" t="str">
            <v>XMG25/75-4MF</v>
          </cell>
          <cell r="C1138" t="str">
            <v>WUBD754D-CP302E</v>
          </cell>
          <cell r="D1138">
            <v>1</v>
          </cell>
          <cell r="E1138" t="str">
            <v>AB PP WC RBI G25/75 +L MF CP DT 400CCA</v>
          </cell>
        </row>
        <row r="1139">
          <cell r="B1139" t="str">
            <v>XMG25/75-4MF(TSH)</v>
          </cell>
          <cell r="C1139" t="str">
            <v>WUBD754D-TS302E</v>
          </cell>
          <cell r="D1139">
            <v>1</v>
          </cell>
          <cell r="E1139" t="str">
            <v>AB PP WC RBI G25/75 TLY-SLD HEYE 400CCA</v>
          </cell>
        </row>
        <row r="1140">
          <cell r="B1140" t="str">
            <v>XMG25/75-4MF(TSP)</v>
          </cell>
          <cell r="C1140" t="str">
            <v>WUBD754D-TSP02E</v>
          </cell>
          <cell r="D1140">
            <v>1</v>
          </cell>
          <cell r="E1140" t="str">
            <v>AB PP WC RBI G25/75 TLY-SLD PLUG 400CCA</v>
          </cell>
        </row>
        <row r="1141">
          <cell r="B1141" t="str">
            <v>XMG25/75-4STD</v>
          </cell>
          <cell r="C1141" t="str">
            <v>WUBD754D-CPP02E</v>
          </cell>
          <cell r="D1141">
            <v>1</v>
          </cell>
          <cell r="E1141" t="str">
            <v>AB PP WC RBI G25/75 STD CP DT 400CCA</v>
          </cell>
        </row>
        <row r="1142">
          <cell r="B1142" t="str">
            <v>XMG25/75-5MF</v>
          </cell>
          <cell r="C1142" t="str">
            <v>WUBD755D-CP302E</v>
          </cell>
          <cell r="D1142">
            <v>1</v>
          </cell>
          <cell r="E1142" t="str">
            <v>AB PP WC RBI-MGOLD G25/75-515MF DT +L</v>
          </cell>
        </row>
        <row r="1143">
          <cell r="B1143" t="str">
            <v>XMG25/75-5MF(TSH)</v>
          </cell>
          <cell r="C1143" t="str">
            <v>WUBD755D-TS302E</v>
          </cell>
          <cell r="D1143">
            <v>1</v>
          </cell>
          <cell r="E1143" t="str">
            <v>AB PP WC RBI/DS G25/75-5MF TLY-SLD H.E.</v>
          </cell>
        </row>
        <row r="1144">
          <cell r="B1144" t="str">
            <v>XMG25/75-5MF(TSP)</v>
          </cell>
          <cell r="C1144" t="str">
            <v>WUBD755D-TSP02E</v>
          </cell>
          <cell r="D1144">
            <v>1</v>
          </cell>
          <cell r="E1144" t="str">
            <v>AB PP WC RBI/DS G25/75-5MF TLY-SLD PLUG</v>
          </cell>
        </row>
        <row r="1145">
          <cell r="B1145" t="str">
            <v>XMG25/75-5STD</v>
          </cell>
          <cell r="C1145" t="str">
            <v>WUBD755D-CPP02E</v>
          </cell>
          <cell r="D1145">
            <v>1</v>
          </cell>
          <cell r="E1145" t="str">
            <v>AB PP WC RBI-MGOLD G25/75-515 DT +L</v>
          </cell>
        </row>
        <row r="1146">
          <cell r="B1146" t="str">
            <v>XMG25/75-6MF</v>
          </cell>
          <cell r="C1146" t="str">
            <v>WUBD756D-CP302E</v>
          </cell>
          <cell r="D1146">
            <v>1</v>
          </cell>
          <cell r="E1146" t="str">
            <v>AB PP WC RBI-MGOLD G25/75-620MF DT +L</v>
          </cell>
        </row>
        <row r="1147">
          <cell r="B1147" t="str">
            <v>XMG25/75-6MF(TSH)</v>
          </cell>
          <cell r="C1147" t="str">
            <v>WUBD756D-TS302E</v>
          </cell>
          <cell r="D1147">
            <v>1</v>
          </cell>
          <cell r="E1147" t="str">
            <v>AB PP WC RBI/DS G25/75-6MF TLY-SLD HE +L</v>
          </cell>
        </row>
        <row r="1148">
          <cell r="B1148" t="str">
            <v>XMG25/75-6MF(TSP)</v>
          </cell>
          <cell r="C1148" t="str">
            <v>WUBD756D-TSP02E</v>
          </cell>
          <cell r="D1148">
            <v>1</v>
          </cell>
          <cell r="E1148" t="str">
            <v>AB PP WC RBI/DS G25/75-6MF TLY-SLD PLUG</v>
          </cell>
        </row>
        <row r="1149">
          <cell r="B1149" t="str">
            <v>XMG25/75-6STD</v>
          </cell>
          <cell r="C1149" t="str">
            <v>WUBD756D-CPP02E</v>
          </cell>
          <cell r="D1149">
            <v>1</v>
          </cell>
          <cell r="E1149" t="str">
            <v>AB PP WC RBI-MGOLD G25/75-620 DT +L</v>
          </cell>
        </row>
        <row r="1150">
          <cell r="B1150" t="str">
            <v>XMG25-5MF</v>
          </cell>
          <cell r="C1150" t="str">
            <v>WUBG255E-CP302E</v>
          </cell>
          <cell r="D1150">
            <v>1</v>
          </cell>
          <cell r="E1150" t="str">
            <v>AB PP WC RBI G25 MF CP +L AUTO 520CCA</v>
          </cell>
        </row>
        <row r="1151">
          <cell r="B1151" t="str">
            <v>XMG25-5MF(TSH)</v>
          </cell>
          <cell r="C1151" t="str">
            <v>WUBG255E-TS302E</v>
          </cell>
          <cell r="D1151">
            <v>1</v>
          </cell>
          <cell r="E1151" t="str">
            <v>AB PP WC RBI G25 TLY-SLD HEYE +L AUTO</v>
          </cell>
        </row>
        <row r="1152">
          <cell r="B1152" t="str">
            <v>XMG25-5MF(TSP)</v>
          </cell>
          <cell r="C1152" t="str">
            <v>WUBG255E-TSP02E</v>
          </cell>
          <cell r="D1152">
            <v>1</v>
          </cell>
          <cell r="E1152" t="str">
            <v>AB PP WC RBI/DS G25-5MF TLY-SLD PLUG +L</v>
          </cell>
        </row>
        <row r="1153">
          <cell r="B1153" t="str">
            <v>XMG25-5STD</v>
          </cell>
          <cell r="C1153" t="str">
            <v>WUBG255E-CPP02E</v>
          </cell>
          <cell r="D1153">
            <v>1</v>
          </cell>
          <cell r="E1153" t="str">
            <v>AB PP WC RBI G25 CP PLUG +L AUTO 520CCA</v>
          </cell>
        </row>
        <row r="1154">
          <cell r="B1154" t="str">
            <v>XMG25-6MF</v>
          </cell>
          <cell r="C1154" t="str">
            <v>WUBG256E-CP302E</v>
          </cell>
          <cell r="D1154">
            <v>1</v>
          </cell>
          <cell r="E1154" t="str">
            <v>AB PP WC RBI G25-6MF +L CP/LP W HEYE</v>
          </cell>
        </row>
        <row r="1155">
          <cell r="B1155" t="str">
            <v>XMG25-6MF(TSH)</v>
          </cell>
          <cell r="C1155" t="str">
            <v>WUBG256E-TS302E</v>
          </cell>
          <cell r="D1155">
            <v>1</v>
          </cell>
          <cell r="E1155" t="str">
            <v>AB PP WC RBI G25-6MF +L TLY-SLD W HEYE</v>
          </cell>
        </row>
        <row r="1156">
          <cell r="B1156" t="str">
            <v>XMG25-6MF(TSP)</v>
          </cell>
          <cell r="C1156" t="str">
            <v>WUBG256E-TSP02E</v>
          </cell>
          <cell r="D1156">
            <v>1</v>
          </cell>
          <cell r="E1156" t="str">
            <v>AB PP WC RBI G25-6MF +L TLY-SLD PLUG</v>
          </cell>
        </row>
        <row r="1157">
          <cell r="B1157" t="str">
            <v>XMG25-6STD</v>
          </cell>
          <cell r="C1157" t="str">
            <v>WUBG256E-CPP02E</v>
          </cell>
          <cell r="D1157">
            <v>1</v>
          </cell>
          <cell r="E1157" t="str">
            <v>AB PP WC RBI G25-6MF +L CP/LP PLUG</v>
          </cell>
        </row>
        <row r="1158">
          <cell r="B1158" t="str">
            <v>XMG27-105MCRD</v>
          </cell>
          <cell r="C1158" t="str">
            <v>WUBG27QM-CPN02E</v>
          </cell>
          <cell r="D1158">
            <v>1</v>
          </cell>
          <cell r="E1158" t="str">
            <v>AB PP WC RBI-MGOLD G27-15DC 2-POST +L</v>
          </cell>
        </row>
        <row r="1159">
          <cell r="B1159" t="str">
            <v>XMG27-6DPM</v>
          </cell>
          <cell r="C1159" t="str">
            <v>WUBG276M-CP302E</v>
          </cell>
          <cell r="D1159">
            <v>1</v>
          </cell>
          <cell r="E1159" t="str">
            <v>AB PP WC RBI G27-6 DPM ACCESIBLE +L</v>
          </cell>
        </row>
        <row r="1160">
          <cell r="B1160" t="str">
            <v>XMG27-6DPM(TSH)</v>
          </cell>
          <cell r="C1160" t="str">
            <v>WUBG276M-TS302E</v>
          </cell>
          <cell r="D1160">
            <v>1</v>
          </cell>
          <cell r="E1160" t="str">
            <v>AB PP WC RBI G27-6 DPM TTLY-SLD HEYE +L</v>
          </cell>
        </row>
        <row r="1161">
          <cell r="B1161" t="str">
            <v>XMG27-6DPM(TSP)</v>
          </cell>
          <cell r="C1161" t="str">
            <v>WUBG276M-TSP02E</v>
          </cell>
          <cell r="D1161">
            <v>1</v>
          </cell>
          <cell r="E1161" t="str">
            <v>AB PP WC RBI G27-6 DPM TTLY-SLD PLUG +L</v>
          </cell>
        </row>
        <row r="1162">
          <cell r="B1162" t="str">
            <v>XMG27-6MF</v>
          </cell>
          <cell r="C1162" t="str">
            <v>WUBG276E-CP302E</v>
          </cell>
          <cell r="D1162">
            <v>1</v>
          </cell>
          <cell r="E1162" t="str">
            <v>AB PP WC RBI-MGOLD G27-620MF AUTO +L</v>
          </cell>
        </row>
        <row r="1163">
          <cell r="B1163" t="str">
            <v>XMG27-6MF(TSH)</v>
          </cell>
          <cell r="C1163" t="str">
            <v>WUBG276R-TS302E</v>
          </cell>
          <cell r="D1163">
            <v>1</v>
          </cell>
          <cell r="E1163" t="str">
            <v>AB PP WC RBI-DS G27-6MF TLY-SLD HE +L</v>
          </cell>
        </row>
        <row r="1164">
          <cell r="B1164" t="str">
            <v>XMG27-6MF(TSP)</v>
          </cell>
          <cell r="C1164" t="str">
            <v>WUBG276R-TSP02E</v>
          </cell>
          <cell r="D1164">
            <v>1</v>
          </cell>
          <cell r="E1164" t="str">
            <v>AB PP WC RBI-DS G27-6MF TLY-SLD PLUG +L</v>
          </cell>
        </row>
        <row r="1165">
          <cell r="B1165" t="str">
            <v>XMG27-6STD</v>
          </cell>
          <cell r="C1165" t="str">
            <v>WUBG276E-CPP02E</v>
          </cell>
          <cell r="D1165">
            <v>1</v>
          </cell>
          <cell r="E1165" t="str">
            <v>AB PP WC RBI-MGOLD G27-620 AUTO +L</v>
          </cell>
        </row>
        <row r="1166">
          <cell r="B1166" t="str">
            <v>XMG27-7DPM</v>
          </cell>
          <cell r="C1166" t="str">
            <v>WUBG277M-CP302E</v>
          </cell>
          <cell r="D1166">
            <v>1</v>
          </cell>
          <cell r="E1166" t="str">
            <v>AB PP WC RBI G27-7 ACCESIBLE DPM +L</v>
          </cell>
        </row>
        <row r="1167">
          <cell r="B1167" t="str">
            <v>XMG27-7DPM(TSH)</v>
          </cell>
          <cell r="C1167" t="str">
            <v>WUBG277M-TS302E</v>
          </cell>
          <cell r="D1167">
            <v>1</v>
          </cell>
          <cell r="E1167" t="str">
            <v>AB PP WC RBI G27-7 DPM TTLY SEALED HE +L</v>
          </cell>
        </row>
        <row r="1168">
          <cell r="B1168" t="str">
            <v>XMG27-7DPM(TSP)</v>
          </cell>
          <cell r="C1168" t="str">
            <v>WUBG277M-TSP02E</v>
          </cell>
          <cell r="D1168">
            <v>1</v>
          </cell>
          <cell r="E1168" t="str">
            <v>AB PP WC RBI G27-7 DPM TTLY SEALED EP +L</v>
          </cell>
        </row>
        <row r="1169">
          <cell r="B1169" t="str">
            <v>XMG27-7MF</v>
          </cell>
          <cell r="C1169" t="str">
            <v>WUBG277E-CP302E</v>
          </cell>
          <cell r="D1169">
            <v>1</v>
          </cell>
          <cell r="E1169" t="str">
            <v>AB PP WC RBI-MGOLD G27-730MF AUTO +L</v>
          </cell>
        </row>
        <row r="1170">
          <cell r="B1170" t="str">
            <v>XMG27-7MF(TSH)</v>
          </cell>
          <cell r="C1170" t="str">
            <v>WUBG277E-TS302E</v>
          </cell>
          <cell r="D1170">
            <v>1</v>
          </cell>
          <cell r="E1170" t="str">
            <v>AB PP WC RBI-DS G27-7MF TLY-SLD HE +L</v>
          </cell>
        </row>
        <row r="1171">
          <cell r="B1171" t="str">
            <v>XMG27-7MF(TSP)</v>
          </cell>
          <cell r="C1171" t="str">
            <v>WUBG277E-TSP02E</v>
          </cell>
          <cell r="D1171">
            <v>1</v>
          </cell>
          <cell r="E1171" t="str">
            <v>AB PP WC RBI-DS G27-7MF TLY-SLD PLUG +L</v>
          </cell>
        </row>
        <row r="1172">
          <cell r="B1172" t="str">
            <v>XMG27-7STD</v>
          </cell>
          <cell r="C1172" t="str">
            <v>WUBG277E-CPP02E</v>
          </cell>
          <cell r="D1172">
            <v>1</v>
          </cell>
          <cell r="E1172" t="str">
            <v>AB PP WC RBI-MGOLD G27-730 AUTO +L</v>
          </cell>
        </row>
        <row r="1173">
          <cell r="B1173" t="str">
            <v>XMG27-90MCRD</v>
          </cell>
          <cell r="C1173" t="str">
            <v>WUBG27PM-CPN02E</v>
          </cell>
          <cell r="D1173">
            <v>1</v>
          </cell>
          <cell r="E1173" t="str">
            <v>AB PP WC RBI-MGOLD G27-13DC 2-POST +L</v>
          </cell>
        </row>
        <row r="1174">
          <cell r="B1174" t="str">
            <v>XMG27F-6MF</v>
          </cell>
          <cell r="C1174" t="str">
            <v>WUBG276I-CP302E</v>
          </cell>
          <cell r="D1174">
            <v>1</v>
          </cell>
          <cell r="E1174" t="str">
            <v>AB PP WC RBI-MGOLD G27F-620MF AUTO +R</v>
          </cell>
        </row>
        <row r="1175">
          <cell r="B1175" t="str">
            <v>XMG27F-6MF(TSH)</v>
          </cell>
          <cell r="C1175" t="str">
            <v>WUBG276I-TS302E</v>
          </cell>
          <cell r="D1175">
            <v>1</v>
          </cell>
          <cell r="E1175" t="str">
            <v>AB PP WC RBI/DS G27F-6MF TLY-SLD HE +L</v>
          </cell>
        </row>
        <row r="1176">
          <cell r="B1176" t="str">
            <v>XMG27F-6MF(TSP)</v>
          </cell>
          <cell r="C1176" t="str">
            <v>WUBG276I-TSP02E</v>
          </cell>
          <cell r="D1176">
            <v>1</v>
          </cell>
          <cell r="E1176" t="str">
            <v>AB PP WC RBI/DS G27F-6MF TLY-SLD PLUG +L</v>
          </cell>
        </row>
        <row r="1177">
          <cell r="B1177" t="str">
            <v>XMG27F-6STD</v>
          </cell>
          <cell r="C1177" t="str">
            <v>WUBG276I-CPP02E</v>
          </cell>
          <cell r="D1177">
            <v>1</v>
          </cell>
          <cell r="E1177" t="str">
            <v>AB PP WC RBI-MGOLD G27F-620 AUTO +R</v>
          </cell>
        </row>
        <row r="1178">
          <cell r="B1178" t="str">
            <v>XMG27F-7MF</v>
          </cell>
          <cell r="C1178" t="str">
            <v>WUBG277I-CP302E</v>
          </cell>
          <cell r="D1178">
            <v>1</v>
          </cell>
          <cell r="E1178" t="str">
            <v>AB PP WC RBI-MGOLD G27F-730MF AUTO +R</v>
          </cell>
        </row>
        <row r="1179">
          <cell r="B1179" t="str">
            <v>XMG27F-7MF(TSH)</v>
          </cell>
          <cell r="C1179" t="str">
            <v>WUBG277I-TS302E</v>
          </cell>
          <cell r="D1179">
            <v>1</v>
          </cell>
          <cell r="E1179" t="str">
            <v>AB PP WC RBI/DS G27F-7MF TLY-SLD HE +L</v>
          </cell>
        </row>
        <row r="1180">
          <cell r="B1180" t="str">
            <v>XMG27F-7MF(TSP)</v>
          </cell>
          <cell r="C1180" t="str">
            <v>WUBG277I-TSP02E</v>
          </cell>
          <cell r="D1180">
            <v>1</v>
          </cell>
          <cell r="E1180" t="str">
            <v>AB PP WC RBI-DS G27F-7MF TLY-SLD PLUG +L</v>
          </cell>
        </row>
        <row r="1181">
          <cell r="B1181" t="str">
            <v>XMG27F-7STD</v>
          </cell>
          <cell r="C1181" t="str">
            <v>WUBG277I-CPP02E</v>
          </cell>
          <cell r="D1181">
            <v>1</v>
          </cell>
          <cell r="E1181" t="str">
            <v>AB PP WC RBI-MGOLD G27F-730 AUTO +R</v>
          </cell>
        </row>
        <row r="1182">
          <cell r="B1182" t="str">
            <v>XMG31A-10MF</v>
          </cell>
          <cell r="C1182" t="str">
            <v>WUBB31ZE-CP302E</v>
          </cell>
          <cell r="D1182">
            <v>1</v>
          </cell>
          <cell r="E1182" t="str">
            <v>AB PP WC RBI-MGOLD G31 MFBK AUTO 1000CCA</v>
          </cell>
        </row>
        <row r="1183">
          <cell r="B1183" t="str">
            <v>XMG31A-10MF(TSH)</v>
          </cell>
          <cell r="C1183" t="str">
            <v>WUBB31ZR-TS302E</v>
          </cell>
          <cell r="D1183">
            <v>1</v>
          </cell>
          <cell r="E1183" t="str">
            <v>AB PP WC G31A-10 TLY-SLD MF HEYE BLK</v>
          </cell>
        </row>
        <row r="1184">
          <cell r="B1184" t="str">
            <v>XMG31A-10MF(TSP)</v>
          </cell>
          <cell r="C1184" t="str">
            <v>WUBB31ZR-TSP02E</v>
          </cell>
          <cell r="D1184">
            <v>1</v>
          </cell>
          <cell r="E1184" t="str">
            <v>AB PP WC G31A-10 TLY-SLD MF PLUG BLK</v>
          </cell>
        </row>
        <row r="1185">
          <cell r="B1185" t="str">
            <v>XMG31A-10STD</v>
          </cell>
          <cell r="C1185" t="str">
            <v>WUBB31ZE-CPP02E</v>
          </cell>
          <cell r="D1185">
            <v>1</v>
          </cell>
          <cell r="E1185" t="str">
            <v>AB PP WC RBI G31-10 CP PLUG +L AUTO BLK</v>
          </cell>
        </row>
        <row r="1186">
          <cell r="B1186" t="str">
            <v>XMG31A-6MF</v>
          </cell>
          <cell r="C1186" t="str">
            <v>WUBB316E-CP302E</v>
          </cell>
          <cell r="D1186">
            <v>1</v>
          </cell>
          <cell r="E1186" t="str">
            <v>AB PP WC RBI  G31-6 CP HEYE +L AUTO BLK</v>
          </cell>
        </row>
        <row r="1187">
          <cell r="B1187" t="str">
            <v>XMG31A-6MF(TSH)</v>
          </cell>
          <cell r="C1187" t="str">
            <v>WUBB316R-TS302E</v>
          </cell>
          <cell r="D1187">
            <v>1</v>
          </cell>
          <cell r="E1187" t="str">
            <v>AB PP WC G31A-6 TLY-SLD MF HEYE BLK</v>
          </cell>
        </row>
        <row r="1188">
          <cell r="B1188" t="str">
            <v>XMG31A-6MF(TSP)</v>
          </cell>
          <cell r="C1188" t="str">
            <v>WUBB316R-TSP02E</v>
          </cell>
          <cell r="D1188">
            <v>1</v>
          </cell>
          <cell r="E1188" t="str">
            <v>AB PP WC G31A-6 TLY-SLD MF PLUG BLK</v>
          </cell>
        </row>
        <row r="1189">
          <cell r="B1189" t="str">
            <v>XMG31A-6STD</v>
          </cell>
          <cell r="C1189" t="str">
            <v>WUBB316E-CPP02E</v>
          </cell>
          <cell r="D1189">
            <v>1</v>
          </cell>
          <cell r="E1189" t="str">
            <v>AB PP WC RBI-MGOLD G31-600 AUTO</v>
          </cell>
        </row>
        <row r="1190">
          <cell r="B1190" t="str">
            <v>XMG31A-7MF</v>
          </cell>
          <cell r="C1190" t="str">
            <v>WUBB317E-CP302E</v>
          </cell>
          <cell r="D1190">
            <v>1</v>
          </cell>
          <cell r="E1190" t="str">
            <v>AB PP WC RBI-MGOLD G31-MF AUTO 700-CCA</v>
          </cell>
        </row>
        <row r="1191">
          <cell r="B1191" t="str">
            <v>XMG31A-7MF(TSH)</v>
          </cell>
          <cell r="C1191" t="str">
            <v>WUBB317R-TS302E</v>
          </cell>
          <cell r="D1191">
            <v>1</v>
          </cell>
          <cell r="E1191" t="str">
            <v>AB PP WC G31A-7 TLY-SLD MF HEYE BLK</v>
          </cell>
        </row>
        <row r="1192">
          <cell r="B1192" t="str">
            <v>XMG31A-7MF(TSP)</v>
          </cell>
          <cell r="C1192" t="str">
            <v>WUBB317R-TSP02E</v>
          </cell>
          <cell r="D1192">
            <v>1</v>
          </cell>
          <cell r="E1192" t="str">
            <v>AB PP WC G31A-7 TLY-SLD MF PLUG BLK</v>
          </cell>
        </row>
        <row r="1193">
          <cell r="B1193" t="str">
            <v>XMG31A-7STD</v>
          </cell>
          <cell r="C1193" t="str">
            <v>WUBB317E-CPP02E</v>
          </cell>
          <cell r="D1193">
            <v>1</v>
          </cell>
          <cell r="E1193" t="str">
            <v>AB PP WC RBI-MGOLD G31-700 AUTO</v>
          </cell>
        </row>
        <row r="1194">
          <cell r="B1194" t="str">
            <v>XMG31A-8MF</v>
          </cell>
          <cell r="C1194" t="str">
            <v>WUBB318E-CP302E</v>
          </cell>
          <cell r="D1194">
            <v>1</v>
          </cell>
          <cell r="E1194" t="str">
            <v>AB PP WC RBI-MGOLD G31 MF AUTO BK 800CCA</v>
          </cell>
        </row>
        <row r="1195">
          <cell r="B1195" t="str">
            <v>XMG31A-8MF(TSH)</v>
          </cell>
          <cell r="C1195" t="str">
            <v>WUBB318R-TS302E</v>
          </cell>
          <cell r="D1195">
            <v>1</v>
          </cell>
          <cell r="E1195" t="str">
            <v>AB PP WC G31A-8 TLY-SLD MF HEYE BLK</v>
          </cell>
        </row>
        <row r="1196">
          <cell r="B1196" t="str">
            <v>XMG31A-8MF(TSP)</v>
          </cell>
          <cell r="C1196" t="str">
            <v>WUBB318R-TSP02E</v>
          </cell>
          <cell r="D1196">
            <v>1</v>
          </cell>
          <cell r="E1196" t="str">
            <v>AB PP WC G31A-8 TLY-SLD MF PLUG BLK</v>
          </cell>
        </row>
        <row r="1197">
          <cell r="B1197" t="str">
            <v>XMG31A-8STD</v>
          </cell>
          <cell r="C1197" t="str">
            <v>WUBB318E-CPP02E</v>
          </cell>
          <cell r="D1197">
            <v>1</v>
          </cell>
          <cell r="E1197" t="str">
            <v>AB PP WC RBI G31-8 CP PLUG +L AUTO BLACK</v>
          </cell>
        </row>
        <row r="1198">
          <cell r="B1198" t="str">
            <v>XMG31A-9MF</v>
          </cell>
          <cell r="C1198" t="str">
            <v>WUBB319E-CP302E</v>
          </cell>
          <cell r="D1198">
            <v>1</v>
          </cell>
          <cell r="E1198" t="str">
            <v>AB PP WC G31A-9MF</v>
          </cell>
        </row>
        <row r="1199">
          <cell r="B1199" t="str">
            <v>XMG31A-9MF(TSH)</v>
          </cell>
          <cell r="C1199" t="str">
            <v>WUBB319R-TS302E</v>
          </cell>
          <cell r="D1199">
            <v>1</v>
          </cell>
          <cell r="E1199" t="str">
            <v>AB PP WC G31A-9 TLY-SLD MF HEYE BLK</v>
          </cell>
        </row>
        <row r="1200">
          <cell r="B1200" t="str">
            <v>XMG31A-9MF(TSP)</v>
          </cell>
          <cell r="C1200" t="str">
            <v>WUBB319R-TSP02E</v>
          </cell>
          <cell r="D1200">
            <v>1</v>
          </cell>
          <cell r="E1200" t="str">
            <v>AB PP WC G31A-9 TLY-SLD MF PLUG BLK</v>
          </cell>
        </row>
        <row r="1201">
          <cell r="B1201" t="str">
            <v>XMG31A-9STD</v>
          </cell>
          <cell r="C1201" t="str">
            <v>WUBB319E-CPP02E</v>
          </cell>
          <cell r="D1201">
            <v>1</v>
          </cell>
          <cell r="E1201" t="str">
            <v>AB PP WC RBI-MGOLD G31-930 AUTO</v>
          </cell>
        </row>
        <row r="1202">
          <cell r="B1202" t="str">
            <v>XMG31AG-10MF</v>
          </cell>
          <cell r="C1202" t="str">
            <v>WUBG31ZE-CP302E</v>
          </cell>
          <cell r="D1202">
            <v>1</v>
          </cell>
          <cell r="E1202" t="str">
            <v>AB PP WC RBI-MGOLD G31 MFGY AUTO 1000CCA</v>
          </cell>
        </row>
        <row r="1203">
          <cell r="B1203" t="str">
            <v>XMG31AG-10MF(TSH)</v>
          </cell>
          <cell r="C1203" t="str">
            <v>WUBG31ZR-TS302E</v>
          </cell>
          <cell r="D1203">
            <v>1</v>
          </cell>
          <cell r="E1203" t="str">
            <v>AB PP WC G31A-10 TLY-SLD MF HEYE GRAY</v>
          </cell>
        </row>
        <row r="1204">
          <cell r="B1204" t="str">
            <v>XMG31AG-10MF(TSP)</v>
          </cell>
          <cell r="C1204" t="str">
            <v>WUBG31ZR-TSP02E</v>
          </cell>
          <cell r="D1204">
            <v>1</v>
          </cell>
          <cell r="E1204" t="str">
            <v>AB PP WC G31A-10 TLY-SLD MF PLUG GRAY</v>
          </cell>
        </row>
        <row r="1205">
          <cell r="B1205" t="str">
            <v>XMG31AG-10STD</v>
          </cell>
          <cell r="C1205" t="str">
            <v>WUBG31ZE-CPP02E</v>
          </cell>
          <cell r="D1205">
            <v>1</v>
          </cell>
          <cell r="E1205" t="str">
            <v>AB PP WC RBI G31-10 CP PLUG +L AUTO GY</v>
          </cell>
        </row>
        <row r="1206">
          <cell r="B1206" t="str">
            <v>XMG31AG-6MF</v>
          </cell>
          <cell r="C1206" t="str">
            <v>WUBG316E-CP302E</v>
          </cell>
          <cell r="D1206">
            <v>1</v>
          </cell>
          <cell r="E1206" t="str">
            <v>AB PP WC RBI G31-6 CP HEYE +L AUTO GRAY</v>
          </cell>
        </row>
        <row r="1207">
          <cell r="B1207" t="str">
            <v>XMG31AG-6MF(TSH)</v>
          </cell>
          <cell r="C1207" t="str">
            <v>WUBG316R-TS302E</v>
          </cell>
          <cell r="D1207">
            <v>1</v>
          </cell>
          <cell r="E1207" t="str">
            <v>AB PP WC G31A-6 TLY-SLD MF HEYE GRAY</v>
          </cell>
        </row>
        <row r="1208">
          <cell r="B1208" t="str">
            <v>XMG31AG-6MF(TSP)</v>
          </cell>
          <cell r="C1208" t="str">
            <v>WUBG316R-TSP02E</v>
          </cell>
          <cell r="D1208">
            <v>1</v>
          </cell>
          <cell r="E1208" t="str">
            <v>AB PP WC G31A-6 TLY-SLD MF PLUG GRAY</v>
          </cell>
        </row>
        <row r="1209">
          <cell r="B1209" t="str">
            <v>XMG31AG-6STD</v>
          </cell>
          <cell r="C1209" t="str">
            <v>WUBG316E-CPP02E</v>
          </cell>
          <cell r="D1209">
            <v>1</v>
          </cell>
          <cell r="E1209" t="str">
            <v>AB PP WC RBI G31-6 CP PLUG +L AUTO GRAY</v>
          </cell>
        </row>
        <row r="1210">
          <cell r="B1210" t="str">
            <v>XMG31AG-7MF</v>
          </cell>
          <cell r="C1210" t="str">
            <v>WUBG317E-CP302E</v>
          </cell>
          <cell r="D1210">
            <v>1</v>
          </cell>
          <cell r="E1210" t="str">
            <v>AB PP WC RBI G31AG-7MF</v>
          </cell>
        </row>
        <row r="1211">
          <cell r="B1211" t="str">
            <v>XMG31AG-7MF(TSH)</v>
          </cell>
          <cell r="C1211" t="str">
            <v>WUBG317R-TS302E</v>
          </cell>
          <cell r="D1211">
            <v>1</v>
          </cell>
          <cell r="E1211" t="str">
            <v>AB PP WC G31A-7 TLY-SLD MF HEYE GRAY</v>
          </cell>
        </row>
        <row r="1212">
          <cell r="B1212" t="str">
            <v>XMG31AG-7MF(TSP)</v>
          </cell>
          <cell r="C1212" t="str">
            <v>WUBG317R-TSP02E</v>
          </cell>
          <cell r="D1212">
            <v>1</v>
          </cell>
          <cell r="E1212" t="str">
            <v>AB PP WC G31A-7 TLY-SLD MF PLUG GRAY</v>
          </cell>
        </row>
        <row r="1213">
          <cell r="B1213" t="str">
            <v>XMG31AG-8MF</v>
          </cell>
          <cell r="C1213" t="str">
            <v>WUBG318E-CP302E</v>
          </cell>
          <cell r="D1213">
            <v>1</v>
          </cell>
          <cell r="E1213" t="str">
            <v>AB PP WC RBI-MGOLD G31 MF AUTO GY 800CCA</v>
          </cell>
        </row>
        <row r="1214">
          <cell r="B1214" t="str">
            <v>XMG31AG-8MF(TSH)</v>
          </cell>
          <cell r="C1214" t="str">
            <v>WUBG318R-TS302E</v>
          </cell>
          <cell r="D1214">
            <v>1</v>
          </cell>
          <cell r="E1214" t="str">
            <v>AB PP WC G31A-8 TLY-SLD MF HEYE GRAY</v>
          </cell>
        </row>
        <row r="1215">
          <cell r="B1215" t="str">
            <v>XMG31AG-8MF(TSP)</v>
          </cell>
          <cell r="C1215" t="str">
            <v>WUBG318R-TSP02E</v>
          </cell>
          <cell r="D1215">
            <v>1</v>
          </cell>
          <cell r="E1215" t="str">
            <v>AB PP WC G31A-8 TLY-SLD MF PLUG GRAY</v>
          </cell>
        </row>
        <row r="1216">
          <cell r="B1216" t="str">
            <v>XMG31AG-8STD</v>
          </cell>
          <cell r="C1216" t="str">
            <v>WUBG318E-CPP02E</v>
          </cell>
          <cell r="D1216">
            <v>1</v>
          </cell>
          <cell r="E1216" t="str">
            <v>AB PP WC RBI G31-8 CP PLUG +L AUTO GRAY</v>
          </cell>
        </row>
        <row r="1217">
          <cell r="B1217" t="str">
            <v>XMG31AG-9MF</v>
          </cell>
          <cell r="C1217" t="str">
            <v>WUBG319R-CP302E</v>
          </cell>
          <cell r="D1217">
            <v>1</v>
          </cell>
          <cell r="E1217" t="str">
            <v>AB PP WC RBI-MGOLD G31-MF AUTO GRAY 930-</v>
          </cell>
        </row>
        <row r="1218">
          <cell r="B1218" t="str">
            <v>XMG31AG-9MF(TSH)</v>
          </cell>
          <cell r="C1218" t="str">
            <v>WUBG319E-TS302E</v>
          </cell>
          <cell r="D1218">
            <v>1</v>
          </cell>
          <cell r="E1218" t="str">
            <v>AB PP WC G31A-9 TLY-SLD MF HEYE GRAY</v>
          </cell>
        </row>
        <row r="1219">
          <cell r="B1219" t="str">
            <v>XMG31AG-9MF(TSP)</v>
          </cell>
          <cell r="C1219" t="str">
            <v>WUBG319E-TSP02E</v>
          </cell>
          <cell r="D1219">
            <v>1</v>
          </cell>
          <cell r="E1219" t="str">
            <v>AB PP WC G31A-9 TLY-SLD MF PLUG GRAY</v>
          </cell>
        </row>
        <row r="1220">
          <cell r="B1220" t="str">
            <v>XMG31AG-9STD</v>
          </cell>
          <cell r="C1220" t="str">
            <v>WUBG319R-CPP02E</v>
          </cell>
          <cell r="D1220">
            <v>1</v>
          </cell>
          <cell r="E1220" t="str">
            <v>AB PP WC RBI-MGOLD G31-930G AUTO</v>
          </cell>
        </row>
        <row r="1221">
          <cell r="B1221" t="str">
            <v>XMG31S-10MF</v>
          </cell>
          <cell r="C1221" t="str">
            <v>WUBB31ZT-CP302E</v>
          </cell>
          <cell r="D1221">
            <v>1</v>
          </cell>
          <cell r="E1221" t="str">
            <v>AB PP WC RBI-MGOLD G31 MFBK STUD 1000CCA</v>
          </cell>
        </row>
        <row r="1222">
          <cell r="B1222" t="str">
            <v>XMG31S-10MF(TSH)</v>
          </cell>
          <cell r="C1222" t="str">
            <v>WUBB31ZT-TS302E</v>
          </cell>
          <cell r="D1222">
            <v>1</v>
          </cell>
          <cell r="E1222" t="str">
            <v>AB PP WC G31S-10 TLY-SLD MF HEYE BLK</v>
          </cell>
        </row>
        <row r="1223">
          <cell r="B1223" t="str">
            <v>XMG31S-10MF(TSP)</v>
          </cell>
          <cell r="C1223" t="str">
            <v>WUBB31ZT-TSP02E</v>
          </cell>
          <cell r="D1223">
            <v>1</v>
          </cell>
          <cell r="E1223" t="str">
            <v>AB PP WC G31S-10 TLY-SLD MF PLUG BLK</v>
          </cell>
        </row>
        <row r="1224">
          <cell r="B1224" t="str">
            <v>XMG31S-10STD</v>
          </cell>
          <cell r="C1224" t="str">
            <v>WUBB31ZT-CPP02E</v>
          </cell>
          <cell r="D1224">
            <v>1</v>
          </cell>
          <cell r="E1224" t="str">
            <v>AB PP WC RBI G31-10 CP PLUG +L STUD BLK</v>
          </cell>
        </row>
        <row r="1225">
          <cell r="B1225" t="str">
            <v>XMG31S-6MF</v>
          </cell>
          <cell r="C1225" t="str">
            <v>WUBB316T-CP302E</v>
          </cell>
          <cell r="D1225">
            <v>1</v>
          </cell>
          <cell r="E1225" t="str">
            <v>AB PP WC RBI G31-6 CP HEYE +L STUD BLACK</v>
          </cell>
        </row>
        <row r="1226">
          <cell r="B1226" t="str">
            <v>XMG31S-6MF(TSH)</v>
          </cell>
          <cell r="C1226" t="str">
            <v>WUBB316T-TS302E</v>
          </cell>
          <cell r="D1226">
            <v>1</v>
          </cell>
          <cell r="E1226" t="str">
            <v>AB PP WC G31S-6 TLY-SLD MF HEYE BLK</v>
          </cell>
        </row>
        <row r="1227">
          <cell r="B1227" t="str">
            <v>XMG31S-6MF(TSP)</v>
          </cell>
          <cell r="C1227" t="str">
            <v>WUBB316T-TSP02E</v>
          </cell>
          <cell r="D1227">
            <v>1</v>
          </cell>
          <cell r="E1227" t="str">
            <v>AB PP WC G31S-6 TLY-SLD MF PLUG BLK</v>
          </cell>
        </row>
        <row r="1228">
          <cell r="B1228" t="str">
            <v>XMG31S-6STD</v>
          </cell>
          <cell r="C1228" t="str">
            <v>WUBB316T-CPP02E</v>
          </cell>
          <cell r="D1228">
            <v>1</v>
          </cell>
          <cell r="E1228" t="str">
            <v>AB PP WC RBI-MGOLD G31-600 STUD</v>
          </cell>
        </row>
        <row r="1229">
          <cell r="B1229" t="str">
            <v>XMG31S-7MF</v>
          </cell>
          <cell r="C1229" t="str">
            <v>WUBB317T-CP302E</v>
          </cell>
          <cell r="D1229">
            <v>1</v>
          </cell>
          <cell r="E1229" t="str">
            <v>AB PP WC RBI-MGOLD G31-MF STUD 700-CCA</v>
          </cell>
        </row>
        <row r="1230">
          <cell r="B1230" t="str">
            <v>XMG31S-7MF(TSH)</v>
          </cell>
          <cell r="C1230" t="str">
            <v>WUBB317T-TS302E</v>
          </cell>
          <cell r="D1230">
            <v>1</v>
          </cell>
          <cell r="E1230" t="str">
            <v>AB PP WC G31S-7 TLY-SLD MF HEYE BLK</v>
          </cell>
        </row>
        <row r="1231">
          <cell r="B1231" t="str">
            <v>XMG31S-7MF(TSP)</v>
          </cell>
          <cell r="C1231" t="str">
            <v>WUBB317T-TSP02E</v>
          </cell>
          <cell r="D1231">
            <v>1</v>
          </cell>
          <cell r="E1231" t="str">
            <v>AB PP WC G31S-7 TLY-SLD MF PLUG BLK</v>
          </cell>
        </row>
        <row r="1232">
          <cell r="B1232" t="str">
            <v>XMG31S-7STD</v>
          </cell>
          <cell r="C1232" t="str">
            <v>WUBB317T-CPP02E</v>
          </cell>
          <cell r="D1232">
            <v>1</v>
          </cell>
          <cell r="E1232" t="str">
            <v>AB PP WC RBI-MGOLD G31-700 STUD</v>
          </cell>
        </row>
        <row r="1233">
          <cell r="B1233" t="str">
            <v>XMG31S-8MF</v>
          </cell>
          <cell r="C1233" t="str">
            <v>WUBB318T-CP302E</v>
          </cell>
          <cell r="D1233">
            <v>1</v>
          </cell>
          <cell r="E1233" t="str">
            <v>AB PP WC RBI-MGOLD G31 MF STUD BK 800CCA</v>
          </cell>
        </row>
        <row r="1234">
          <cell r="B1234" t="str">
            <v>XMG31S-8MF(TSH)</v>
          </cell>
          <cell r="C1234" t="str">
            <v>WUBB318T-TS302E</v>
          </cell>
          <cell r="D1234">
            <v>1</v>
          </cell>
          <cell r="E1234" t="str">
            <v>AB PP WC G31S-8 TLY-SLD MF HEYE BLK</v>
          </cell>
        </row>
        <row r="1235">
          <cell r="B1235" t="str">
            <v>XMG31S-8MF(TSP)</v>
          </cell>
          <cell r="C1235" t="str">
            <v>WUBB318T-TSP02E</v>
          </cell>
          <cell r="D1235">
            <v>1</v>
          </cell>
          <cell r="E1235" t="str">
            <v>AB PP WC G31S-8 TLY-SLD MF PLUG BLK</v>
          </cell>
        </row>
        <row r="1236">
          <cell r="B1236" t="str">
            <v>XMG31S-8STD</v>
          </cell>
          <cell r="C1236" t="str">
            <v>WUBB318T-CPP02E</v>
          </cell>
          <cell r="D1236">
            <v>1</v>
          </cell>
          <cell r="E1236" t="str">
            <v>AB PP WC RBI G31-8 CP PLUG +L STUD BLACK</v>
          </cell>
        </row>
        <row r="1237">
          <cell r="B1237" t="str">
            <v>XMG31S-9MF</v>
          </cell>
          <cell r="C1237" t="str">
            <v>WUBB319T-CP302E</v>
          </cell>
          <cell r="D1237">
            <v>1</v>
          </cell>
          <cell r="E1237" t="str">
            <v>AB PP WC G31S-9MF</v>
          </cell>
        </row>
        <row r="1238">
          <cell r="B1238" t="str">
            <v>XMG31S-9MF(TSH)</v>
          </cell>
          <cell r="C1238" t="str">
            <v>WUBB319T-TS302E</v>
          </cell>
          <cell r="D1238">
            <v>1</v>
          </cell>
          <cell r="E1238" t="str">
            <v>AB PP WC G31S-9 TLY-SLD MF HEYE BLK</v>
          </cell>
        </row>
        <row r="1239">
          <cell r="B1239" t="str">
            <v>XMG31S-9MF(TSP)</v>
          </cell>
          <cell r="C1239" t="str">
            <v>WUBB319T-TSP02E</v>
          </cell>
          <cell r="D1239">
            <v>1</v>
          </cell>
          <cell r="E1239" t="str">
            <v>AB PP WC G31S-9 TLY-SLD MF PLUG BLK</v>
          </cell>
        </row>
        <row r="1240">
          <cell r="B1240" t="str">
            <v>XMG31S-9STD</v>
          </cell>
          <cell r="C1240" t="str">
            <v>WUBB319T-CPP02E</v>
          </cell>
          <cell r="D1240">
            <v>1</v>
          </cell>
          <cell r="E1240" t="str">
            <v>AB PP WC RBI-MGOLD G31-930 STUD</v>
          </cell>
        </row>
        <row r="1241">
          <cell r="B1241" t="str">
            <v>XMG31SG-10MF</v>
          </cell>
          <cell r="C1241" t="str">
            <v>WUBG31ZT-CP302E</v>
          </cell>
          <cell r="D1241">
            <v>1</v>
          </cell>
          <cell r="E1241" t="str">
            <v>AB PP WC RBI-MGOLD G31 MFGY STUD 1000CCA</v>
          </cell>
        </row>
        <row r="1242">
          <cell r="B1242" t="str">
            <v>XMG31SG-10MF(TSH)</v>
          </cell>
          <cell r="C1242" t="str">
            <v>WUBG31ZT-TS302E</v>
          </cell>
          <cell r="D1242">
            <v>1</v>
          </cell>
          <cell r="E1242" t="str">
            <v>AB PP WC G31S-10 TLY-SLD MF HEYE GRAY</v>
          </cell>
        </row>
        <row r="1243">
          <cell r="B1243" t="str">
            <v>XMG31SG-10MF(TSP)</v>
          </cell>
          <cell r="C1243" t="str">
            <v>WUBG31ZT-TSP02E</v>
          </cell>
          <cell r="D1243">
            <v>1</v>
          </cell>
          <cell r="E1243" t="str">
            <v>AB PP WC G31S-10 TLY-SLD MF PLUG GRAY</v>
          </cell>
        </row>
        <row r="1244">
          <cell r="B1244" t="str">
            <v>XMG31SG-10STD</v>
          </cell>
          <cell r="C1244" t="str">
            <v>WUBG31ZT-CPP02E</v>
          </cell>
          <cell r="D1244">
            <v>1</v>
          </cell>
          <cell r="E1244" t="str">
            <v>AB PP WC RBI G31-10 CP PLUG +L STUD GY</v>
          </cell>
        </row>
        <row r="1245">
          <cell r="B1245" t="str">
            <v>XMG31SG-6MF</v>
          </cell>
          <cell r="C1245" t="str">
            <v>WUBG316T-CP302E</v>
          </cell>
          <cell r="D1245">
            <v>1</v>
          </cell>
          <cell r="E1245" t="str">
            <v>AB PP WC RBI G31-6 CP HEYE +L STUD GRAY</v>
          </cell>
        </row>
        <row r="1246">
          <cell r="B1246" t="str">
            <v>XMG31SG-6MF(TSH)</v>
          </cell>
          <cell r="C1246" t="str">
            <v>WUBG316T-TS302E</v>
          </cell>
          <cell r="D1246">
            <v>1</v>
          </cell>
          <cell r="E1246" t="str">
            <v>AB PP WC G31S-6 TLY-SLD MF HEYE GRAY</v>
          </cell>
        </row>
        <row r="1247">
          <cell r="B1247" t="str">
            <v>XMG31SG-6MF(TSP)</v>
          </cell>
          <cell r="C1247" t="str">
            <v>WUBG316T-TSP02E</v>
          </cell>
          <cell r="D1247">
            <v>1</v>
          </cell>
          <cell r="E1247" t="str">
            <v>AB PP WC G31S-6 TLY-SLD MF PLUG GRAY</v>
          </cell>
        </row>
        <row r="1248">
          <cell r="B1248" t="str">
            <v>XMG31SG-6STD</v>
          </cell>
          <cell r="C1248" t="str">
            <v>WUBG316T-CPP02E</v>
          </cell>
          <cell r="D1248">
            <v>1</v>
          </cell>
          <cell r="E1248" t="str">
            <v>AB PP WC RBI G31-6 CP PLUG +L STUD GRAY</v>
          </cell>
        </row>
        <row r="1249">
          <cell r="B1249" t="str">
            <v>XMG31SG-7MF</v>
          </cell>
          <cell r="C1249" t="str">
            <v>WUBG317T-CP302E</v>
          </cell>
          <cell r="D1249">
            <v>1</v>
          </cell>
          <cell r="E1249" t="str">
            <v>AB PP WC RBI G31SG-7MF</v>
          </cell>
        </row>
        <row r="1250">
          <cell r="B1250" t="str">
            <v>XMG31SG-7MF(TSH)</v>
          </cell>
          <cell r="C1250" t="str">
            <v>WUBG317T-TS302E</v>
          </cell>
          <cell r="D1250">
            <v>1</v>
          </cell>
          <cell r="E1250" t="str">
            <v>AB PP WC G31S-7 TLY-SLD MF HEYE GRAY</v>
          </cell>
        </row>
        <row r="1251">
          <cell r="B1251" t="str">
            <v>XMG31SG-7MF(TSP)</v>
          </cell>
          <cell r="C1251" t="str">
            <v>WUBG317T-TSP02E</v>
          </cell>
          <cell r="D1251">
            <v>1</v>
          </cell>
          <cell r="E1251" t="str">
            <v>AB PP WC G31S-7 TLY-SLD MF PLUG GRAY</v>
          </cell>
        </row>
        <row r="1252">
          <cell r="B1252" t="str">
            <v>XMG31SG-7STD</v>
          </cell>
          <cell r="C1252" t="str">
            <v>WUBG317T-CPP02E</v>
          </cell>
          <cell r="D1252">
            <v>1</v>
          </cell>
          <cell r="E1252" t="str">
            <v>WC RBI G31SG-7 +L PLUG CP GRY</v>
          </cell>
        </row>
        <row r="1253">
          <cell r="B1253" t="str">
            <v>XMG31SG-8MF</v>
          </cell>
          <cell r="C1253" t="str">
            <v>WUBG318T-CP302E</v>
          </cell>
          <cell r="D1253">
            <v>1</v>
          </cell>
          <cell r="E1253" t="str">
            <v>AB PP WC RBI-MGOLD G31 MF STUD GY 800CCA</v>
          </cell>
        </row>
        <row r="1254">
          <cell r="B1254" t="str">
            <v>XMG31SG-8MF(TSH)</v>
          </cell>
          <cell r="C1254" t="str">
            <v>WUBG318T-TS302E</v>
          </cell>
          <cell r="D1254">
            <v>1</v>
          </cell>
          <cell r="E1254" t="str">
            <v>AB PP WC G31S-8 TLY-SLD MF HEYE GRAY</v>
          </cell>
        </row>
        <row r="1255">
          <cell r="B1255" t="str">
            <v>XMG31SG-8MF(TSP)</v>
          </cell>
          <cell r="C1255" t="str">
            <v>WUBG318T-TSP02E</v>
          </cell>
          <cell r="D1255">
            <v>1</v>
          </cell>
          <cell r="E1255" t="str">
            <v>AB PP WC G31S-8 TLY-SLD MF PLUG GRAY</v>
          </cell>
        </row>
        <row r="1256">
          <cell r="B1256" t="str">
            <v>XMG31SG-8STD</v>
          </cell>
          <cell r="C1256" t="str">
            <v>WUBG318T-CPP02E</v>
          </cell>
          <cell r="D1256">
            <v>1</v>
          </cell>
          <cell r="E1256" t="str">
            <v>AB PP WC RBI G31-8 CP PLUG +L STUD GRAY</v>
          </cell>
        </row>
        <row r="1257">
          <cell r="B1257" t="str">
            <v>XMG31SG-9MF</v>
          </cell>
          <cell r="C1257" t="str">
            <v>WUBG319T-CP302E</v>
          </cell>
          <cell r="D1257">
            <v>1</v>
          </cell>
          <cell r="E1257" t="str">
            <v>AB PP WC RBI-MGOLD G31-MF STUD GRAY 930-</v>
          </cell>
        </row>
        <row r="1258">
          <cell r="B1258" t="str">
            <v>XMG31SG-9MF(TSH)</v>
          </cell>
          <cell r="C1258" t="str">
            <v>WUBG319T-TS302E</v>
          </cell>
          <cell r="D1258">
            <v>1</v>
          </cell>
          <cell r="E1258" t="str">
            <v>AB PP WC G31S-9 TLY-SLD MF HEYE GRAY</v>
          </cell>
        </row>
        <row r="1259">
          <cell r="B1259" t="str">
            <v>XMG31SG-9MF(TSP)</v>
          </cell>
          <cell r="C1259" t="str">
            <v>WUBG319T-TSP02E</v>
          </cell>
          <cell r="D1259">
            <v>1</v>
          </cell>
          <cell r="E1259" t="str">
            <v>AB PP WC G31S-9 TLY-SLD MF PLUG GRAY</v>
          </cell>
        </row>
        <row r="1260">
          <cell r="B1260" t="str">
            <v>XMG31SG-9STD</v>
          </cell>
          <cell r="C1260" t="str">
            <v>WUBG319T-CPP02E</v>
          </cell>
          <cell r="D1260">
            <v>1</v>
          </cell>
          <cell r="E1260" t="str">
            <v>AB PP WC RBI-MGOLD G31-930G STUD</v>
          </cell>
        </row>
        <row r="1261">
          <cell r="B1261" t="str">
            <v>XMG34/78-5MF</v>
          </cell>
          <cell r="C1261" t="str">
            <v>WUBD785D-CP302E</v>
          </cell>
          <cell r="D1261">
            <v>1</v>
          </cell>
          <cell r="E1261" t="str">
            <v>AB PP WC RBI-MGOLD G34/78-   MF DT +L</v>
          </cell>
        </row>
        <row r="1262">
          <cell r="B1262" t="str">
            <v>XMG34/78-5MF(TSH)</v>
          </cell>
          <cell r="C1262" t="str">
            <v>WUBD785D-TS302E</v>
          </cell>
          <cell r="D1262">
            <v>1</v>
          </cell>
          <cell r="E1262" t="str">
            <v>AB PP WC RBI/DS G34/78-5MF TLY-SLD H-E +</v>
          </cell>
        </row>
        <row r="1263">
          <cell r="B1263" t="str">
            <v>XMG34/78-5MF(TSP)</v>
          </cell>
          <cell r="C1263" t="str">
            <v>WUBD785D-TSP02E</v>
          </cell>
          <cell r="D1263">
            <v>1</v>
          </cell>
          <cell r="E1263" t="str">
            <v>AB PP WC RBI/DS G34/78-5MF TLY-SLD PLUG</v>
          </cell>
        </row>
        <row r="1264">
          <cell r="B1264" t="str">
            <v>XMG34/78-5STD</v>
          </cell>
          <cell r="C1264" t="str">
            <v>WUBD785D-CPP02E</v>
          </cell>
          <cell r="D1264">
            <v>1</v>
          </cell>
          <cell r="E1264" t="str">
            <v>AB PP WC RBI-MGOLD G34/78-500 DT +L</v>
          </cell>
        </row>
        <row r="1265">
          <cell r="B1265" t="str">
            <v>XMG34/78-6MF</v>
          </cell>
          <cell r="C1265" t="str">
            <v>WUBD78DD-CP302E</v>
          </cell>
          <cell r="D1265">
            <v>1</v>
          </cell>
          <cell r="E1265" t="str">
            <v>AB PP WC RBI-MGOLD G34/78-650MF DT +L</v>
          </cell>
        </row>
        <row r="1266">
          <cell r="B1266" t="str">
            <v>XMG34/78-6MF(TSH)</v>
          </cell>
          <cell r="C1266" t="str">
            <v>WUBD786D-TS302E</v>
          </cell>
          <cell r="D1266">
            <v>1</v>
          </cell>
          <cell r="E1266" t="str">
            <v>AB PP WC RBI/DS G34/78-6MF TLY-SLD HE +L</v>
          </cell>
        </row>
        <row r="1267">
          <cell r="B1267" t="str">
            <v>XMG34/78-6MF(TSP)</v>
          </cell>
          <cell r="C1267" t="str">
            <v>WUBD786D-TSP02E</v>
          </cell>
          <cell r="D1267">
            <v>1</v>
          </cell>
          <cell r="E1267" t="str">
            <v>AB PP WC RBI/DS G34/78-6MF TLY-SLD PLUG</v>
          </cell>
        </row>
        <row r="1268">
          <cell r="B1268" t="str">
            <v>XMG34/78-6STD</v>
          </cell>
          <cell r="C1268" t="str">
            <v>WUBD78DD-CPP02E</v>
          </cell>
          <cell r="D1268">
            <v>1</v>
          </cell>
          <cell r="E1268" t="str">
            <v>AB PP WC RBI-MGOLD G34/78-650 DT +L</v>
          </cell>
        </row>
        <row r="1269">
          <cell r="B1269" t="str">
            <v>XMG34/78-8MF</v>
          </cell>
          <cell r="C1269" t="str">
            <v>WUBD788D-CP302E</v>
          </cell>
          <cell r="D1269">
            <v>1</v>
          </cell>
          <cell r="E1269" t="str">
            <v>AB PP WC RBI-MGOLD G34/78-850MF DT +L</v>
          </cell>
        </row>
        <row r="1270">
          <cell r="B1270" t="str">
            <v>XMG34/78-8MF(TSH)</v>
          </cell>
          <cell r="C1270" t="str">
            <v>WUBD788D-TS302E</v>
          </cell>
          <cell r="D1270">
            <v>1</v>
          </cell>
          <cell r="E1270" t="str">
            <v>AB PP WC RBI/DS G34/78-8MF T-SLD H-E +L</v>
          </cell>
        </row>
        <row r="1271">
          <cell r="B1271" t="str">
            <v>XMG34/78-8MF(TSP)</v>
          </cell>
          <cell r="C1271" t="str">
            <v>WUBD788D-TSP02E</v>
          </cell>
          <cell r="D1271">
            <v>1</v>
          </cell>
          <cell r="E1271" t="str">
            <v>AB PP WC RBI/DS G34/78-8MF T-SLD PLUG +L</v>
          </cell>
        </row>
        <row r="1272">
          <cell r="B1272" t="str">
            <v>XMG34/78-8STD</v>
          </cell>
          <cell r="C1272" t="str">
            <v>WUBD788D-CPP02E</v>
          </cell>
          <cell r="D1272">
            <v>1</v>
          </cell>
          <cell r="E1272" t="str">
            <v>AB PP WC RBI-MGOLD G34/78-850 DT +L</v>
          </cell>
        </row>
        <row r="1273">
          <cell r="B1273" t="str">
            <v>XMG34-5MF</v>
          </cell>
          <cell r="C1273" t="str">
            <v>WUBG345E-CP302E</v>
          </cell>
          <cell r="D1273">
            <v>1</v>
          </cell>
          <cell r="E1273" t="str">
            <v>WC RBI G34-5MF +L PUSH HE CP BLK</v>
          </cell>
        </row>
        <row r="1274">
          <cell r="B1274" t="str">
            <v>XMG34-5MF(TSH)</v>
          </cell>
          <cell r="C1274" t="str">
            <v>WUBG345E-TS302E</v>
          </cell>
          <cell r="D1274">
            <v>1</v>
          </cell>
          <cell r="E1274" t="str">
            <v>AB PP WC RBI G34-5MF +L TLY-SLD W HEYE</v>
          </cell>
        </row>
        <row r="1275">
          <cell r="B1275" t="str">
            <v>XMG34-5MF(TSP)</v>
          </cell>
          <cell r="C1275" t="str">
            <v>WUBG345E-TSP02E</v>
          </cell>
          <cell r="D1275">
            <v>1</v>
          </cell>
          <cell r="E1275" t="str">
            <v>AB PP WC RBI G34-5MF +L TLY-SLD PLUG</v>
          </cell>
        </row>
        <row r="1276">
          <cell r="B1276" t="str">
            <v>XMG34-5STD</v>
          </cell>
          <cell r="C1276" t="str">
            <v>WUBG345E-CPP02E</v>
          </cell>
          <cell r="D1276">
            <v>1</v>
          </cell>
          <cell r="E1276" t="str">
            <v>WC RBI G34-5MF +L PLUG CP BLK</v>
          </cell>
        </row>
        <row r="1277">
          <cell r="B1277" t="str">
            <v>XMG34-6MF</v>
          </cell>
          <cell r="C1277" t="str">
            <v>WUBG346E-CP302E</v>
          </cell>
          <cell r="D1277">
            <v>1</v>
          </cell>
          <cell r="E1277" t="str">
            <v>AB PP WC RBI-MGOLD G34-650MF AUTO +L</v>
          </cell>
        </row>
        <row r="1278">
          <cell r="B1278" t="str">
            <v>XMG34-6MF(TSH)</v>
          </cell>
          <cell r="C1278" t="str">
            <v>WUBG346E-TS302E</v>
          </cell>
          <cell r="D1278">
            <v>1</v>
          </cell>
          <cell r="E1278" t="str">
            <v>AB PP WC RBI/DS G34-6MF TLY-SLD H-E +L</v>
          </cell>
        </row>
        <row r="1279">
          <cell r="B1279" t="str">
            <v>XMG34-6MF(TSP)</v>
          </cell>
          <cell r="C1279" t="str">
            <v>WUBG346E-TSP02E</v>
          </cell>
          <cell r="D1279">
            <v>1</v>
          </cell>
          <cell r="E1279" t="str">
            <v>AB PP WC RBI/DS G34-6MF TLY-SLD PLUG +L</v>
          </cell>
        </row>
        <row r="1280">
          <cell r="B1280" t="str">
            <v>XMG34-6STD</v>
          </cell>
          <cell r="C1280" t="str">
            <v>WUBG346E-CPP02E</v>
          </cell>
          <cell r="D1280">
            <v>1</v>
          </cell>
          <cell r="E1280" t="str">
            <v>AB PP WC RBI-MGOLD G34-650 AUTO +L</v>
          </cell>
        </row>
        <row r="1281">
          <cell r="B1281" t="str">
            <v>XMG34R-5MF</v>
          </cell>
          <cell r="C1281" t="str">
            <v>WUBG345I-CP302E</v>
          </cell>
          <cell r="D1281">
            <v>1</v>
          </cell>
          <cell r="E1281" t="str">
            <v>WC RBI G34-5MF +R PUSH HE CP BLK</v>
          </cell>
        </row>
        <row r="1282">
          <cell r="B1282" t="str">
            <v>XMG34R-5MF(TSH)</v>
          </cell>
          <cell r="C1282" t="str">
            <v>WUBG345I-TS302E</v>
          </cell>
          <cell r="D1282">
            <v>1</v>
          </cell>
          <cell r="E1282" t="str">
            <v>WC RBI G34-5MF +R PUSH HE SLD BLK</v>
          </cell>
        </row>
        <row r="1283">
          <cell r="B1283" t="str">
            <v>XMG34R-5MF(TSP)</v>
          </cell>
          <cell r="C1283" t="str">
            <v>WUBG345I-TSP02E</v>
          </cell>
          <cell r="D1283">
            <v>1</v>
          </cell>
          <cell r="E1283" t="str">
            <v>WC RBI G34-5MF +R PLUG SLD BLK</v>
          </cell>
        </row>
        <row r="1284">
          <cell r="B1284" t="str">
            <v>XMG34R-5STD</v>
          </cell>
          <cell r="C1284" t="str">
            <v>WUBG345I-CPP02E</v>
          </cell>
          <cell r="D1284">
            <v>1</v>
          </cell>
          <cell r="E1284" t="str">
            <v>WC RBI G34-5MF +R PLUG CP BLK</v>
          </cell>
        </row>
        <row r="1285">
          <cell r="B1285" t="str">
            <v>XMG34R-6MF</v>
          </cell>
          <cell r="C1285" t="str">
            <v>WUBG346I-CP302E</v>
          </cell>
          <cell r="D1285">
            <v>1</v>
          </cell>
          <cell r="E1285" t="str">
            <v>AB PP WC RBI-MGOLD G34-650MF AUTO +R</v>
          </cell>
        </row>
        <row r="1286">
          <cell r="B1286" t="str">
            <v>XMG34R-6MF(TSH)</v>
          </cell>
          <cell r="C1286" t="str">
            <v>WUBG346I-TS302E</v>
          </cell>
          <cell r="D1286">
            <v>1</v>
          </cell>
          <cell r="E1286" t="str">
            <v>AB PP WC RBI-DS G34R-6MF TLY-SLD H.E.+R</v>
          </cell>
        </row>
        <row r="1287">
          <cell r="B1287" t="str">
            <v>XMG34R-6MF(TSP)</v>
          </cell>
          <cell r="C1287" t="str">
            <v>WUBG346I-TSP02E</v>
          </cell>
          <cell r="D1287">
            <v>1</v>
          </cell>
          <cell r="E1287" t="str">
            <v>AB PP WC RBI-DS G34R-6MF TLY-SLD PLUG +R</v>
          </cell>
        </row>
        <row r="1288">
          <cell r="B1288" t="str">
            <v>XMG34R-6STD</v>
          </cell>
          <cell r="C1288" t="str">
            <v>WUBG346I-CPP02E</v>
          </cell>
          <cell r="D1288">
            <v>1</v>
          </cell>
          <cell r="E1288" t="str">
            <v>AB PP WC RBI-MGOLD G34-650 AUTO +R</v>
          </cell>
        </row>
        <row r="1289">
          <cell r="B1289" t="str">
            <v>XMG35-5MF</v>
          </cell>
          <cell r="C1289" t="str">
            <v>WUBG355I-CP302E</v>
          </cell>
          <cell r="D1289">
            <v>1</v>
          </cell>
          <cell r="E1289" t="str">
            <v>AB PP WC RBI G35 MF CP +R AUTO 520CCA</v>
          </cell>
        </row>
        <row r="1290">
          <cell r="B1290" t="str">
            <v>XMG35-5MF(TSH)</v>
          </cell>
          <cell r="C1290" t="str">
            <v>WUBG355I-TS302E</v>
          </cell>
          <cell r="D1290">
            <v>1</v>
          </cell>
          <cell r="E1290" t="str">
            <v>AB PP WC RBI G35 TLY-SLD HEYE +R AUTO</v>
          </cell>
        </row>
        <row r="1291">
          <cell r="B1291" t="str">
            <v>XMG35-5MF(TSP)</v>
          </cell>
          <cell r="C1291" t="str">
            <v>WUBG355I-TSP02E</v>
          </cell>
          <cell r="D1291">
            <v>1</v>
          </cell>
          <cell r="E1291" t="str">
            <v>AB PP WC RBI/DS G35-5MF TLY-SLD PLUG +R</v>
          </cell>
        </row>
        <row r="1292">
          <cell r="B1292" t="str">
            <v>XMG35-5STD</v>
          </cell>
          <cell r="C1292" t="str">
            <v>WUBG355I-CPP02E</v>
          </cell>
          <cell r="D1292">
            <v>1</v>
          </cell>
          <cell r="E1292" t="str">
            <v>AB PP WC RBI G35 CP PLUG +L AUTO 520CCA</v>
          </cell>
        </row>
        <row r="1293">
          <cell r="B1293" t="str">
            <v>XMG35-6MF(TSP)</v>
          </cell>
          <cell r="C1293" t="str">
            <v>WUBG356I-TSP02E</v>
          </cell>
          <cell r="D1293">
            <v>1</v>
          </cell>
          <cell r="E1293" t="str">
            <v>AB PP WC RBI G35-6MF +R TLY-SLD PLUG</v>
          </cell>
        </row>
        <row r="1294">
          <cell r="B1294" t="str">
            <v>XMG35-6STD</v>
          </cell>
          <cell r="C1294" t="str">
            <v>WUBG356I-CPP02E</v>
          </cell>
          <cell r="D1294">
            <v>1</v>
          </cell>
          <cell r="E1294" t="str">
            <v>AB PP WC RBI G35-6MF +R CP/LP PLUG</v>
          </cell>
        </row>
        <row r="1295">
          <cell r="B1295" t="str">
            <v>XMG4-1000</v>
          </cell>
          <cell r="C1295" t="str">
            <v>WUBGR4ZI-CPN02E</v>
          </cell>
          <cell r="D1295">
            <v>1</v>
          </cell>
          <cell r="E1295" t="str">
            <v>AB PP WC RBI-MGOLD G4-1000</v>
          </cell>
        </row>
        <row r="1296">
          <cell r="B1296" t="str">
            <v>XMG42-3MF</v>
          </cell>
          <cell r="C1296" t="str">
            <v>WUBN55AI-TS202E</v>
          </cell>
          <cell r="D1296">
            <v>1</v>
          </cell>
          <cell r="E1296" t="str">
            <v>AB PP WC XM-RBI G42-3 DIN55 MF +R</v>
          </cell>
        </row>
        <row r="1297">
          <cell r="B1297" t="str">
            <v>XMG42-4MF</v>
          </cell>
          <cell r="C1297" t="str">
            <v>WUBN55CI-TS202E</v>
          </cell>
          <cell r="D1297">
            <v>1</v>
          </cell>
          <cell r="E1297" t="str">
            <v>AB PP WC XM-RBI G42-4 DIN55 MF +R</v>
          </cell>
        </row>
        <row r="1298">
          <cell r="B1298" t="str">
            <v>XMG4-800</v>
          </cell>
          <cell r="C1298" t="str">
            <v>WUBGR48I-CPN02E</v>
          </cell>
          <cell r="D1298">
            <v>1</v>
          </cell>
          <cell r="E1298" t="str">
            <v>AB PP WC RBI-MGOLD G4-800</v>
          </cell>
        </row>
        <row r="1299">
          <cell r="B1299" t="str">
            <v>XMG4-900</v>
          </cell>
          <cell r="C1299" t="str">
            <v>WUBGR49I-CPN02E</v>
          </cell>
          <cell r="D1299">
            <v>1</v>
          </cell>
          <cell r="E1299" t="str">
            <v>AB PP WC G4 6V 900 CCA</v>
          </cell>
        </row>
        <row r="1300">
          <cell r="B1300" t="str">
            <v>XMG51-4</v>
          </cell>
          <cell r="C1300" t="str">
            <v>WUBB244E-CP302E</v>
          </cell>
          <cell r="D1300">
            <v>1</v>
          </cell>
          <cell r="E1300" t="str">
            <v>AB PP WC RBI-MGOLD G51 STD +L</v>
          </cell>
        </row>
        <row r="1301">
          <cell r="B1301" t="str">
            <v>XMG51-4MF(TSH)</v>
          </cell>
          <cell r="C1301" t="str">
            <v>WUBB244E-TS302E</v>
          </cell>
          <cell r="D1301">
            <v>1</v>
          </cell>
          <cell r="E1301" t="str">
            <v>AB PP WC RBI G51-4MF TLY-SLD W HEYE</v>
          </cell>
        </row>
        <row r="1302">
          <cell r="B1302" t="str">
            <v>XMG51-4MF(TSP)</v>
          </cell>
          <cell r="C1302" t="str">
            <v>WUBB244E-TSP02E</v>
          </cell>
          <cell r="D1302">
            <v>1</v>
          </cell>
          <cell r="E1302" t="str">
            <v>AB PP WC RBI G51-4MF TLY-SLD PLUG</v>
          </cell>
        </row>
        <row r="1303">
          <cell r="B1303" t="str">
            <v>XMG51R-4</v>
          </cell>
          <cell r="C1303" t="str">
            <v>WUBB244I-CP302E</v>
          </cell>
          <cell r="D1303">
            <v>1</v>
          </cell>
          <cell r="E1303" t="str">
            <v>AB PP WC RBI-MGOLD G51R STD +R</v>
          </cell>
        </row>
        <row r="1304">
          <cell r="B1304" t="str">
            <v>XMG51R-4MF(TSH)</v>
          </cell>
          <cell r="C1304" t="str">
            <v>WUBB244I-TS302E</v>
          </cell>
          <cell r="D1304">
            <v>1</v>
          </cell>
          <cell r="E1304" t="str">
            <v>AB PP WC RBI G51R-4MF TLY-SLD W HEYE</v>
          </cell>
        </row>
        <row r="1305">
          <cell r="B1305" t="str">
            <v>XMG51R-4MF(TSP)</v>
          </cell>
          <cell r="C1305" t="str">
            <v>WUBB244I-TSP02E</v>
          </cell>
          <cell r="D1305">
            <v>1</v>
          </cell>
          <cell r="E1305" t="str">
            <v>AB PP WC RBI G51R-4MF TLY-SLD PLUG</v>
          </cell>
        </row>
        <row r="1306">
          <cell r="B1306" t="str">
            <v>XMG58-4MF(TSH)</v>
          </cell>
          <cell r="C1306" t="str">
            <v>WUBG584R-TS302E</v>
          </cell>
          <cell r="D1306">
            <v>1</v>
          </cell>
          <cell r="E1306" t="str">
            <v>AB PP WC RBI-DS G58-4MF TLY-SLD H.E. +L</v>
          </cell>
        </row>
        <row r="1307">
          <cell r="B1307" t="str">
            <v>XMG58-4MF(TSP)</v>
          </cell>
          <cell r="C1307" t="str">
            <v>WUBG584R-TSP02E</v>
          </cell>
          <cell r="D1307">
            <v>1</v>
          </cell>
          <cell r="E1307" t="str">
            <v>AB PP WC RBI-DS G58-4MF TLY-SLD PLUG +L</v>
          </cell>
        </row>
        <row r="1308">
          <cell r="B1308" t="str">
            <v>XMG58-5MF(TSH)</v>
          </cell>
          <cell r="C1308" t="str">
            <v>WUBG585R-TS302E</v>
          </cell>
          <cell r="D1308">
            <v>1</v>
          </cell>
          <cell r="E1308" t="str">
            <v>AB PP WC RBI-DS G58-5MF TLY-SLD H.E. +L</v>
          </cell>
        </row>
        <row r="1309">
          <cell r="B1309" t="str">
            <v>XMG58-5MF(TSP)</v>
          </cell>
          <cell r="C1309" t="str">
            <v>WUBG585R-TSP02E</v>
          </cell>
          <cell r="D1309">
            <v>1</v>
          </cell>
          <cell r="E1309" t="str">
            <v>AB PP WC RBI-DS G58-5MF TLY-SLD PLUG +L</v>
          </cell>
        </row>
        <row r="1310">
          <cell r="B1310" t="str">
            <v>XMG58R-4MF</v>
          </cell>
          <cell r="C1310" t="str">
            <v>WUBG584I-CP302E</v>
          </cell>
          <cell r="D1310">
            <v>1</v>
          </cell>
          <cell r="E1310" t="str">
            <v>AB PP WC G58-4MF CP +R HEYE AUTO</v>
          </cell>
        </row>
        <row r="1311">
          <cell r="B1311" t="str">
            <v>XMG58R-4MF(TSH)</v>
          </cell>
          <cell r="C1311" t="str">
            <v>WUBG584I-TS302E</v>
          </cell>
          <cell r="D1311">
            <v>1</v>
          </cell>
          <cell r="E1311" t="str">
            <v>AB PP WC RBI/DS G58-4MF TTLY-SLD H-E +R</v>
          </cell>
        </row>
        <row r="1312">
          <cell r="B1312" t="str">
            <v>XMG58R-4MF(TSP)</v>
          </cell>
          <cell r="C1312" t="str">
            <v>WUBG584I-TSP02E</v>
          </cell>
          <cell r="D1312">
            <v>1</v>
          </cell>
          <cell r="E1312" t="str">
            <v>AB PP WC RBI/DS G58-4MF TTLY-SLD PLUG +R</v>
          </cell>
        </row>
        <row r="1313">
          <cell r="B1313" t="str">
            <v>XMG58R-4STD</v>
          </cell>
          <cell r="C1313" t="str">
            <v>WUBG584I-CPP02E</v>
          </cell>
          <cell r="D1313">
            <v>1</v>
          </cell>
          <cell r="E1313" t="str">
            <v>AB PP WC G58-4MF CP +R PLUG AUTO</v>
          </cell>
        </row>
        <row r="1314">
          <cell r="B1314" t="str">
            <v>XMG58R-5MF</v>
          </cell>
          <cell r="C1314" t="str">
            <v>WUBG585I-CP302E</v>
          </cell>
          <cell r="D1314">
            <v>1</v>
          </cell>
          <cell r="E1314" t="str">
            <v>AB PP WC G58-5MF CP +R HEYE AUTO</v>
          </cell>
        </row>
        <row r="1315">
          <cell r="B1315" t="str">
            <v>XMG58R-5MF(TSH)</v>
          </cell>
          <cell r="C1315" t="str">
            <v>WUBG585I-TS302E</v>
          </cell>
          <cell r="D1315">
            <v>1</v>
          </cell>
          <cell r="E1315" t="str">
            <v>AB PP WC RBI/DS G58-5MF TTLY-SLD H-E +R</v>
          </cell>
        </row>
        <row r="1316">
          <cell r="B1316" t="str">
            <v>XMG58R-5MF(TSP)</v>
          </cell>
          <cell r="C1316" t="str">
            <v>WUBG585I-TSP02E</v>
          </cell>
          <cell r="D1316">
            <v>1</v>
          </cell>
          <cell r="E1316" t="str">
            <v>AB PP WC RBI/DS G58-5MF TTLY-SLD PLUG +R</v>
          </cell>
        </row>
        <row r="1317">
          <cell r="B1317" t="str">
            <v>XMG65-6MF</v>
          </cell>
          <cell r="C1317" t="str">
            <v>WUBG656E-CP302E</v>
          </cell>
          <cell r="D1317">
            <v>1</v>
          </cell>
          <cell r="E1317" t="str">
            <v>AB PP WC RBI-MGOLD G65-650MF AUTO +L</v>
          </cell>
        </row>
        <row r="1318">
          <cell r="B1318" t="str">
            <v>XMG65-6MF(TSH)</v>
          </cell>
          <cell r="C1318" t="str">
            <v>WUBG656R-TS302E</v>
          </cell>
          <cell r="D1318">
            <v>1</v>
          </cell>
          <cell r="E1318" t="str">
            <v>AB PP WC RBI/DS G65-6MF TLY-SLD H-E +L</v>
          </cell>
        </row>
        <row r="1319">
          <cell r="B1319" t="str">
            <v>XMG65-6MF(TSP)</v>
          </cell>
          <cell r="C1319" t="str">
            <v>WUBG656R-TSP02E</v>
          </cell>
          <cell r="D1319">
            <v>1</v>
          </cell>
          <cell r="E1319" t="str">
            <v>AB PP WC RBI/DS G65-6MF TLY-SLD PLUG +L</v>
          </cell>
        </row>
        <row r="1320">
          <cell r="B1320" t="str">
            <v>XMG65-6STD</v>
          </cell>
          <cell r="C1320" t="str">
            <v>WUBG656E-CPP02E</v>
          </cell>
          <cell r="D1320">
            <v>1</v>
          </cell>
          <cell r="E1320" t="str">
            <v>AB PP WC RBI-MGOLD G65-650 AUTO +L</v>
          </cell>
        </row>
        <row r="1321">
          <cell r="B1321" t="str">
            <v>XMG65-8MF</v>
          </cell>
          <cell r="C1321" t="str">
            <v>WUBG658E-CP302E</v>
          </cell>
          <cell r="D1321">
            <v>1</v>
          </cell>
          <cell r="E1321" t="str">
            <v>AB PP WC RBI-MGOLD G65-800MF AUTO +L</v>
          </cell>
        </row>
        <row r="1322">
          <cell r="B1322" t="str">
            <v>XMG65-8MF(TSH)</v>
          </cell>
          <cell r="C1322" t="str">
            <v>WUBG658E-TS302E</v>
          </cell>
          <cell r="D1322">
            <v>1</v>
          </cell>
          <cell r="E1322" t="str">
            <v>AB PP WC RBI/DS G65-8MF TLY-SLD H-E +L</v>
          </cell>
        </row>
        <row r="1323">
          <cell r="B1323" t="str">
            <v>XMG65-8MF(TSP)</v>
          </cell>
          <cell r="C1323" t="str">
            <v>WUBG658E-TSP02E</v>
          </cell>
          <cell r="D1323">
            <v>1</v>
          </cell>
          <cell r="E1323" t="str">
            <v>AB PP WC RBI/DS G65-8MF TLY-SLD PLUG +L</v>
          </cell>
        </row>
        <row r="1324">
          <cell r="B1324" t="str">
            <v>XMG65-8STD</v>
          </cell>
          <cell r="C1324" t="str">
            <v>WUBG658E-CPP02E</v>
          </cell>
          <cell r="D1324">
            <v>1</v>
          </cell>
          <cell r="E1324" t="str">
            <v>AB PP WC RBI-MGOLD G65-800 AUTO +L</v>
          </cell>
        </row>
        <row r="1325">
          <cell r="B1325" t="str">
            <v>XMG75-5MF</v>
          </cell>
          <cell r="C1325" t="str">
            <v>WUBG755S-CP302E</v>
          </cell>
          <cell r="D1325">
            <v>1</v>
          </cell>
          <cell r="E1325" t="str">
            <v>AB PP WC RBI-MGOLD G75-520MF ST +L</v>
          </cell>
        </row>
        <row r="1326">
          <cell r="B1326" t="str">
            <v>XMG75-5MF(TSH)</v>
          </cell>
          <cell r="C1326" t="str">
            <v>WUBG755S-TS302E</v>
          </cell>
          <cell r="D1326">
            <v>1</v>
          </cell>
          <cell r="E1326" t="str">
            <v>AB PP WC RBI/DS G75-5MF TLY-SLD H.E. +L</v>
          </cell>
        </row>
        <row r="1327">
          <cell r="B1327" t="str">
            <v>XMG75-5MF(TSP)</v>
          </cell>
          <cell r="C1327" t="str">
            <v>WUBG755S-TSP02E</v>
          </cell>
          <cell r="D1327">
            <v>1</v>
          </cell>
          <cell r="E1327" t="str">
            <v>AB PP WC RBI/DS G75-5MF TLY-SLD PLUG +L</v>
          </cell>
        </row>
        <row r="1328">
          <cell r="B1328" t="str">
            <v>XMG75-5STD</v>
          </cell>
          <cell r="C1328" t="str">
            <v>WUBG755S-CPP02E</v>
          </cell>
          <cell r="D1328">
            <v>1</v>
          </cell>
          <cell r="E1328" t="str">
            <v>AB PP WC RBI-MGOLD G75-520 ST +L</v>
          </cell>
        </row>
        <row r="1329">
          <cell r="B1329" t="str">
            <v>XMG75-6MF</v>
          </cell>
          <cell r="C1329" t="str">
            <v>WUBG756S-CP302E</v>
          </cell>
          <cell r="D1329">
            <v>1</v>
          </cell>
          <cell r="E1329" t="str">
            <v>AB PP WC RBI-MGOLD G75-600MF ST +L</v>
          </cell>
        </row>
        <row r="1330">
          <cell r="B1330" t="str">
            <v>XMG75-6MF(TSH)</v>
          </cell>
          <cell r="C1330" t="str">
            <v>WUBG756S-TS302E</v>
          </cell>
          <cell r="D1330">
            <v>1</v>
          </cell>
          <cell r="E1330" t="str">
            <v>AB PP WC RBI/DS G75-6MF TLY-SLD H.E. +L</v>
          </cell>
        </row>
        <row r="1331">
          <cell r="B1331" t="str">
            <v>XMG75-6MF(TSP)</v>
          </cell>
          <cell r="C1331" t="str">
            <v>WUBG756S-TSP02E</v>
          </cell>
          <cell r="D1331">
            <v>1</v>
          </cell>
          <cell r="E1331" t="str">
            <v>AB PP WC RBI/DS G75-6MF TLY-SLD PLUG +L</v>
          </cell>
        </row>
        <row r="1332">
          <cell r="B1332" t="str">
            <v>XMG75-6STD</v>
          </cell>
          <cell r="C1332" t="str">
            <v>WUBG756S-CPP02E</v>
          </cell>
          <cell r="D1332">
            <v>1</v>
          </cell>
          <cell r="E1332" t="str">
            <v>AB PP WC RBI-MGOLD G75-600 ST +L</v>
          </cell>
        </row>
        <row r="1333">
          <cell r="B1333" t="str">
            <v>XMG78-5MF</v>
          </cell>
          <cell r="C1333" t="str">
            <v>WUBG785S-CP302E</v>
          </cell>
          <cell r="D1333">
            <v>1</v>
          </cell>
          <cell r="E1333" t="str">
            <v>AB PP WC G78-5MF CP +L HEYE SIDE TER</v>
          </cell>
        </row>
        <row r="1334">
          <cell r="B1334" t="str">
            <v>XMG78-5MF(TSH)</v>
          </cell>
          <cell r="C1334" t="str">
            <v>WUBG785S-TS302E</v>
          </cell>
          <cell r="D1334">
            <v>1</v>
          </cell>
          <cell r="E1334" t="str">
            <v>AB PP WC RBI G78-5MF +L TLY-SLD W HEYE</v>
          </cell>
        </row>
        <row r="1335">
          <cell r="B1335" t="str">
            <v>XMG78-5MF(TSP)</v>
          </cell>
          <cell r="C1335" t="str">
            <v>WUBG785S-TSP02E</v>
          </cell>
          <cell r="D1335">
            <v>1</v>
          </cell>
          <cell r="E1335" t="str">
            <v>AB PP WC RBI G78-5MF +L TLY-SLD PLUG</v>
          </cell>
        </row>
        <row r="1336">
          <cell r="B1336" t="str">
            <v>XMG78-5STD</v>
          </cell>
          <cell r="C1336" t="str">
            <v>WUBG785S-CPP02E</v>
          </cell>
          <cell r="D1336">
            <v>1</v>
          </cell>
          <cell r="E1336" t="str">
            <v>AB PP WC G78-5MF CP +L PLUG SIDE TER</v>
          </cell>
        </row>
        <row r="1337">
          <cell r="B1337" t="str">
            <v>XMG78-6MF</v>
          </cell>
          <cell r="C1337" t="str">
            <v>WUBG786S-CP302E</v>
          </cell>
          <cell r="D1337">
            <v>1</v>
          </cell>
          <cell r="E1337" t="str">
            <v>AB PP WC RBI-MGOLD G78-650MF ST +L</v>
          </cell>
        </row>
        <row r="1338">
          <cell r="B1338" t="str">
            <v>XMG78-6MF(TSH)</v>
          </cell>
          <cell r="C1338" t="str">
            <v>WUBG786S-TS302E</v>
          </cell>
          <cell r="D1338">
            <v>1</v>
          </cell>
          <cell r="E1338" t="str">
            <v>AB PP WC RBI-DS G78-6MF TLY-SLD H.E.</v>
          </cell>
        </row>
        <row r="1339">
          <cell r="B1339" t="str">
            <v>XMG78-6MF(TSP)</v>
          </cell>
          <cell r="C1339" t="str">
            <v>WUBG786S-TSP02E</v>
          </cell>
          <cell r="D1339">
            <v>1</v>
          </cell>
          <cell r="E1339" t="str">
            <v>AB PP WC RBI-DS G78-6MF TLY-SLD PLUG</v>
          </cell>
        </row>
        <row r="1340">
          <cell r="B1340" t="str">
            <v>XMG78-6STD</v>
          </cell>
          <cell r="C1340" t="str">
            <v>WUBG786S-CPP02E</v>
          </cell>
          <cell r="D1340">
            <v>1</v>
          </cell>
          <cell r="E1340" t="str">
            <v>AB PP WC RBI-MGOLD G78-650 ST +L</v>
          </cell>
        </row>
        <row r="1341">
          <cell r="B1341" t="str">
            <v>XMG78-8MF(TSH)</v>
          </cell>
          <cell r="C1341" t="str">
            <v>WUBG788S-TS302E</v>
          </cell>
          <cell r="D1341">
            <v>1</v>
          </cell>
          <cell r="E1341" t="str">
            <v>AB PP WC RBI-DS G78-8 TLY-SLD HEYE +L</v>
          </cell>
        </row>
        <row r="1342">
          <cell r="B1342" t="str">
            <v>XMG78-8MF(TSP)</v>
          </cell>
          <cell r="C1342" t="str">
            <v>WUBG788S-TSP02E</v>
          </cell>
          <cell r="D1342">
            <v>1</v>
          </cell>
          <cell r="E1342" t="str">
            <v>AB PP WC RBI-DS G78-8 TLY-SLD PLUG +L</v>
          </cell>
        </row>
        <row r="1343">
          <cell r="B1343" t="str">
            <v>XMG91-6MF</v>
          </cell>
          <cell r="C1343" t="str">
            <v>WUBN66DI-TS202E</v>
          </cell>
          <cell r="D1343">
            <v>1</v>
          </cell>
          <cell r="E1343" t="str">
            <v>AB PP WC XM-RBI G91-6 DIN66 MF +R</v>
          </cell>
        </row>
        <row r="1344">
          <cell r="B1344" t="str">
            <v>XMG93-7MF</v>
          </cell>
          <cell r="C1344" t="str">
            <v>WUBN88CI-TS202E</v>
          </cell>
          <cell r="D1344">
            <v>1</v>
          </cell>
          <cell r="E1344" t="str">
            <v>AB PP WC RBI G93-MF 780-A +R (DIN88)</v>
          </cell>
        </row>
        <row r="1345">
          <cell r="B1345" t="str">
            <v>XMGC2-17S</v>
          </cell>
          <cell r="C1345" t="str">
            <v>WUBGC2SF-SPN02E</v>
          </cell>
          <cell r="D1345">
            <v>1</v>
          </cell>
          <cell r="E1345" t="str">
            <v>AB PP WC RBI-MGOLD GC2-17S</v>
          </cell>
        </row>
        <row r="1346">
          <cell r="B1346" t="str">
            <v>XMGC2-19S</v>
          </cell>
          <cell r="C1346" t="str">
            <v>WUBGC2TF-SPN02E</v>
          </cell>
          <cell r="D1346">
            <v>1</v>
          </cell>
          <cell r="E1346" t="str">
            <v>AB PP WC RBI-MGOLD GC2-19S</v>
          </cell>
        </row>
        <row r="1347">
          <cell r="B1347" t="str">
            <v>XMGC2-6V-20S</v>
          </cell>
          <cell r="C1347" t="str">
            <v>WUBGC2UF-SPN02E</v>
          </cell>
          <cell r="D1347">
            <v>1</v>
          </cell>
          <cell r="E1347" t="str">
            <v>AB PP WC GC2 6V 20PPC SPL TERMINAL</v>
          </cell>
        </row>
        <row r="1348">
          <cell r="B1348" t="str">
            <v>XMGC2-8V(13PPC)</v>
          </cell>
          <cell r="C1348" t="str">
            <v>WUBGC8RF-SPN02E</v>
          </cell>
          <cell r="D1348">
            <v>1</v>
          </cell>
          <cell r="E1348" t="str">
            <v>PP RBI GC2-8V(13PPC) WET CHARGED</v>
          </cell>
        </row>
        <row r="1349">
          <cell r="B1349" t="str">
            <v>XMN200P</v>
          </cell>
          <cell r="C1349" t="str">
            <v>WSPH52WL-SPN10E</v>
          </cell>
          <cell r="D1349">
            <v>1</v>
          </cell>
          <cell r="E1349" t="str">
            <v>AB PP DRY TO WET SUPER POWER RUSSIA N200</v>
          </cell>
        </row>
        <row r="1350">
          <cell r="B1350" t="str">
            <v>XYB24ALS-P</v>
          </cell>
          <cell r="C1350" t="str">
            <v>WXYB24BL-TS300L</v>
          </cell>
          <cell r="D1350">
            <v>1</v>
          </cell>
          <cell r="E1350" t="str">
            <v>AB PP WC XY IMPORT SUB B24 +R</v>
          </cell>
        </row>
        <row r="1351">
          <cell r="B1351" t="str">
            <v>XYB24BLS-P</v>
          </cell>
          <cell r="C1351" t="str">
            <v>WXYB24DL-TS300L</v>
          </cell>
          <cell r="D1351">
            <v>1</v>
          </cell>
          <cell r="E1351" t="str">
            <v>AB PP WC XY B24 +R</v>
          </cell>
        </row>
        <row r="1352">
          <cell r="B1352" t="str">
            <v>XYB24BRS-P</v>
          </cell>
          <cell r="C1352" t="str">
            <v>WXYB24BR-TS300L</v>
          </cell>
          <cell r="D1352">
            <v>1</v>
          </cell>
          <cell r="E1352" t="str">
            <v>AB PP WC XY B24 +L</v>
          </cell>
        </row>
        <row r="1353">
          <cell r="B1353" t="str">
            <v>XYD26AL-P</v>
          </cell>
          <cell r="C1353" t="str">
            <v>WXYD26BL-TS300L</v>
          </cell>
          <cell r="D1353">
            <v>1</v>
          </cell>
          <cell r="E1353" t="str">
            <v>AB PP WC XY N50/2SM +R</v>
          </cell>
        </row>
        <row r="1354">
          <cell r="B1354" t="str">
            <v>XYD26BL-P</v>
          </cell>
          <cell r="C1354" t="str">
            <v>WXYD26CL-TS300L</v>
          </cell>
          <cell r="D1354">
            <v>1</v>
          </cell>
          <cell r="E1354" t="str">
            <v>AB PP WC XY N50/2SM +R</v>
          </cell>
        </row>
        <row r="1355">
          <cell r="B1355" t="str">
            <v>XYD26BR-P</v>
          </cell>
          <cell r="C1355" t="str">
            <v>WXYD26CR-TS300L</v>
          </cell>
          <cell r="D1355">
            <v>1</v>
          </cell>
          <cell r="E1355" t="str">
            <v>AB PP WC XY N50/2SM +L</v>
          </cell>
        </row>
        <row r="1356">
          <cell r="B1356" t="str">
            <v>XYD31AL-P</v>
          </cell>
          <cell r="C1356" t="str">
            <v>WXYD31AL-TS300L</v>
          </cell>
          <cell r="D1356">
            <v>1</v>
          </cell>
          <cell r="E1356" t="str">
            <v>AB PP WC XY N70/3SM +R</v>
          </cell>
        </row>
        <row r="1357">
          <cell r="B1357" t="str">
            <v>XYD31AR-P</v>
          </cell>
          <cell r="C1357" t="str">
            <v>WXYD31AR-TS300L</v>
          </cell>
          <cell r="D1357">
            <v>1</v>
          </cell>
          <cell r="E1357" t="str">
            <v>AB PP WC XY N70/3SM +L</v>
          </cell>
        </row>
        <row r="1358">
          <cell r="B1358" t="str">
            <v>XYD31BL-P</v>
          </cell>
          <cell r="C1358" t="str">
            <v>WXYD31CL-TS300L</v>
          </cell>
          <cell r="D1358">
            <v>1</v>
          </cell>
          <cell r="E1358" t="str">
            <v>AB PP WC XY N70/3SM +R</v>
          </cell>
        </row>
        <row r="1359">
          <cell r="B1359" t="str">
            <v>XYD31BR-P</v>
          </cell>
          <cell r="C1359" t="str">
            <v>WXYD31CR-TS300L</v>
          </cell>
          <cell r="D1359">
            <v>1</v>
          </cell>
          <cell r="E1359" t="str">
            <v>AB PP WC D31/N70 +L</v>
          </cell>
        </row>
        <row r="1360">
          <cell r="B1360" t="str">
            <v>XYDIN55-P</v>
          </cell>
          <cell r="C1360" t="str">
            <v>WXYN55EL-TS100L</v>
          </cell>
          <cell r="D1360">
            <v>1</v>
          </cell>
          <cell r="E1360" t="str">
            <v>AB PP WC XY-IMPORT SUBS DIN55  +R</v>
          </cell>
        </row>
        <row r="1361">
          <cell r="B1361" t="str">
            <v>XYDIN66-P</v>
          </cell>
          <cell r="C1361" t="str">
            <v>WXYN66CL-TS100L</v>
          </cell>
          <cell r="D1361">
            <v>1</v>
          </cell>
          <cell r="E1361" t="str">
            <v>AB PP WC XY-IMPORT SUBS DIN66  +R</v>
          </cell>
        </row>
        <row r="1362">
          <cell r="B1362" t="str">
            <v>XYDIN88-P</v>
          </cell>
          <cell r="C1362" t="str">
            <v>WXYN88BL-TS100L</v>
          </cell>
          <cell r="D1362">
            <v>1</v>
          </cell>
          <cell r="E1362" t="str">
            <v>AB PP WC XY-IMPORT SUBS DIN88  +R</v>
          </cell>
        </row>
        <row r="1363">
          <cell r="B1363" t="str">
            <v>XYG31S-9MF</v>
          </cell>
          <cell r="C1363" t="str">
            <v>WXYB31ET-TS300L</v>
          </cell>
          <cell r="D1363">
            <v>1</v>
          </cell>
          <cell r="E1363" t="str">
            <v>AB PP GP XY IMPORT SUB G31S-9MF</v>
          </cell>
        </row>
        <row r="1364">
          <cell r="B1364" t="str">
            <v>XYG34/78-6MF</v>
          </cell>
          <cell r="C1364" t="str">
            <v>WXYD78CD-TS300L</v>
          </cell>
          <cell r="D1364">
            <v>1</v>
          </cell>
          <cell r="E1364" t="str">
            <v>AB PP WC XY G34/78-6 +R</v>
          </cell>
        </row>
        <row r="1365">
          <cell r="B1365" t="str">
            <v>XYG65-6MF</v>
          </cell>
          <cell r="C1365" t="str">
            <v>WXYG65ER-TS300L</v>
          </cell>
          <cell r="D1365">
            <v>1</v>
          </cell>
          <cell r="E1365" t="str">
            <v>AB PP WC XY IMPORT SUB G65-6MF</v>
          </cell>
        </row>
        <row r="1366">
          <cell r="B1366" t="str">
            <v>XZB24BLS-P</v>
          </cell>
          <cell r="C1366" t="str">
            <v>WXZB24BL-TS300L</v>
          </cell>
          <cell r="D1366">
            <v>1</v>
          </cell>
          <cell r="E1366" t="str">
            <v>AB PP WC XZ-IMPORT SUBS B24 AUTO +R</v>
          </cell>
        </row>
        <row r="1367">
          <cell r="B1367" t="str">
            <v>XZD22CL-P</v>
          </cell>
          <cell r="C1367" t="str">
            <v>WXZD23DL-TS300L</v>
          </cell>
          <cell r="D1367">
            <v>1</v>
          </cell>
          <cell r="E1367" t="str">
            <v>AB PP WC XZ NS50/1SM +R</v>
          </cell>
        </row>
        <row r="1368">
          <cell r="B1368" t="str">
            <v>XZD26BL-P</v>
          </cell>
          <cell r="C1368" t="str">
            <v>WXZD26CL-TS300L</v>
          </cell>
          <cell r="D1368">
            <v>1</v>
          </cell>
          <cell r="E1368" t="str">
            <v>AB PP WC XZ N50/2SM +R</v>
          </cell>
        </row>
        <row r="1369">
          <cell r="B1369" t="str">
            <v>XZD26BR-P</v>
          </cell>
          <cell r="C1369" t="str">
            <v>WXZD26CR-TS300L</v>
          </cell>
          <cell r="D1369">
            <v>1</v>
          </cell>
          <cell r="E1369" t="str">
            <v>AB PP WC XZ N50/2SM +L</v>
          </cell>
        </row>
        <row r="1370">
          <cell r="B1370" t="str">
            <v>XZD31BL-P</v>
          </cell>
          <cell r="C1370" t="str">
            <v>WXZD31CL-TS300L</v>
          </cell>
          <cell r="D1370">
            <v>1</v>
          </cell>
          <cell r="E1370" t="str">
            <v>AB PP WC XZ N70/3SM +R</v>
          </cell>
        </row>
        <row r="1371">
          <cell r="B1371" t="str">
            <v>XZD31BR-P</v>
          </cell>
          <cell r="C1371" t="str">
            <v>WXZD31CR-TS300L</v>
          </cell>
          <cell r="D1371">
            <v>1</v>
          </cell>
          <cell r="E1371" t="str">
            <v>AB PP WC XZ N70/3SM +L</v>
          </cell>
        </row>
        <row r="1372">
          <cell r="B1372" t="str">
            <v>XZDIN55-P</v>
          </cell>
          <cell r="C1372" t="str">
            <v>WXZN55EL-TS100L</v>
          </cell>
          <cell r="D1372">
            <v>1</v>
          </cell>
          <cell r="E1372" t="str">
            <v>AB PP WC XZ DIN55 +R</v>
          </cell>
        </row>
        <row r="1373">
          <cell r="B1373" t="str">
            <v>XZDIN66-P</v>
          </cell>
          <cell r="C1373" t="str">
            <v>WXZN66CL-TS100L</v>
          </cell>
          <cell r="D1373">
            <v>1</v>
          </cell>
          <cell r="E1373" t="str">
            <v>AB PP WC XZ DIN66 +R</v>
          </cell>
        </row>
        <row r="1374">
          <cell r="B1374" t="str">
            <v>XZDIN88-P</v>
          </cell>
          <cell r="C1374" t="str">
            <v>WXZN88BL-TS100L</v>
          </cell>
          <cell r="D1374">
            <v>1</v>
          </cell>
          <cell r="E1374" t="str">
            <v>AB PP WC XZ DIN88 +R</v>
          </cell>
        </row>
        <row r="1375">
          <cell r="B1375" t="str">
            <v>XZNS40CLS-P</v>
          </cell>
          <cell r="C1375" t="str">
            <v>WXZB20BL-TS100L</v>
          </cell>
          <cell r="D1375">
            <v>1</v>
          </cell>
          <cell r="E1375" t="str">
            <v>AB PP WC XZ NS40 +R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2:H11"/>
  <sheetViews>
    <sheetView tabSelected="1" workbookViewId="0">
      <selection activeCell="F11" sqref="F11"/>
    </sheetView>
  </sheetViews>
  <sheetFormatPr defaultRowHeight="12.5" x14ac:dyDescent="0.25"/>
  <cols>
    <col min="1" max="1" width="3.26953125" style="322" customWidth="1"/>
    <col min="2" max="2" width="19.26953125" style="322" customWidth="1"/>
    <col min="3" max="5" width="24" style="322" customWidth="1"/>
    <col min="6" max="8" width="21.453125" style="322" customWidth="1"/>
    <col min="9" max="256" width="9.1796875" style="322"/>
    <col min="257" max="257" width="3.26953125" style="322" customWidth="1"/>
    <col min="258" max="258" width="17" style="322" bestFit="1" customWidth="1"/>
    <col min="259" max="261" width="24" style="322" customWidth="1"/>
    <col min="262" max="264" width="13" style="322" customWidth="1"/>
    <col min="265" max="512" width="9.1796875" style="322"/>
    <col min="513" max="513" width="3.26953125" style="322" customWidth="1"/>
    <col min="514" max="514" width="17" style="322" bestFit="1" customWidth="1"/>
    <col min="515" max="517" width="24" style="322" customWidth="1"/>
    <col min="518" max="520" width="13" style="322" customWidth="1"/>
    <col min="521" max="768" width="9.1796875" style="322"/>
    <col min="769" max="769" width="3.26953125" style="322" customWidth="1"/>
    <col min="770" max="770" width="17" style="322" bestFit="1" customWidth="1"/>
    <col min="771" max="773" width="24" style="322" customWidth="1"/>
    <col min="774" max="776" width="13" style="322" customWidth="1"/>
    <col min="777" max="1024" width="9.1796875" style="322"/>
    <col min="1025" max="1025" width="3.26953125" style="322" customWidth="1"/>
    <col min="1026" max="1026" width="17" style="322" bestFit="1" customWidth="1"/>
    <col min="1027" max="1029" width="24" style="322" customWidth="1"/>
    <col min="1030" max="1032" width="13" style="322" customWidth="1"/>
    <col min="1033" max="1280" width="9.1796875" style="322"/>
    <col min="1281" max="1281" width="3.26953125" style="322" customWidth="1"/>
    <col min="1282" max="1282" width="17" style="322" bestFit="1" customWidth="1"/>
    <col min="1283" max="1285" width="24" style="322" customWidth="1"/>
    <col min="1286" max="1288" width="13" style="322" customWidth="1"/>
    <col min="1289" max="1536" width="9.1796875" style="322"/>
    <col min="1537" max="1537" width="3.26953125" style="322" customWidth="1"/>
    <col min="1538" max="1538" width="17" style="322" bestFit="1" customWidth="1"/>
    <col min="1539" max="1541" width="24" style="322" customWidth="1"/>
    <col min="1542" max="1544" width="13" style="322" customWidth="1"/>
    <col min="1545" max="1792" width="9.1796875" style="322"/>
    <col min="1793" max="1793" width="3.26953125" style="322" customWidth="1"/>
    <col min="1794" max="1794" width="17" style="322" bestFit="1" customWidth="1"/>
    <col min="1795" max="1797" width="24" style="322" customWidth="1"/>
    <col min="1798" max="1800" width="13" style="322" customWidth="1"/>
    <col min="1801" max="2048" width="9.1796875" style="322"/>
    <col min="2049" max="2049" width="3.26953125" style="322" customWidth="1"/>
    <col min="2050" max="2050" width="17" style="322" bestFit="1" customWidth="1"/>
    <col min="2051" max="2053" width="24" style="322" customWidth="1"/>
    <col min="2054" max="2056" width="13" style="322" customWidth="1"/>
    <col min="2057" max="2304" width="9.1796875" style="322"/>
    <col min="2305" max="2305" width="3.26953125" style="322" customWidth="1"/>
    <col min="2306" max="2306" width="17" style="322" bestFit="1" customWidth="1"/>
    <col min="2307" max="2309" width="24" style="322" customWidth="1"/>
    <col min="2310" max="2312" width="13" style="322" customWidth="1"/>
    <col min="2313" max="2560" width="9.1796875" style="322"/>
    <col min="2561" max="2561" width="3.26953125" style="322" customWidth="1"/>
    <col min="2562" max="2562" width="17" style="322" bestFit="1" customWidth="1"/>
    <col min="2563" max="2565" width="24" style="322" customWidth="1"/>
    <col min="2566" max="2568" width="13" style="322" customWidth="1"/>
    <col min="2569" max="2816" width="9.1796875" style="322"/>
    <col min="2817" max="2817" width="3.26953125" style="322" customWidth="1"/>
    <col min="2818" max="2818" width="17" style="322" bestFit="1" customWidth="1"/>
    <col min="2819" max="2821" width="24" style="322" customWidth="1"/>
    <col min="2822" max="2824" width="13" style="322" customWidth="1"/>
    <col min="2825" max="3072" width="9.1796875" style="322"/>
    <col min="3073" max="3073" width="3.26953125" style="322" customWidth="1"/>
    <col min="3074" max="3074" width="17" style="322" bestFit="1" customWidth="1"/>
    <col min="3075" max="3077" width="24" style="322" customWidth="1"/>
    <col min="3078" max="3080" width="13" style="322" customWidth="1"/>
    <col min="3081" max="3328" width="9.1796875" style="322"/>
    <col min="3329" max="3329" width="3.26953125" style="322" customWidth="1"/>
    <col min="3330" max="3330" width="17" style="322" bestFit="1" customWidth="1"/>
    <col min="3331" max="3333" width="24" style="322" customWidth="1"/>
    <col min="3334" max="3336" width="13" style="322" customWidth="1"/>
    <col min="3337" max="3584" width="9.1796875" style="322"/>
    <col min="3585" max="3585" width="3.26953125" style="322" customWidth="1"/>
    <col min="3586" max="3586" width="17" style="322" bestFit="1" customWidth="1"/>
    <col min="3587" max="3589" width="24" style="322" customWidth="1"/>
    <col min="3590" max="3592" width="13" style="322" customWidth="1"/>
    <col min="3593" max="3840" width="9.1796875" style="322"/>
    <col min="3841" max="3841" width="3.26953125" style="322" customWidth="1"/>
    <col min="3842" max="3842" width="17" style="322" bestFit="1" customWidth="1"/>
    <col min="3843" max="3845" width="24" style="322" customWidth="1"/>
    <col min="3846" max="3848" width="13" style="322" customWidth="1"/>
    <col min="3849" max="4096" width="9.1796875" style="322"/>
    <col min="4097" max="4097" width="3.26953125" style="322" customWidth="1"/>
    <col min="4098" max="4098" width="17" style="322" bestFit="1" customWidth="1"/>
    <col min="4099" max="4101" width="24" style="322" customWidth="1"/>
    <col min="4102" max="4104" width="13" style="322" customWidth="1"/>
    <col min="4105" max="4352" width="9.1796875" style="322"/>
    <col min="4353" max="4353" width="3.26953125" style="322" customWidth="1"/>
    <col min="4354" max="4354" width="17" style="322" bestFit="1" customWidth="1"/>
    <col min="4355" max="4357" width="24" style="322" customWidth="1"/>
    <col min="4358" max="4360" width="13" style="322" customWidth="1"/>
    <col min="4361" max="4608" width="9.1796875" style="322"/>
    <col min="4609" max="4609" width="3.26953125" style="322" customWidth="1"/>
    <col min="4610" max="4610" width="17" style="322" bestFit="1" customWidth="1"/>
    <col min="4611" max="4613" width="24" style="322" customWidth="1"/>
    <col min="4614" max="4616" width="13" style="322" customWidth="1"/>
    <col min="4617" max="4864" width="9.1796875" style="322"/>
    <col min="4865" max="4865" width="3.26953125" style="322" customWidth="1"/>
    <col min="4866" max="4866" width="17" style="322" bestFit="1" customWidth="1"/>
    <col min="4867" max="4869" width="24" style="322" customWidth="1"/>
    <col min="4870" max="4872" width="13" style="322" customWidth="1"/>
    <col min="4873" max="5120" width="9.1796875" style="322"/>
    <col min="5121" max="5121" width="3.26953125" style="322" customWidth="1"/>
    <col min="5122" max="5122" width="17" style="322" bestFit="1" customWidth="1"/>
    <col min="5123" max="5125" width="24" style="322" customWidth="1"/>
    <col min="5126" max="5128" width="13" style="322" customWidth="1"/>
    <col min="5129" max="5376" width="9.1796875" style="322"/>
    <col min="5377" max="5377" width="3.26953125" style="322" customWidth="1"/>
    <col min="5378" max="5378" width="17" style="322" bestFit="1" customWidth="1"/>
    <col min="5379" max="5381" width="24" style="322" customWidth="1"/>
    <col min="5382" max="5384" width="13" style="322" customWidth="1"/>
    <col min="5385" max="5632" width="9.1796875" style="322"/>
    <col min="5633" max="5633" width="3.26953125" style="322" customWidth="1"/>
    <col min="5634" max="5634" width="17" style="322" bestFit="1" customWidth="1"/>
    <col min="5635" max="5637" width="24" style="322" customWidth="1"/>
    <col min="5638" max="5640" width="13" style="322" customWidth="1"/>
    <col min="5641" max="5888" width="9.1796875" style="322"/>
    <col min="5889" max="5889" width="3.26953125" style="322" customWidth="1"/>
    <col min="5890" max="5890" width="17" style="322" bestFit="1" customWidth="1"/>
    <col min="5891" max="5893" width="24" style="322" customWidth="1"/>
    <col min="5894" max="5896" width="13" style="322" customWidth="1"/>
    <col min="5897" max="6144" width="9.1796875" style="322"/>
    <col min="6145" max="6145" width="3.26953125" style="322" customWidth="1"/>
    <col min="6146" max="6146" width="17" style="322" bestFit="1" customWidth="1"/>
    <col min="6147" max="6149" width="24" style="322" customWidth="1"/>
    <col min="6150" max="6152" width="13" style="322" customWidth="1"/>
    <col min="6153" max="6400" width="9.1796875" style="322"/>
    <col min="6401" max="6401" width="3.26953125" style="322" customWidth="1"/>
    <col min="6402" max="6402" width="17" style="322" bestFit="1" customWidth="1"/>
    <col min="6403" max="6405" width="24" style="322" customWidth="1"/>
    <col min="6406" max="6408" width="13" style="322" customWidth="1"/>
    <col min="6409" max="6656" width="9.1796875" style="322"/>
    <col min="6657" max="6657" width="3.26953125" style="322" customWidth="1"/>
    <col min="6658" max="6658" width="17" style="322" bestFit="1" customWidth="1"/>
    <col min="6659" max="6661" width="24" style="322" customWidth="1"/>
    <col min="6662" max="6664" width="13" style="322" customWidth="1"/>
    <col min="6665" max="6912" width="9.1796875" style="322"/>
    <col min="6913" max="6913" width="3.26953125" style="322" customWidth="1"/>
    <col min="6914" max="6914" width="17" style="322" bestFit="1" customWidth="1"/>
    <col min="6915" max="6917" width="24" style="322" customWidth="1"/>
    <col min="6918" max="6920" width="13" style="322" customWidth="1"/>
    <col min="6921" max="7168" width="9.1796875" style="322"/>
    <col min="7169" max="7169" width="3.26953125" style="322" customWidth="1"/>
    <col min="7170" max="7170" width="17" style="322" bestFit="1" customWidth="1"/>
    <col min="7171" max="7173" width="24" style="322" customWidth="1"/>
    <col min="7174" max="7176" width="13" style="322" customWidth="1"/>
    <col min="7177" max="7424" width="9.1796875" style="322"/>
    <col min="7425" max="7425" width="3.26953125" style="322" customWidth="1"/>
    <col min="7426" max="7426" width="17" style="322" bestFit="1" customWidth="1"/>
    <col min="7427" max="7429" width="24" style="322" customWidth="1"/>
    <col min="7430" max="7432" width="13" style="322" customWidth="1"/>
    <col min="7433" max="7680" width="9.1796875" style="322"/>
    <col min="7681" max="7681" width="3.26953125" style="322" customWidth="1"/>
    <col min="7682" max="7682" width="17" style="322" bestFit="1" customWidth="1"/>
    <col min="7683" max="7685" width="24" style="322" customWidth="1"/>
    <col min="7686" max="7688" width="13" style="322" customWidth="1"/>
    <col min="7689" max="7936" width="9.1796875" style="322"/>
    <col min="7937" max="7937" width="3.26953125" style="322" customWidth="1"/>
    <col min="7938" max="7938" width="17" style="322" bestFit="1" customWidth="1"/>
    <col min="7939" max="7941" width="24" style="322" customWidth="1"/>
    <col min="7942" max="7944" width="13" style="322" customWidth="1"/>
    <col min="7945" max="8192" width="9.1796875" style="322"/>
    <col min="8193" max="8193" width="3.26953125" style="322" customWidth="1"/>
    <col min="8194" max="8194" width="17" style="322" bestFit="1" customWidth="1"/>
    <col min="8195" max="8197" width="24" style="322" customWidth="1"/>
    <col min="8198" max="8200" width="13" style="322" customWidth="1"/>
    <col min="8201" max="8448" width="9.1796875" style="322"/>
    <col min="8449" max="8449" width="3.26953125" style="322" customWidth="1"/>
    <col min="8450" max="8450" width="17" style="322" bestFit="1" customWidth="1"/>
    <col min="8451" max="8453" width="24" style="322" customWidth="1"/>
    <col min="8454" max="8456" width="13" style="322" customWidth="1"/>
    <col min="8457" max="8704" width="9.1796875" style="322"/>
    <col min="8705" max="8705" width="3.26953125" style="322" customWidth="1"/>
    <col min="8706" max="8706" width="17" style="322" bestFit="1" customWidth="1"/>
    <col min="8707" max="8709" width="24" style="322" customWidth="1"/>
    <col min="8710" max="8712" width="13" style="322" customWidth="1"/>
    <col min="8713" max="8960" width="9.1796875" style="322"/>
    <col min="8961" max="8961" width="3.26953125" style="322" customWidth="1"/>
    <col min="8962" max="8962" width="17" style="322" bestFit="1" customWidth="1"/>
    <col min="8963" max="8965" width="24" style="322" customWidth="1"/>
    <col min="8966" max="8968" width="13" style="322" customWidth="1"/>
    <col min="8969" max="9216" width="9.1796875" style="322"/>
    <col min="9217" max="9217" width="3.26953125" style="322" customWidth="1"/>
    <col min="9218" max="9218" width="17" style="322" bestFit="1" customWidth="1"/>
    <col min="9219" max="9221" width="24" style="322" customWidth="1"/>
    <col min="9222" max="9224" width="13" style="322" customWidth="1"/>
    <col min="9225" max="9472" width="9.1796875" style="322"/>
    <col min="9473" max="9473" width="3.26953125" style="322" customWidth="1"/>
    <col min="9474" max="9474" width="17" style="322" bestFit="1" customWidth="1"/>
    <col min="9475" max="9477" width="24" style="322" customWidth="1"/>
    <col min="9478" max="9480" width="13" style="322" customWidth="1"/>
    <col min="9481" max="9728" width="9.1796875" style="322"/>
    <col min="9729" max="9729" width="3.26953125" style="322" customWidth="1"/>
    <col min="9730" max="9730" width="17" style="322" bestFit="1" customWidth="1"/>
    <col min="9731" max="9733" width="24" style="322" customWidth="1"/>
    <col min="9734" max="9736" width="13" style="322" customWidth="1"/>
    <col min="9737" max="9984" width="9.1796875" style="322"/>
    <col min="9985" max="9985" width="3.26953125" style="322" customWidth="1"/>
    <col min="9986" max="9986" width="17" style="322" bestFit="1" customWidth="1"/>
    <col min="9987" max="9989" width="24" style="322" customWidth="1"/>
    <col min="9990" max="9992" width="13" style="322" customWidth="1"/>
    <col min="9993" max="10240" width="9.1796875" style="322"/>
    <col min="10241" max="10241" width="3.26953125" style="322" customWidth="1"/>
    <col min="10242" max="10242" width="17" style="322" bestFit="1" customWidth="1"/>
    <col min="10243" max="10245" width="24" style="322" customWidth="1"/>
    <col min="10246" max="10248" width="13" style="322" customWidth="1"/>
    <col min="10249" max="10496" width="9.1796875" style="322"/>
    <col min="10497" max="10497" width="3.26953125" style="322" customWidth="1"/>
    <col min="10498" max="10498" width="17" style="322" bestFit="1" customWidth="1"/>
    <col min="10499" max="10501" width="24" style="322" customWidth="1"/>
    <col min="10502" max="10504" width="13" style="322" customWidth="1"/>
    <col min="10505" max="10752" width="9.1796875" style="322"/>
    <col min="10753" max="10753" width="3.26953125" style="322" customWidth="1"/>
    <col min="10754" max="10754" width="17" style="322" bestFit="1" customWidth="1"/>
    <col min="10755" max="10757" width="24" style="322" customWidth="1"/>
    <col min="10758" max="10760" width="13" style="322" customWidth="1"/>
    <col min="10761" max="11008" width="9.1796875" style="322"/>
    <col min="11009" max="11009" width="3.26953125" style="322" customWidth="1"/>
    <col min="11010" max="11010" width="17" style="322" bestFit="1" customWidth="1"/>
    <col min="11011" max="11013" width="24" style="322" customWidth="1"/>
    <col min="11014" max="11016" width="13" style="322" customWidth="1"/>
    <col min="11017" max="11264" width="9.1796875" style="322"/>
    <col min="11265" max="11265" width="3.26953125" style="322" customWidth="1"/>
    <col min="11266" max="11266" width="17" style="322" bestFit="1" customWidth="1"/>
    <col min="11267" max="11269" width="24" style="322" customWidth="1"/>
    <col min="11270" max="11272" width="13" style="322" customWidth="1"/>
    <col min="11273" max="11520" width="9.1796875" style="322"/>
    <col min="11521" max="11521" width="3.26953125" style="322" customWidth="1"/>
    <col min="11522" max="11522" width="17" style="322" bestFit="1" customWidth="1"/>
    <col min="11523" max="11525" width="24" style="322" customWidth="1"/>
    <col min="11526" max="11528" width="13" style="322" customWidth="1"/>
    <col min="11529" max="11776" width="9.1796875" style="322"/>
    <col min="11777" max="11777" width="3.26953125" style="322" customWidth="1"/>
    <col min="11778" max="11778" width="17" style="322" bestFit="1" customWidth="1"/>
    <col min="11779" max="11781" width="24" style="322" customWidth="1"/>
    <col min="11782" max="11784" width="13" style="322" customWidth="1"/>
    <col min="11785" max="12032" width="9.1796875" style="322"/>
    <col min="12033" max="12033" width="3.26953125" style="322" customWidth="1"/>
    <col min="12034" max="12034" width="17" style="322" bestFit="1" customWidth="1"/>
    <col min="12035" max="12037" width="24" style="322" customWidth="1"/>
    <col min="12038" max="12040" width="13" style="322" customWidth="1"/>
    <col min="12041" max="12288" width="9.1796875" style="322"/>
    <col min="12289" max="12289" width="3.26953125" style="322" customWidth="1"/>
    <col min="12290" max="12290" width="17" style="322" bestFit="1" customWidth="1"/>
    <col min="12291" max="12293" width="24" style="322" customWidth="1"/>
    <col min="12294" max="12296" width="13" style="322" customWidth="1"/>
    <col min="12297" max="12544" width="9.1796875" style="322"/>
    <col min="12545" max="12545" width="3.26953125" style="322" customWidth="1"/>
    <col min="12546" max="12546" width="17" style="322" bestFit="1" customWidth="1"/>
    <col min="12547" max="12549" width="24" style="322" customWidth="1"/>
    <col min="12550" max="12552" width="13" style="322" customWidth="1"/>
    <col min="12553" max="12800" width="9.1796875" style="322"/>
    <col min="12801" max="12801" width="3.26953125" style="322" customWidth="1"/>
    <col min="12802" max="12802" width="17" style="322" bestFit="1" customWidth="1"/>
    <col min="12803" max="12805" width="24" style="322" customWidth="1"/>
    <col min="12806" max="12808" width="13" style="322" customWidth="1"/>
    <col min="12809" max="13056" width="9.1796875" style="322"/>
    <col min="13057" max="13057" width="3.26953125" style="322" customWidth="1"/>
    <col min="13058" max="13058" width="17" style="322" bestFit="1" customWidth="1"/>
    <col min="13059" max="13061" width="24" style="322" customWidth="1"/>
    <col min="13062" max="13064" width="13" style="322" customWidth="1"/>
    <col min="13065" max="13312" width="9.1796875" style="322"/>
    <col min="13313" max="13313" width="3.26953125" style="322" customWidth="1"/>
    <col min="13314" max="13314" width="17" style="322" bestFit="1" customWidth="1"/>
    <col min="13315" max="13317" width="24" style="322" customWidth="1"/>
    <col min="13318" max="13320" width="13" style="322" customWidth="1"/>
    <col min="13321" max="13568" width="9.1796875" style="322"/>
    <col min="13569" max="13569" width="3.26953125" style="322" customWidth="1"/>
    <col min="13570" max="13570" width="17" style="322" bestFit="1" customWidth="1"/>
    <col min="13571" max="13573" width="24" style="322" customWidth="1"/>
    <col min="13574" max="13576" width="13" style="322" customWidth="1"/>
    <col min="13577" max="13824" width="9.1796875" style="322"/>
    <col min="13825" max="13825" width="3.26953125" style="322" customWidth="1"/>
    <col min="13826" max="13826" width="17" style="322" bestFit="1" customWidth="1"/>
    <col min="13827" max="13829" width="24" style="322" customWidth="1"/>
    <col min="13830" max="13832" width="13" style="322" customWidth="1"/>
    <col min="13833" max="14080" width="9.1796875" style="322"/>
    <col min="14081" max="14081" width="3.26953125" style="322" customWidth="1"/>
    <col min="14082" max="14082" width="17" style="322" bestFit="1" customWidth="1"/>
    <col min="14083" max="14085" width="24" style="322" customWidth="1"/>
    <col min="14086" max="14088" width="13" style="322" customWidth="1"/>
    <col min="14089" max="14336" width="9.1796875" style="322"/>
    <col min="14337" max="14337" width="3.26953125" style="322" customWidth="1"/>
    <col min="14338" max="14338" width="17" style="322" bestFit="1" customWidth="1"/>
    <col min="14339" max="14341" width="24" style="322" customWidth="1"/>
    <col min="14342" max="14344" width="13" style="322" customWidth="1"/>
    <col min="14345" max="14592" width="9.1796875" style="322"/>
    <col min="14593" max="14593" width="3.26953125" style="322" customWidth="1"/>
    <col min="14594" max="14594" width="17" style="322" bestFit="1" customWidth="1"/>
    <col min="14595" max="14597" width="24" style="322" customWidth="1"/>
    <col min="14598" max="14600" width="13" style="322" customWidth="1"/>
    <col min="14601" max="14848" width="9.1796875" style="322"/>
    <col min="14849" max="14849" width="3.26953125" style="322" customWidth="1"/>
    <col min="14850" max="14850" width="17" style="322" bestFit="1" customWidth="1"/>
    <col min="14851" max="14853" width="24" style="322" customWidth="1"/>
    <col min="14854" max="14856" width="13" style="322" customWidth="1"/>
    <col min="14857" max="15104" width="9.1796875" style="322"/>
    <col min="15105" max="15105" width="3.26953125" style="322" customWidth="1"/>
    <col min="15106" max="15106" width="17" style="322" bestFit="1" customWidth="1"/>
    <col min="15107" max="15109" width="24" style="322" customWidth="1"/>
    <col min="15110" max="15112" width="13" style="322" customWidth="1"/>
    <col min="15113" max="15360" width="9.1796875" style="322"/>
    <col min="15361" max="15361" width="3.26953125" style="322" customWidth="1"/>
    <col min="15362" max="15362" width="17" style="322" bestFit="1" customWidth="1"/>
    <col min="15363" max="15365" width="24" style="322" customWidth="1"/>
    <col min="15366" max="15368" width="13" style="322" customWidth="1"/>
    <col min="15369" max="15616" width="9.1796875" style="322"/>
    <col min="15617" max="15617" width="3.26953125" style="322" customWidth="1"/>
    <col min="15618" max="15618" width="17" style="322" bestFit="1" customWidth="1"/>
    <col min="15619" max="15621" width="24" style="322" customWidth="1"/>
    <col min="15622" max="15624" width="13" style="322" customWidth="1"/>
    <col min="15625" max="15872" width="9.1796875" style="322"/>
    <col min="15873" max="15873" width="3.26953125" style="322" customWidth="1"/>
    <col min="15874" max="15874" width="17" style="322" bestFit="1" customWidth="1"/>
    <col min="15875" max="15877" width="24" style="322" customWidth="1"/>
    <col min="15878" max="15880" width="13" style="322" customWidth="1"/>
    <col min="15881" max="16128" width="9.1796875" style="322"/>
    <col min="16129" max="16129" width="3.26953125" style="322" customWidth="1"/>
    <col min="16130" max="16130" width="17" style="322" bestFit="1" customWidth="1"/>
    <col min="16131" max="16133" width="24" style="322" customWidth="1"/>
    <col min="16134" max="16136" width="13" style="322" customWidth="1"/>
    <col min="16137" max="16384" width="9.1796875" style="322"/>
  </cols>
  <sheetData>
    <row r="2" spans="2:8" ht="26.25" customHeight="1" x14ac:dyDescent="0.7">
      <c r="B2" s="321" t="s">
        <v>77</v>
      </c>
      <c r="C2" s="321" t="s">
        <v>78</v>
      </c>
      <c r="D2" s="321" t="s">
        <v>79</v>
      </c>
      <c r="E2" s="321" t="s">
        <v>23</v>
      </c>
      <c r="F2" s="321" t="s">
        <v>29</v>
      </c>
      <c r="G2" s="321" t="s">
        <v>80</v>
      </c>
      <c r="H2" s="321" t="s">
        <v>81</v>
      </c>
    </row>
    <row r="3" spans="2:8" ht="17.5" x14ac:dyDescent="0.35">
      <c r="B3" s="323" t="s">
        <v>135</v>
      </c>
      <c r="C3" s="324" t="e">
        <f>'Filling Manual'!EQ107</f>
        <v>#DIV/0!</v>
      </c>
      <c r="D3" s="324" t="e">
        <f>'Filling Manual'!DS107</f>
        <v>#DIV/0!</v>
      </c>
      <c r="E3" s="324" t="e">
        <f>'Filling Manual'!ED107</f>
        <v>#DIV/0!</v>
      </c>
      <c r="F3" s="324" t="e">
        <f>'Filling Manual'!EL107</f>
        <v>#DIV/0!</v>
      </c>
      <c r="G3" s="324" t="e">
        <f>'Filling Manual'!DG107</f>
        <v>#DIV/0!</v>
      </c>
      <c r="H3" s="324" t="e">
        <f>'Filling Manual'!DM107</f>
        <v>#DIV/0!</v>
      </c>
    </row>
    <row r="4" spans="2:8" ht="17.5" x14ac:dyDescent="0.35">
      <c r="B4" s="323" t="s">
        <v>136</v>
      </c>
      <c r="C4" s="324" t="e">
        <f>Milling!EQ107</f>
        <v>#DIV/0!</v>
      </c>
      <c r="D4" s="324" t="e">
        <f>Milling!DS107</f>
        <v>#DIV/0!</v>
      </c>
      <c r="E4" s="324" t="e">
        <f>Milling!ED107</f>
        <v>#DIV/0!</v>
      </c>
      <c r="F4" s="324" t="e">
        <f>Milling!EL107</f>
        <v>#DIV/0!</v>
      </c>
      <c r="G4" s="324" t="e">
        <f>Milling!DG107</f>
        <v>#DIV/0!</v>
      </c>
      <c r="H4" s="324" t="e">
        <f>Milling!DM107</f>
        <v>#DIV/0!</v>
      </c>
    </row>
    <row r="5" spans="2:8" ht="17.5" x14ac:dyDescent="0.35">
      <c r="B5" s="323" t="s">
        <v>137</v>
      </c>
      <c r="C5" s="324" t="e">
        <f>Mixing!EQ107</f>
        <v>#DIV/0!</v>
      </c>
      <c r="D5" s="324" t="e">
        <f>Mixing!DS107</f>
        <v>#DIV/0!</v>
      </c>
      <c r="E5" s="324" t="e">
        <f>Mixing!ED107</f>
        <v>#DIV/0!</v>
      </c>
      <c r="F5" s="324" t="e">
        <f>Mixing!EL107</f>
        <v>#DIV/0!</v>
      </c>
      <c r="G5" s="324" t="e">
        <f>Mixing!DG107</f>
        <v>#DIV/0!</v>
      </c>
      <c r="H5" s="324" t="e">
        <f>Mixing!DM107</f>
        <v>#DIV/0!</v>
      </c>
    </row>
    <row r="6" spans="2:8" ht="17.5" x14ac:dyDescent="0.35">
      <c r="B6" s="323" t="s">
        <v>138</v>
      </c>
      <c r="C6" s="324" t="e">
        <f>Tinting!EQ107</f>
        <v>#DIV/0!</v>
      </c>
      <c r="D6" s="324" t="e">
        <f>Tinting!DS107</f>
        <v>#DIV/0!</v>
      </c>
      <c r="E6" s="324" t="e">
        <f>Tinting!ED107</f>
        <v>#DIV/0!</v>
      </c>
      <c r="F6" s="324" t="e">
        <f>Tinting!EL107</f>
        <v>#DIV/0!</v>
      </c>
      <c r="G6" s="324" t="e">
        <f>Tinting!DG107</f>
        <v>#DIV/0!</v>
      </c>
      <c r="H6" s="324" t="e">
        <f>Tinting!DM107</f>
        <v>#DIV/0!</v>
      </c>
    </row>
    <row r="7" spans="2:8" ht="34.5" customHeight="1" x14ac:dyDescent="0.25">
      <c r="B7" s="430" t="s">
        <v>139</v>
      </c>
      <c r="C7" s="431" t="e">
        <f>AVERAGE(C4:C6)</f>
        <v>#DIV/0!</v>
      </c>
      <c r="D7" s="431" t="e">
        <f>AVERAGE(D4:D6)</f>
        <v>#DIV/0!</v>
      </c>
      <c r="E7" s="431" t="e">
        <f>AVERAGE(E4:E6)</f>
        <v>#DIV/0!</v>
      </c>
      <c r="F7" s="431" t="e">
        <f>AVERAGE(F4:F6)</f>
        <v>#DIV/0!</v>
      </c>
      <c r="G7" s="431" t="e">
        <f>AVERAGE(G4:G6)</f>
        <v>#DIV/0!</v>
      </c>
      <c r="H7" s="431" t="e">
        <f>AVERAGE(H4:H6)</f>
        <v>#DIV/0!</v>
      </c>
    </row>
    <row r="11" spans="2:8" x14ac:dyDescent="0.25">
      <c r="H11" s="322" t="s">
        <v>82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P118"/>
  <sheetViews>
    <sheetView zoomScale="70" zoomScaleNormal="70" workbookViewId="0">
      <pane xSplit="12" ySplit="4" topLeftCell="DM107" activePane="bottomRight" state="frozen"/>
      <selection activeCell="R20" sqref="R20"/>
      <selection pane="topRight" activeCell="R20" sqref="R20"/>
      <selection pane="bottomLeft" activeCell="R20" sqref="R20"/>
      <selection pane="bottomRight" activeCell="W7" sqref="W7"/>
    </sheetView>
  </sheetViews>
  <sheetFormatPr defaultColWidth="9.1796875" defaultRowHeight="12.5" outlineLevelRow="1" outlineLevelCol="1" x14ac:dyDescent="0.25"/>
  <cols>
    <col min="1" max="1" width="1.26953125" style="132" customWidth="1"/>
    <col min="2" max="2" width="16.7265625" style="329" customWidth="1"/>
    <col min="3" max="3" width="9.54296875" style="132" customWidth="1"/>
    <col min="4" max="4" width="14.81640625" style="132" customWidth="1"/>
    <col min="5" max="5" width="7.26953125" style="132" customWidth="1"/>
    <col min="6" max="6" width="1.1796875" style="132" customWidth="1"/>
    <col min="7" max="7" width="0" style="132" hidden="1" customWidth="1"/>
    <col min="8" max="8" width="23.1796875" style="132" customWidth="1"/>
    <col min="9" max="9" width="14" style="132" bestFit="1" customWidth="1"/>
    <col min="10" max="10" width="1.1796875" style="132" customWidth="1"/>
    <col min="11" max="11" width="12.54296875" style="132" customWidth="1"/>
    <col min="12" max="12" width="1.1796875" style="132" customWidth="1"/>
    <col min="13" max="39" width="6.54296875" style="132" customWidth="1" outlineLevel="1"/>
    <col min="40" max="40" width="14.453125" style="132" customWidth="1"/>
    <col min="41" max="41" width="4.7265625" style="132" customWidth="1"/>
    <col min="42" max="42" width="17.7265625" style="132" customWidth="1"/>
    <col min="43" max="43" width="2.81640625" style="132" customWidth="1"/>
    <col min="44" max="45" width="17.81640625" style="132" customWidth="1"/>
    <col min="46" max="46" width="2.81640625" style="132" customWidth="1"/>
    <col min="47" max="69" width="4.6328125" style="132" customWidth="1" outlineLevel="1"/>
    <col min="70" max="70" width="3.54296875" style="132" customWidth="1" outlineLevel="1"/>
    <col min="71" max="71" width="5.81640625" style="132" customWidth="1" outlineLevel="1"/>
    <col min="72" max="76" width="3.54296875" style="132" customWidth="1" outlineLevel="1"/>
    <col min="77" max="77" width="3.7265625" style="132" customWidth="1" outlineLevel="1"/>
    <col min="78" max="78" width="4" style="132" customWidth="1" outlineLevel="1"/>
    <col min="79" max="81" width="3.54296875" style="132" customWidth="1" outlineLevel="1"/>
    <col min="82" max="82" width="4" style="132" customWidth="1" outlineLevel="1"/>
    <col min="83" max="96" width="4.6328125" style="132" customWidth="1" outlineLevel="1"/>
    <col min="97" max="97" width="10.7265625" style="132" customWidth="1"/>
    <col min="98" max="98" width="0.81640625" style="132" customWidth="1"/>
    <col min="99" max="99" width="21.54296875" style="132" customWidth="1"/>
    <col min="100" max="100" width="1.81640625" style="132" customWidth="1"/>
    <col min="101" max="106" width="23.1796875" style="315" customWidth="1"/>
    <col min="107" max="107" width="3.26953125" style="132" customWidth="1"/>
    <col min="108" max="108" width="12.54296875" style="132" customWidth="1" outlineLevel="1"/>
    <col min="109" max="109" width="13" style="132" customWidth="1" outlineLevel="1"/>
    <col min="110" max="110" width="28.453125" style="132" customWidth="1" outlineLevel="1"/>
    <col min="111" max="111" width="24.1796875" style="132" customWidth="1"/>
    <col min="112" max="112" width="5.81640625" style="316" bestFit="1" customWidth="1"/>
    <col min="113" max="113" width="9.1796875" style="132" customWidth="1"/>
    <col min="114" max="115" width="12.26953125" style="132" bestFit="1" customWidth="1" outlineLevel="1"/>
    <col min="116" max="116" width="26.54296875" style="317" customWidth="1" outlineLevel="1"/>
    <col min="117" max="117" width="16.453125" style="132" customWidth="1"/>
    <col min="118" max="118" width="11.54296875" style="316" customWidth="1"/>
    <col min="119" max="119" width="7.81640625" style="132" customWidth="1"/>
    <col min="120" max="120" width="11" style="132" customWidth="1" outlineLevel="1"/>
    <col min="121" max="121" width="11.7265625" style="132" customWidth="1" outlineLevel="1"/>
    <col min="122" max="122" width="11.54296875" style="132" customWidth="1" outlineLevel="1"/>
    <col min="123" max="123" width="13.81640625" style="132" customWidth="1"/>
    <col min="124" max="124" width="10.1796875" style="316" customWidth="1"/>
    <col min="125" max="125" width="9.1796875" style="132"/>
    <col min="126" max="126" width="19.26953125" style="315" customWidth="1"/>
    <col min="127" max="127" width="9.54296875" style="316" customWidth="1"/>
    <col min="128" max="128" width="4.81640625" style="132" customWidth="1" collapsed="1"/>
    <col min="129" max="129" width="17.81640625" style="132" customWidth="1" outlineLevel="1"/>
    <col min="130" max="130" width="16.453125" style="132" hidden="1" customWidth="1" outlineLevel="1"/>
    <col min="131" max="131" width="16.81640625" style="132" hidden="1" customWidth="1" outlineLevel="1"/>
    <col min="132" max="132" width="19.54296875" style="132" customWidth="1" outlineLevel="1"/>
    <col min="133" max="133" width="0.7265625" style="132" customWidth="1" outlineLevel="1"/>
    <col min="134" max="134" width="23.453125" style="132" customWidth="1"/>
    <col min="135" max="135" width="7.54296875" style="316" customWidth="1"/>
    <col min="136" max="136" width="8.453125" style="132" customWidth="1"/>
    <col min="137" max="137" width="12.1796875" style="132" customWidth="1" outlineLevel="1"/>
    <col min="138" max="138" width="13.7265625" style="132" customWidth="1" outlineLevel="1"/>
    <col min="139" max="139" width="11.81640625" style="132" customWidth="1" outlineLevel="1"/>
    <col min="140" max="140" width="13.54296875" style="132" customWidth="1" outlineLevel="1"/>
    <col min="141" max="141" width="17.26953125" style="132" customWidth="1" outlineLevel="1"/>
    <col min="142" max="142" width="17.7265625" style="132" customWidth="1"/>
    <col min="143" max="143" width="1.54296875" style="316" customWidth="1"/>
    <col min="144" max="144" width="12" style="132" customWidth="1"/>
    <col min="145" max="145" width="18.81640625" style="132" customWidth="1" outlineLevel="1"/>
    <col min="146" max="146" width="22.453125" style="132" customWidth="1" outlineLevel="1"/>
    <col min="147" max="147" width="17.7265625" style="132" customWidth="1"/>
    <col min="148" max="148" width="1.26953125" style="316" customWidth="1"/>
    <col min="149" max="149" width="18.1796875" style="132" customWidth="1"/>
    <col min="150" max="150" width="1.54296875" style="132" customWidth="1"/>
    <col min="151" max="151" width="13.26953125" style="132" customWidth="1"/>
    <col min="152" max="152" width="11.26953125" style="132" customWidth="1"/>
    <col min="153" max="153" width="26.1796875" style="132" customWidth="1"/>
    <col min="154" max="154" width="11.26953125" style="132" customWidth="1"/>
    <col min="155" max="155" width="1.1796875" style="132" customWidth="1"/>
    <col min="156" max="156" width="29.453125" style="132" customWidth="1"/>
    <col min="157" max="157" width="28.26953125" style="132" customWidth="1"/>
    <col min="158" max="158" width="72.7265625" style="132" customWidth="1"/>
    <col min="159" max="159" width="2.26953125" style="132" customWidth="1"/>
    <col min="160" max="16384" width="9.1796875" style="132"/>
  </cols>
  <sheetData>
    <row r="1" spans="2:172" s="1" customFormat="1" ht="30.75" customHeight="1" thickBot="1" x14ac:dyDescent="0.3">
      <c r="B1" s="325"/>
      <c r="D1" s="2"/>
      <c r="E1" s="2"/>
      <c r="F1" s="3"/>
      <c r="G1" s="4"/>
      <c r="H1" s="5"/>
      <c r="I1" s="6"/>
      <c r="J1" s="7"/>
      <c r="K1" s="405" t="s">
        <v>0</v>
      </c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8"/>
      <c r="AR1" s="407" t="s">
        <v>1</v>
      </c>
      <c r="AS1" s="408"/>
      <c r="AT1" s="8"/>
      <c r="AU1" s="409" t="s">
        <v>2</v>
      </c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1"/>
      <c r="CV1" s="9"/>
      <c r="CW1" s="412" t="s">
        <v>3</v>
      </c>
      <c r="CX1" s="412"/>
      <c r="CY1" s="412"/>
      <c r="CZ1" s="412"/>
      <c r="DA1" s="412"/>
      <c r="DB1" s="412"/>
      <c r="DC1" s="10"/>
      <c r="DD1" s="414" t="s">
        <v>4</v>
      </c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5"/>
      <c r="DW1" s="11"/>
      <c r="DX1" s="12"/>
      <c r="DY1" s="374" t="s">
        <v>5</v>
      </c>
      <c r="DZ1" s="375"/>
      <c r="EA1" s="375"/>
      <c r="EB1" s="375"/>
      <c r="EC1" s="375"/>
      <c r="ED1" s="376"/>
      <c r="EE1" s="11"/>
      <c r="EF1" s="12"/>
      <c r="EG1" s="377" t="s">
        <v>6</v>
      </c>
      <c r="EH1" s="378"/>
      <c r="EI1" s="378"/>
      <c r="EJ1" s="378"/>
      <c r="EK1" s="378"/>
      <c r="EL1" s="379"/>
      <c r="EM1" s="11"/>
      <c r="EN1" s="12"/>
      <c r="EO1" s="377" t="s">
        <v>7</v>
      </c>
      <c r="EP1" s="378"/>
      <c r="EQ1" s="379"/>
      <c r="ER1" s="11"/>
      <c r="ES1" s="13"/>
      <c r="ET1" s="13"/>
      <c r="EU1" s="2"/>
      <c r="EV1" s="2"/>
      <c r="EW1" s="2"/>
      <c r="EX1" s="2"/>
      <c r="EY1" s="2"/>
      <c r="EZ1" s="2"/>
      <c r="FA1" s="14"/>
      <c r="FB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</row>
    <row r="2" spans="2:172" s="15" customFormat="1" ht="33" customHeight="1" thickBot="1" x14ac:dyDescent="0.3">
      <c r="B2" s="326"/>
      <c r="D2" s="17"/>
      <c r="E2" s="17"/>
      <c r="F2" s="18"/>
      <c r="G2" s="18"/>
      <c r="H2" s="19"/>
      <c r="I2" s="20"/>
      <c r="J2" s="20"/>
      <c r="K2" s="416" t="s">
        <v>8</v>
      </c>
      <c r="L2" s="21"/>
      <c r="M2" s="418" t="s">
        <v>9</v>
      </c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1"/>
      <c r="AA2" s="380" t="s">
        <v>10</v>
      </c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1"/>
      <c r="AN2" s="382" t="s">
        <v>11</v>
      </c>
      <c r="AO2" s="22"/>
      <c r="AP2" s="419" t="s">
        <v>12</v>
      </c>
      <c r="AQ2" s="18"/>
      <c r="AR2" s="372" t="s">
        <v>13</v>
      </c>
      <c r="AS2" s="372" t="s">
        <v>14</v>
      </c>
      <c r="AT2" s="18"/>
      <c r="AU2" s="385" t="s">
        <v>15</v>
      </c>
      <c r="AV2" s="386"/>
      <c r="AW2" s="386"/>
      <c r="AX2" s="386"/>
      <c r="AY2" s="386"/>
      <c r="AZ2" s="386"/>
      <c r="BA2" s="386"/>
      <c r="BB2" s="386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8" t="s">
        <v>16</v>
      </c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90"/>
      <c r="CD2" s="385" t="s">
        <v>17</v>
      </c>
      <c r="CE2" s="391"/>
      <c r="CF2" s="391"/>
      <c r="CG2" s="391"/>
      <c r="CH2" s="391"/>
      <c r="CI2" s="391"/>
      <c r="CJ2" s="391"/>
      <c r="CK2" s="391"/>
      <c r="CL2" s="391"/>
      <c r="CM2" s="391"/>
      <c r="CN2" s="391"/>
      <c r="CO2" s="391"/>
      <c r="CP2" s="391"/>
      <c r="CQ2" s="391"/>
      <c r="CR2" s="392"/>
      <c r="CS2" s="393" t="s">
        <v>18</v>
      </c>
      <c r="CT2" s="22"/>
      <c r="CU2" s="395" t="s">
        <v>19</v>
      </c>
      <c r="CV2" s="23"/>
      <c r="CW2" s="413"/>
      <c r="CX2" s="413"/>
      <c r="CY2" s="413"/>
      <c r="CZ2" s="413"/>
      <c r="DA2" s="413"/>
      <c r="DB2" s="413"/>
      <c r="DC2" s="24"/>
      <c r="DD2" s="397" t="s">
        <v>20</v>
      </c>
      <c r="DE2" s="398"/>
      <c r="DF2" s="398"/>
      <c r="DG2" s="399"/>
      <c r="DH2" s="25"/>
      <c r="DI2" s="26"/>
      <c r="DJ2" s="397" t="s">
        <v>21</v>
      </c>
      <c r="DK2" s="398"/>
      <c r="DL2" s="398"/>
      <c r="DM2" s="399"/>
      <c r="DN2" s="25"/>
      <c r="DO2" s="26"/>
      <c r="DP2" s="400" t="s">
        <v>22</v>
      </c>
      <c r="DQ2" s="401"/>
      <c r="DR2" s="401"/>
      <c r="DS2" s="402"/>
      <c r="DT2" s="25"/>
      <c r="DU2" s="27"/>
      <c r="DV2" s="362" t="s">
        <v>23</v>
      </c>
      <c r="DW2" s="25"/>
      <c r="DX2" s="26"/>
      <c r="DY2" s="366" t="s">
        <v>24</v>
      </c>
      <c r="DZ2" s="28" t="s">
        <v>25</v>
      </c>
      <c r="EA2" s="29"/>
      <c r="EB2" s="368" t="s">
        <v>26</v>
      </c>
      <c r="EC2" s="30"/>
      <c r="ED2" s="403" t="s">
        <v>27</v>
      </c>
      <c r="EE2" s="25"/>
      <c r="EF2" s="31"/>
      <c r="EG2" s="370" t="s">
        <v>24</v>
      </c>
      <c r="EH2" s="359" t="s">
        <v>28</v>
      </c>
      <c r="EI2" s="360"/>
      <c r="EJ2" s="360"/>
      <c r="EK2" s="361"/>
      <c r="EL2" s="362" t="s">
        <v>29</v>
      </c>
      <c r="EM2" s="32"/>
      <c r="EN2" s="31"/>
      <c r="EO2" s="370" t="s">
        <v>24</v>
      </c>
      <c r="EP2" s="364" t="s">
        <v>30</v>
      </c>
      <c r="EQ2" s="362" t="s">
        <v>31</v>
      </c>
      <c r="ER2" s="32"/>
      <c r="ES2" s="16"/>
      <c r="ET2" s="33"/>
      <c r="EU2" s="34"/>
      <c r="EV2" s="34"/>
      <c r="EW2" s="35" t="s">
        <v>32</v>
      </c>
      <c r="EX2" s="36"/>
      <c r="EY2" s="37"/>
      <c r="EZ2" s="38" t="s">
        <v>33</v>
      </c>
      <c r="FA2" s="39" t="s">
        <v>34</v>
      </c>
      <c r="FB2" s="40"/>
      <c r="FC2" s="41"/>
    </row>
    <row r="3" spans="2:172" s="41" customFormat="1" ht="207.75" customHeight="1" thickBot="1" x14ac:dyDescent="0.3">
      <c r="B3" s="327" t="s">
        <v>35</v>
      </c>
      <c r="C3" s="319" t="s">
        <v>36</v>
      </c>
      <c r="D3" s="42" t="s">
        <v>37</v>
      </c>
      <c r="E3" s="43" t="s">
        <v>38</v>
      </c>
      <c r="F3" s="44"/>
      <c r="G3" s="45" t="s">
        <v>39</v>
      </c>
      <c r="H3" s="46" t="s">
        <v>40</v>
      </c>
      <c r="I3" s="47" t="s">
        <v>41</v>
      </c>
      <c r="J3" s="48"/>
      <c r="K3" s="417"/>
      <c r="L3" s="49"/>
      <c r="M3" s="334" t="s">
        <v>84</v>
      </c>
      <c r="N3" s="335" t="s">
        <v>85</v>
      </c>
      <c r="O3" s="335" t="s">
        <v>86</v>
      </c>
      <c r="P3" s="336" t="s">
        <v>87</v>
      </c>
      <c r="Q3" s="337" t="s">
        <v>88</v>
      </c>
      <c r="R3" s="335" t="s">
        <v>89</v>
      </c>
      <c r="S3" s="335" t="s">
        <v>90</v>
      </c>
      <c r="T3" s="335" t="s">
        <v>91</v>
      </c>
      <c r="U3" s="335" t="s">
        <v>92</v>
      </c>
      <c r="V3" s="335" t="s">
        <v>93</v>
      </c>
      <c r="W3" s="335" t="s">
        <v>94</v>
      </c>
      <c r="X3" s="335" t="s">
        <v>95</v>
      </c>
      <c r="Y3" s="335" t="s">
        <v>96</v>
      </c>
      <c r="Z3" s="344" t="s">
        <v>97</v>
      </c>
      <c r="AA3" s="340" t="s">
        <v>83</v>
      </c>
      <c r="AB3" s="341" t="s">
        <v>115</v>
      </c>
      <c r="AC3" s="342" t="s">
        <v>116</v>
      </c>
      <c r="AD3" s="342" t="s">
        <v>117</v>
      </c>
      <c r="AE3" s="341" t="s">
        <v>118</v>
      </c>
      <c r="AF3" s="341" t="s">
        <v>119</v>
      </c>
      <c r="AG3" s="341" t="s">
        <v>134</v>
      </c>
      <c r="AH3" s="341"/>
      <c r="AI3" s="341"/>
      <c r="AJ3" s="341"/>
      <c r="AK3" s="341"/>
      <c r="AL3" s="341"/>
      <c r="AM3" s="343"/>
      <c r="AN3" s="383"/>
      <c r="AO3" s="52"/>
      <c r="AP3" s="420"/>
      <c r="AQ3" s="53"/>
      <c r="AR3" s="373"/>
      <c r="AS3" s="384"/>
      <c r="AT3" s="53"/>
      <c r="AU3" s="51" t="s">
        <v>98</v>
      </c>
      <c r="AV3" s="51" t="s">
        <v>99</v>
      </c>
      <c r="AW3" s="51" t="s">
        <v>100</v>
      </c>
      <c r="AX3" s="51" t="s">
        <v>101</v>
      </c>
      <c r="AY3" s="51" t="s">
        <v>102</v>
      </c>
      <c r="AZ3" s="51" t="s">
        <v>103</v>
      </c>
      <c r="BA3" s="51" t="s">
        <v>104</v>
      </c>
      <c r="BB3" s="51" t="s">
        <v>113</v>
      </c>
      <c r="BC3" s="51" t="s">
        <v>105</v>
      </c>
      <c r="BD3" s="51" t="s">
        <v>106</v>
      </c>
      <c r="BE3" s="51" t="s">
        <v>107</v>
      </c>
      <c r="BF3" s="51" t="s">
        <v>108</v>
      </c>
      <c r="BG3" s="51" t="s">
        <v>109</v>
      </c>
      <c r="BH3" s="51" t="s">
        <v>110</v>
      </c>
      <c r="BI3" s="51" t="s">
        <v>111</v>
      </c>
      <c r="BJ3" s="51" t="s">
        <v>112</v>
      </c>
      <c r="BK3" s="51" t="s">
        <v>114</v>
      </c>
      <c r="BL3" s="51"/>
      <c r="BM3" s="54"/>
      <c r="BN3" s="54"/>
      <c r="BO3" s="54"/>
      <c r="BP3" s="330"/>
      <c r="BQ3" s="55"/>
      <c r="BR3" s="56" t="s">
        <v>43</v>
      </c>
      <c r="BS3" s="54" t="s">
        <v>44</v>
      </c>
      <c r="BT3" s="54"/>
      <c r="BU3" s="54"/>
      <c r="BV3" s="54"/>
      <c r="BW3" s="54"/>
      <c r="BX3" s="54"/>
      <c r="BY3" s="54"/>
      <c r="BZ3" s="54" t="s">
        <v>42</v>
      </c>
      <c r="CA3" s="54" t="s">
        <v>42</v>
      </c>
      <c r="CB3" s="54" t="s">
        <v>42</v>
      </c>
      <c r="CC3" s="54"/>
      <c r="CD3" s="50" t="s">
        <v>131</v>
      </c>
      <c r="CE3" s="50" t="s">
        <v>132</v>
      </c>
      <c r="CF3" s="345" t="s">
        <v>130</v>
      </c>
      <c r="CG3" s="345" t="s">
        <v>120</v>
      </c>
      <c r="CH3" s="50" t="s">
        <v>121</v>
      </c>
      <c r="CI3" s="50" t="s">
        <v>123</v>
      </c>
      <c r="CJ3" s="50" t="s">
        <v>124</v>
      </c>
      <c r="CK3" s="50" t="s">
        <v>122</v>
      </c>
      <c r="CL3" s="50" t="s">
        <v>125</v>
      </c>
      <c r="CM3" s="50" t="s">
        <v>126</v>
      </c>
      <c r="CN3" s="50" t="s">
        <v>127</v>
      </c>
      <c r="CO3" s="50" t="s">
        <v>128</v>
      </c>
      <c r="CP3" s="352" t="s">
        <v>129</v>
      </c>
      <c r="CQ3" s="352" t="s">
        <v>133</v>
      </c>
      <c r="CR3" s="55" t="s">
        <v>42</v>
      </c>
      <c r="CS3" s="394"/>
      <c r="CT3" s="52"/>
      <c r="CU3" s="396"/>
      <c r="CV3" s="57"/>
      <c r="CW3" s="58" t="s">
        <v>45</v>
      </c>
      <c r="CX3" s="59" t="s">
        <v>46</v>
      </c>
      <c r="CY3" s="60" t="s">
        <v>47</v>
      </c>
      <c r="CZ3" s="61" t="s">
        <v>48</v>
      </c>
      <c r="DA3" s="60" t="s">
        <v>49</v>
      </c>
      <c r="DB3" s="62" t="s">
        <v>50</v>
      </c>
      <c r="DC3" s="63"/>
      <c r="DD3" s="64" t="s">
        <v>51</v>
      </c>
      <c r="DE3" s="65" t="s">
        <v>52</v>
      </c>
      <c r="DF3" s="66" t="s">
        <v>53</v>
      </c>
      <c r="DG3" s="67" t="s">
        <v>54</v>
      </c>
      <c r="DH3" s="68"/>
      <c r="DI3" s="69"/>
      <c r="DJ3" s="64" t="s">
        <v>40</v>
      </c>
      <c r="DK3" s="70" t="s">
        <v>41</v>
      </c>
      <c r="DL3" s="66" t="s">
        <v>55</v>
      </c>
      <c r="DM3" s="67" t="s">
        <v>56</v>
      </c>
      <c r="DN3" s="68"/>
      <c r="DO3" s="71"/>
      <c r="DP3" s="65" t="s">
        <v>24</v>
      </c>
      <c r="DQ3" s="65" t="s">
        <v>57</v>
      </c>
      <c r="DR3" s="64" t="s">
        <v>58</v>
      </c>
      <c r="DS3" s="72" t="s">
        <v>59</v>
      </c>
      <c r="DT3" s="68"/>
      <c r="DU3" s="73"/>
      <c r="DV3" s="363"/>
      <c r="DW3" s="68"/>
      <c r="DX3" s="74"/>
      <c r="DY3" s="367"/>
      <c r="DZ3" s="75" t="s">
        <v>60</v>
      </c>
      <c r="EA3" s="76" t="s">
        <v>61</v>
      </c>
      <c r="EB3" s="369"/>
      <c r="EC3" s="77"/>
      <c r="ED3" s="404"/>
      <c r="EE3" s="68"/>
      <c r="EF3" s="78"/>
      <c r="EG3" s="371"/>
      <c r="EH3" s="79" t="s">
        <v>62</v>
      </c>
      <c r="EI3" s="79" t="s">
        <v>63</v>
      </c>
      <c r="EJ3" s="80" t="s">
        <v>64</v>
      </c>
      <c r="EK3" s="81" t="s">
        <v>65</v>
      </c>
      <c r="EL3" s="363"/>
      <c r="EM3" s="82"/>
      <c r="EN3" s="78"/>
      <c r="EO3" s="371"/>
      <c r="EP3" s="365"/>
      <c r="EQ3" s="363"/>
      <c r="ER3" s="82"/>
      <c r="ES3" s="83"/>
      <c r="ET3" s="84"/>
      <c r="EU3" s="85" t="s">
        <v>66</v>
      </c>
      <c r="EV3" s="85" t="s">
        <v>67</v>
      </c>
      <c r="EW3" s="85" t="s">
        <v>68</v>
      </c>
      <c r="EX3" s="85" t="s">
        <v>69</v>
      </c>
      <c r="EZ3" s="85" t="s">
        <v>70</v>
      </c>
      <c r="FA3" s="86" t="s">
        <v>71</v>
      </c>
      <c r="FB3" s="87" t="s">
        <v>72</v>
      </c>
      <c r="FC3" s="88"/>
      <c r="FD3" s="88"/>
    </row>
    <row r="4" spans="2:172" s="41" customFormat="1" ht="4.5" customHeight="1" thickBot="1" x14ac:dyDescent="0.3">
      <c r="B4" s="328"/>
      <c r="C4" s="320"/>
      <c r="D4" s="63"/>
      <c r="E4" s="63"/>
      <c r="F4" s="63"/>
      <c r="G4" s="63"/>
      <c r="H4" s="89"/>
      <c r="I4" s="90"/>
      <c r="J4" s="63"/>
      <c r="K4" s="91"/>
      <c r="L4" s="91"/>
      <c r="M4" s="338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92"/>
      <c r="AB4" s="92"/>
      <c r="AC4" s="92"/>
      <c r="AD4" s="92"/>
      <c r="AE4" s="92"/>
      <c r="AF4" s="92"/>
      <c r="AG4" s="93"/>
      <c r="AH4" s="92"/>
      <c r="AI4" s="92"/>
      <c r="AJ4" s="93"/>
      <c r="AK4" s="93"/>
      <c r="AL4" s="93"/>
      <c r="AM4" s="94"/>
      <c r="AN4" s="95"/>
      <c r="AO4" s="96"/>
      <c r="AP4" s="96"/>
      <c r="AQ4" s="63"/>
      <c r="AR4" s="97"/>
      <c r="AS4" s="98"/>
      <c r="AT4" s="63"/>
      <c r="AU4" s="99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2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4"/>
      <c r="CE4" s="92"/>
      <c r="CF4" s="92"/>
      <c r="CG4" s="92"/>
      <c r="CH4" s="92"/>
      <c r="CI4" s="92"/>
      <c r="CJ4" s="92"/>
      <c r="CK4" s="93"/>
      <c r="CL4" s="93"/>
      <c r="CM4" s="93"/>
      <c r="CN4" s="94"/>
      <c r="CO4" s="103"/>
      <c r="CP4" s="103"/>
      <c r="CQ4" s="105"/>
      <c r="CR4" s="106"/>
      <c r="CS4" s="107"/>
      <c r="CT4" s="96"/>
      <c r="CU4" s="108"/>
      <c r="CV4" s="109"/>
      <c r="CW4" s="110"/>
      <c r="CX4" s="110"/>
      <c r="CY4" s="111"/>
      <c r="CZ4" s="112"/>
      <c r="DA4" s="113"/>
      <c r="DB4" s="112"/>
      <c r="DC4" s="114"/>
      <c r="DD4" s="89"/>
      <c r="DE4" s="89"/>
      <c r="DF4" s="63"/>
      <c r="DG4" s="115"/>
      <c r="DH4" s="116"/>
      <c r="DI4" s="112"/>
      <c r="DJ4" s="89"/>
      <c r="DK4" s="63"/>
      <c r="DL4" s="117"/>
      <c r="DM4" s="115"/>
      <c r="DN4" s="116"/>
      <c r="DO4" s="63"/>
      <c r="DP4" s="63"/>
      <c r="DQ4" s="63"/>
      <c r="DR4" s="63"/>
      <c r="DS4" s="118"/>
      <c r="DT4" s="116"/>
      <c r="DU4" s="112"/>
      <c r="DV4" s="119"/>
      <c r="DW4" s="116"/>
      <c r="DX4" s="112"/>
      <c r="DY4" s="120"/>
      <c r="DZ4" s="63"/>
      <c r="EA4" s="63"/>
      <c r="EB4" s="63"/>
      <c r="EC4" s="63"/>
      <c r="ED4" s="121"/>
      <c r="EE4" s="116"/>
      <c r="EF4" s="122"/>
      <c r="EG4" s="123"/>
      <c r="EH4" s="124"/>
      <c r="EI4" s="124"/>
      <c r="EJ4" s="124"/>
      <c r="EK4" s="124"/>
      <c r="EL4" s="125"/>
      <c r="EM4" s="126"/>
      <c r="EN4" s="122"/>
      <c r="EO4" s="123"/>
      <c r="EP4" s="124"/>
      <c r="EQ4" s="125"/>
      <c r="ER4" s="126"/>
      <c r="ES4" s="112"/>
      <c r="ET4" s="112"/>
      <c r="EU4" s="127"/>
      <c r="EV4" s="127"/>
      <c r="EW4" s="127"/>
      <c r="EX4" s="127"/>
      <c r="EY4" s="63"/>
      <c r="EZ4" s="128"/>
      <c r="FA4" s="129"/>
      <c r="FB4" s="130"/>
      <c r="FC4" s="131"/>
      <c r="FD4" s="131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</row>
    <row r="5" spans="2:172" ht="16" outlineLevel="1" thickBot="1" x14ac:dyDescent="0.4">
      <c r="B5" s="356"/>
      <c r="C5" s="353"/>
      <c r="D5" s="133"/>
      <c r="E5" s="134"/>
      <c r="F5" s="135"/>
      <c r="G5" s="136"/>
      <c r="H5" s="137"/>
      <c r="I5" s="138">
        <f t="shared" ref="I5:I67" si="0">IF(E5&gt;0.0001,0,0)</f>
        <v>0</v>
      </c>
      <c r="J5" s="139"/>
      <c r="K5" s="140">
        <f t="shared" ref="K5:K13" si="1">E5*60</f>
        <v>0</v>
      </c>
      <c r="L5" s="141"/>
      <c r="M5" s="142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2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4"/>
      <c r="AN5" s="145">
        <f t="shared" ref="AN5:AN68" si="2">SUM(M5:AM5)</f>
        <v>0</v>
      </c>
      <c r="AO5" s="146"/>
      <c r="AP5" s="147">
        <f t="shared" ref="AP5:AP68" si="3">K5-AN5</f>
        <v>0</v>
      </c>
      <c r="AQ5" s="148"/>
      <c r="AR5" s="149"/>
      <c r="AS5" s="149"/>
      <c r="AT5" s="135"/>
      <c r="AU5" s="150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0"/>
      <c r="BS5" s="151"/>
      <c r="BT5" s="153"/>
      <c r="BU5" s="151"/>
      <c r="BV5" s="151"/>
      <c r="BW5" s="151"/>
      <c r="BX5" s="151"/>
      <c r="BY5" s="151"/>
      <c r="BZ5" s="151"/>
      <c r="CA5" s="151"/>
      <c r="CB5" s="151"/>
      <c r="CC5" s="154"/>
      <c r="CD5" s="150"/>
      <c r="CE5" s="142"/>
      <c r="CF5" s="143"/>
      <c r="CG5" s="143"/>
      <c r="CH5" s="143"/>
      <c r="CI5" s="143"/>
      <c r="CJ5" s="143"/>
      <c r="CK5" s="143"/>
      <c r="CL5" s="143"/>
      <c r="CM5" s="143"/>
      <c r="CN5" s="143"/>
      <c r="CO5" s="346"/>
      <c r="CP5" s="151"/>
      <c r="CQ5" s="152"/>
      <c r="CR5" s="154"/>
      <c r="CS5" s="155">
        <f>SUM(AU5:CR5)</f>
        <v>0</v>
      </c>
      <c r="CT5" s="146"/>
      <c r="CU5" s="147">
        <f t="shared" ref="CU5:CU68" si="4">AP5-CS5</f>
        <v>0</v>
      </c>
      <c r="CV5" s="156"/>
      <c r="CW5" s="157" t="e">
        <f t="shared" ref="CW5:CW68" si="5">(SUM(M5:Z5))/K5</f>
        <v>#DIV/0!</v>
      </c>
      <c r="CX5" s="157" t="e">
        <f t="shared" ref="CX5:CX68" si="6">(SUM(AA5:AM5))/K5</f>
        <v>#DIV/0!</v>
      </c>
      <c r="CY5" s="157" t="e">
        <f t="shared" ref="CY5:CY68" si="7">(SUM(AU5:BQ5))/$K5</f>
        <v>#DIV/0!</v>
      </c>
      <c r="CZ5" s="157" t="e">
        <f t="shared" ref="CZ5:CZ68" si="8">(SUM(BR5:CC5))/K5</f>
        <v>#DIV/0!</v>
      </c>
      <c r="DA5" s="157" t="e">
        <f t="shared" ref="DA5:DA68" si="9">(SUM(CD5:CR5))/K5</f>
        <v>#DIV/0!</v>
      </c>
      <c r="DB5" s="158" t="e">
        <f t="shared" ref="DB5:DB68" si="10">CU5/K5</f>
        <v>#DIV/0!</v>
      </c>
      <c r="DC5" s="131"/>
      <c r="DD5" s="159">
        <f t="shared" ref="DD5:DD68" si="11">AP5</f>
        <v>0</v>
      </c>
      <c r="DE5" s="160">
        <f t="shared" ref="DE5:DE68" si="12">CS5</f>
        <v>0</v>
      </c>
      <c r="DF5" s="161">
        <f t="shared" ref="DF5:DF68" si="13">$DD5-DE5</f>
        <v>0</v>
      </c>
      <c r="DG5" s="162" t="e">
        <f t="shared" ref="DG5:DG68" si="14">DF5/$DD5</f>
        <v>#DIV/0!</v>
      </c>
      <c r="DH5" s="163">
        <f t="shared" ref="DH5:DH68" si="15">IF(AP5&gt;0.01,1,0)</f>
        <v>0</v>
      </c>
      <c r="DI5" s="164"/>
      <c r="DJ5" s="165">
        <f t="shared" ref="DJ5:DK37" si="16">H5</f>
        <v>0</v>
      </c>
      <c r="DK5" s="166">
        <f t="shared" si="16"/>
        <v>0</v>
      </c>
      <c r="DL5" s="167" t="e">
        <f t="shared" ref="DL5:DL68" si="17">DR5/DF5</f>
        <v>#DIV/0!</v>
      </c>
      <c r="DM5" s="168" t="e">
        <f t="shared" ref="DM5:DM68" si="18">DL5/DK5</f>
        <v>#DIV/0!</v>
      </c>
      <c r="DN5" s="163" t="e">
        <f t="shared" ref="DN5:DN68" si="19">IF(DM5&gt;0.01,1,0)</f>
        <v>#DIV/0!</v>
      </c>
      <c r="DO5" s="169"/>
      <c r="DP5" s="170"/>
      <c r="DQ5" s="171"/>
      <c r="DR5" s="172">
        <f t="shared" ref="DR5:DR68" si="20">DP5+DQ5</f>
        <v>0</v>
      </c>
      <c r="DS5" s="173" t="e">
        <f t="shared" ref="DS5:DS68" si="21">IF(DL5=0,0,DP5/DR5)</f>
        <v>#DIV/0!</v>
      </c>
      <c r="DT5" s="163" t="e">
        <f t="shared" ref="DT5:DT68" si="22">IF(DS5&gt;0.01,1,0)</f>
        <v>#DIV/0!</v>
      </c>
      <c r="DU5" s="174"/>
      <c r="DV5" s="175" t="e">
        <f t="shared" ref="DV5:DV68" si="23">DG5*DM5*DS5</f>
        <v>#DIV/0!</v>
      </c>
      <c r="DW5" s="163">
        <f t="shared" ref="DW5:DW68" si="24">IF($AP5&gt;0.01,1,0)</f>
        <v>0</v>
      </c>
      <c r="DX5" s="164"/>
      <c r="DY5" s="176">
        <f t="shared" ref="DY5:DY68" si="25">DP5</f>
        <v>0</v>
      </c>
      <c r="DZ5" s="177">
        <f t="shared" ref="DZ5:DZ68" si="26">DK5</f>
        <v>0</v>
      </c>
      <c r="EA5" s="178">
        <f t="shared" ref="EA5:EA68" si="27">+AP5</f>
        <v>0</v>
      </c>
      <c r="EB5" s="179">
        <f t="shared" ref="EB5:EB68" si="28">DZ5*EA5</f>
        <v>0</v>
      </c>
      <c r="EC5" s="180"/>
      <c r="ED5" s="175" t="e">
        <f t="shared" ref="ED5:ED68" si="29">DY5/EB5</f>
        <v>#DIV/0!</v>
      </c>
      <c r="EE5" s="163">
        <f t="shared" ref="EE5:EE68" si="30">IF($AP5&gt;0.01,1,0)</f>
        <v>0</v>
      </c>
      <c r="EF5" s="164"/>
      <c r="EG5" s="181">
        <f t="shared" ref="EG5:EG68" si="31">DP5</f>
        <v>0</v>
      </c>
      <c r="EH5" s="182">
        <f t="shared" ref="EH5:EH68" si="32">K5</f>
        <v>0</v>
      </c>
      <c r="EI5" s="182">
        <f t="shared" ref="EI5:EI68" si="33">SUM(M5:Z5)</f>
        <v>0</v>
      </c>
      <c r="EJ5" s="182">
        <f t="shared" ref="EJ5:EJ68" si="34">I5</f>
        <v>0</v>
      </c>
      <c r="EK5" s="183">
        <f t="shared" ref="EK5:EK68" si="35">(EH5-EI5)*EJ5</f>
        <v>0</v>
      </c>
      <c r="EL5" s="184" t="e">
        <f t="shared" ref="EL5:EL68" si="36">EG5/EK5</f>
        <v>#DIV/0!</v>
      </c>
      <c r="EM5" s="185">
        <f t="shared" ref="EM5:EM68" si="37">IF(EK5&gt;0.01,1,0)</f>
        <v>0</v>
      </c>
      <c r="EN5" s="164"/>
      <c r="EO5" s="181">
        <f t="shared" ref="EO5:EO68" si="38">EG5</f>
        <v>0</v>
      </c>
      <c r="EP5" s="183">
        <f t="shared" ref="EP5:EP68" si="39">EJ5</f>
        <v>0</v>
      </c>
      <c r="EQ5" s="184" t="e">
        <f t="shared" ref="EQ5:EQ68" si="40">EO5/(EP5*K5)</f>
        <v>#DIV/0!</v>
      </c>
      <c r="ER5" s="185">
        <f t="shared" ref="ER5:ER68" si="41">IF($K5&gt;0.01,1,0)</f>
        <v>0</v>
      </c>
      <c r="ES5" s="164"/>
      <c r="ET5" s="164"/>
      <c r="EU5" s="186">
        <f t="shared" ref="EU5:EU68" si="42">DK5</f>
        <v>0</v>
      </c>
      <c r="EV5" s="186">
        <f t="shared" ref="EV5:EV68" si="43">CU5</f>
        <v>0</v>
      </c>
      <c r="EW5" s="186">
        <f t="shared" ref="EW5:EW68" si="44">I5*CU5</f>
        <v>0</v>
      </c>
      <c r="EX5" s="186">
        <f t="shared" ref="EX5:EX68" si="45">DR5</f>
        <v>0</v>
      </c>
      <c r="EY5" s="131"/>
      <c r="EZ5" s="187">
        <f t="shared" ref="EZ5:EZ68" si="46">EW5-EX5</f>
        <v>0</v>
      </c>
      <c r="FA5" s="188" t="e">
        <f t="shared" ref="FA5:FA68" si="47">+IF(EZ5/I5&lt;0,0,(EZ5/I5))</f>
        <v>#DIV/0!</v>
      </c>
      <c r="FB5" s="189"/>
      <c r="FC5" s="131"/>
      <c r="FD5" s="131"/>
      <c r="FE5" s="131"/>
      <c r="FF5" s="131"/>
      <c r="FG5" s="131"/>
    </row>
    <row r="6" spans="2:172" ht="16" outlineLevel="1" thickBot="1" x14ac:dyDescent="0.4">
      <c r="B6" s="357"/>
      <c r="C6" s="354"/>
      <c r="D6" s="190"/>
      <c r="E6" s="191"/>
      <c r="F6" s="135"/>
      <c r="G6" s="192"/>
      <c r="H6" s="137"/>
      <c r="I6" s="138">
        <f t="shared" si="0"/>
        <v>0</v>
      </c>
      <c r="J6" s="139"/>
      <c r="K6" s="193">
        <f t="shared" si="1"/>
        <v>0</v>
      </c>
      <c r="L6" s="141"/>
      <c r="M6" s="194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4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6"/>
      <c r="AN6" s="197">
        <f t="shared" si="2"/>
        <v>0</v>
      </c>
      <c r="AO6" s="146"/>
      <c r="AP6" s="147">
        <f t="shared" si="3"/>
        <v>0</v>
      </c>
      <c r="AQ6" s="148"/>
      <c r="AR6" s="198"/>
      <c r="AS6" s="198"/>
      <c r="AT6" s="135"/>
      <c r="AU6" s="199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199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2"/>
      <c r="CD6" s="199"/>
      <c r="CE6" s="194"/>
      <c r="CF6" s="195"/>
      <c r="CG6" s="195"/>
      <c r="CH6" s="195"/>
      <c r="CI6" s="195"/>
      <c r="CJ6" s="195"/>
      <c r="CK6" s="195"/>
      <c r="CL6" s="195"/>
      <c r="CM6" s="195"/>
      <c r="CN6" s="195"/>
      <c r="CO6" s="347"/>
      <c r="CP6" s="200"/>
      <c r="CQ6" s="201"/>
      <c r="CR6" s="202"/>
      <c r="CS6" s="203">
        <f t="shared" ref="CS6:CS68" si="48">SUM(AU6:CR6)</f>
        <v>0</v>
      </c>
      <c r="CT6" s="146"/>
      <c r="CU6" s="147">
        <f t="shared" si="4"/>
        <v>0</v>
      </c>
      <c r="CV6" s="156"/>
      <c r="CW6" s="157" t="e">
        <f t="shared" si="5"/>
        <v>#DIV/0!</v>
      </c>
      <c r="CX6" s="157" t="e">
        <f t="shared" si="6"/>
        <v>#DIV/0!</v>
      </c>
      <c r="CY6" s="157" t="e">
        <f t="shared" si="7"/>
        <v>#DIV/0!</v>
      </c>
      <c r="CZ6" s="157" t="e">
        <f t="shared" si="8"/>
        <v>#DIV/0!</v>
      </c>
      <c r="DA6" s="157" t="e">
        <f t="shared" si="9"/>
        <v>#DIV/0!</v>
      </c>
      <c r="DB6" s="158" t="e">
        <f t="shared" si="10"/>
        <v>#DIV/0!</v>
      </c>
      <c r="DC6" s="131"/>
      <c r="DD6" s="159">
        <f t="shared" si="11"/>
        <v>0</v>
      </c>
      <c r="DE6" s="160">
        <f t="shared" si="12"/>
        <v>0</v>
      </c>
      <c r="DF6" s="161">
        <f t="shared" si="13"/>
        <v>0</v>
      </c>
      <c r="DG6" s="162" t="e">
        <f t="shared" si="14"/>
        <v>#DIV/0!</v>
      </c>
      <c r="DH6" s="163">
        <f t="shared" si="15"/>
        <v>0</v>
      </c>
      <c r="DI6" s="164"/>
      <c r="DJ6" s="165">
        <f t="shared" si="16"/>
        <v>0</v>
      </c>
      <c r="DK6" s="166">
        <f t="shared" si="16"/>
        <v>0</v>
      </c>
      <c r="DL6" s="167" t="e">
        <f t="shared" si="17"/>
        <v>#DIV/0!</v>
      </c>
      <c r="DM6" s="168" t="e">
        <f t="shared" si="18"/>
        <v>#DIV/0!</v>
      </c>
      <c r="DN6" s="163" t="e">
        <f t="shared" si="19"/>
        <v>#DIV/0!</v>
      </c>
      <c r="DO6" s="169"/>
      <c r="DP6" s="170"/>
      <c r="DQ6" s="171"/>
      <c r="DR6" s="172">
        <f t="shared" si="20"/>
        <v>0</v>
      </c>
      <c r="DS6" s="173" t="e">
        <f t="shared" si="21"/>
        <v>#DIV/0!</v>
      </c>
      <c r="DT6" s="163" t="e">
        <f t="shared" si="22"/>
        <v>#DIV/0!</v>
      </c>
      <c r="DU6" s="174"/>
      <c r="DV6" s="175" t="e">
        <f t="shared" si="23"/>
        <v>#DIV/0!</v>
      </c>
      <c r="DW6" s="163">
        <f t="shared" si="24"/>
        <v>0</v>
      </c>
      <c r="DX6" s="164"/>
      <c r="DY6" s="176">
        <f t="shared" si="25"/>
        <v>0</v>
      </c>
      <c r="DZ6" s="177">
        <f t="shared" si="26"/>
        <v>0</v>
      </c>
      <c r="EA6" s="178">
        <f t="shared" si="27"/>
        <v>0</v>
      </c>
      <c r="EB6" s="179">
        <f t="shared" si="28"/>
        <v>0</v>
      </c>
      <c r="EC6" s="180"/>
      <c r="ED6" s="175" t="e">
        <f t="shared" si="29"/>
        <v>#DIV/0!</v>
      </c>
      <c r="EE6" s="163">
        <f t="shared" si="30"/>
        <v>0</v>
      </c>
      <c r="EF6" s="164"/>
      <c r="EG6" s="181">
        <f t="shared" si="31"/>
        <v>0</v>
      </c>
      <c r="EH6" s="182">
        <f t="shared" si="32"/>
        <v>0</v>
      </c>
      <c r="EI6" s="182">
        <f t="shared" si="33"/>
        <v>0</v>
      </c>
      <c r="EJ6" s="182">
        <f t="shared" si="34"/>
        <v>0</v>
      </c>
      <c r="EK6" s="183">
        <f t="shared" si="35"/>
        <v>0</v>
      </c>
      <c r="EL6" s="184" t="e">
        <f t="shared" si="36"/>
        <v>#DIV/0!</v>
      </c>
      <c r="EM6" s="185">
        <f t="shared" si="37"/>
        <v>0</v>
      </c>
      <c r="EN6" s="164"/>
      <c r="EO6" s="181">
        <f t="shared" si="38"/>
        <v>0</v>
      </c>
      <c r="EP6" s="183">
        <f t="shared" si="39"/>
        <v>0</v>
      </c>
      <c r="EQ6" s="184" t="e">
        <f t="shared" si="40"/>
        <v>#DIV/0!</v>
      </c>
      <c r="ER6" s="185">
        <f t="shared" si="41"/>
        <v>0</v>
      </c>
      <c r="ES6" s="164"/>
      <c r="ET6" s="164"/>
      <c r="EU6" s="186">
        <f t="shared" si="42"/>
        <v>0</v>
      </c>
      <c r="EV6" s="186">
        <f t="shared" si="43"/>
        <v>0</v>
      </c>
      <c r="EW6" s="186">
        <f t="shared" si="44"/>
        <v>0</v>
      </c>
      <c r="EX6" s="186">
        <f t="shared" si="45"/>
        <v>0</v>
      </c>
      <c r="EY6" s="131"/>
      <c r="EZ6" s="187">
        <f t="shared" si="46"/>
        <v>0</v>
      </c>
      <c r="FA6" s="188" t="e">
        <f t="shared" si="47"/>
        <v>#DIV/0!</v>
      </c>
      <c r="FB6" s="189"/>
      <c r="FC6" s="131"/>
      <c r="FD6" s="131"/>
      <c r="FE6" s="131"/>
      <c r="FF6" s="131"/>
      <c r="FG6" s="131"/>
    </row>
    <row r="7" spans="2:172" ht="16" outlineLevel="1" thickBot="1" x14ac:dyDescent="0.4">
      <c r="B7" s="358"/>
      <c r="C7" s="355"/>
      <c r="D7" s="204"/>
      <c r="E7" s="205"/>
      <c r="F7" s="135"/>
      <c r="G7" s="206"/>
      <c r="H7" s="207"/>
      <c r="I7" s="138">
        <f t="shared" si="0"/>
        <v>0</v>
      </c>
      <c r="J7" s="139"/>
      <c r="K7" s="208">
        <f t="shared" si="1"/>
        <v>0</v>
      </c>
      <c r="L7" s="141"/>
      <c r="M7" s="209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09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1"/>
      <c r="AN7" s="212">
        <f t="shared" si="2"/>
        <v>0</v>
      </c>
      <c r="AO7" s="146"/>
      <c r="AP7" s="147">
        <f t="shared" si="3"/>
        <v>0</v>
      </c>
      <c r="AQ7" s="148"/>
      <c r="AR7" s="213"/>
      <c r="AS7" s="213"/>
      <c r="AT7" s="135"/>
      <c r="AU7" s="214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6"/>
      <c r="BG7" s="216"/>
      <c r="BH7" s="216"/>
      <c r="BI7" s="216"/>
      <c r="BJ7" s="216"/>
      <c r="BK7" s="216"/>
      <c r="BL7" s="216"/>
      <c r="BM7" s="216"/>
      <c r="BN7" s="216"/>
      <c r="BO7" s="216"/>
      <c r="BP7" s="216"/>
      <c r="BQ7" s="216"/>
      <c r="BR7" s="214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7"/>
      <c r="CD7" s="214"/>
      <c r="CE7" s="209"/>
      <c r="CF7" s="210"/>
      <c r="CG7" s="210"/>
      <c r="CH7" s="210"/>
      <c r="CI7" s="210"/>
      <c r="CJ7" s="210"/>
      <c r="CK7" s="210"/>
      <c r="CL7" s="210"/>
      <c r="CM7" s="210"/>
      <c r="CN7" s="210"/>
      <c r="CO7" s="348"/>
      <c r="CP7" s="215"/>
      <c r="CQ7" s="216"/>
      <c r="CR7" s="217"/>
      <c r="CS7" s="218">
        <f t="shared" si="48"/>
        <v>0</v>
      </c>
      <c r="CT7" s="146"/>
      <c r="CU7" s="147">
        <f t="shared" si="4"/>
        <v>0</v>
      </c>
      <c r="CV7" s="156"/>
      <c r="CW7" s="157" t="e">
        <f t="shared" si="5"/>
        <v>#DIV/0!</v>
      </c>
      <c r="CX7" s="157" t="e">
        <f t="shared" si="6"/>
        <v>#DIV/0!</v>
      </c>
      <c r="CY7" s="157" t="e">
        <f t="shared" si="7"/>
        <v>#DIV/0!</v>
      </c>
      <c r="CZ7" s="157" t="e">
        <f t="shared" si="8"/>
        <v>#DIV/0!</v>
      </c>
      <c r="DA7" s="157" t="e">
        <f t="shared" si="9"/>
        <v>#DIV/0!</v>
      </c>
      <c r="DB7" s="158" t="e">
        <f t="shared" si="10"/>
        <v>#DIV/0!</v>
      </c>
      <c r="DC7" s="131"/>
      <c r="DD7" s="159">
        <f t="shared" si="11"/>
        <v>0</v>
      </c>
      <c r="DE7" s="160">
        <f t="shared" si="12"/>
        <v>0</v>
      </c>
      <c r="DF7" s="161">
        <f t="shared" si="13"/>
        <v>0</v>
      </c>
      <c r="DG7" s="162" t="e">
        <f t="shared" si="14"/>
        <v>#DIV/0!</v>
      </c>
      <c r="DH7" s="163">
        <f t="shared" si="15"/>
        <v>0</v>
      </c>
      <c r="DI7" s="164"/>
      <c r="DJ7" s="165">
        <f t="shared" si="16"/>
        <v>0</v>
      </c>
      <c r="DK7" s="166">
        <f t="shared" si="16"/>
        <v>0</v>
      </c>
      <c r="DL7" s="167" t="e">
        <f t="shared" si="17"/>
        <v>#DIV/0!</v>
      </c>
      <c r="DM7" s="168" t="e">
        <f t="shared" si="18"/>
        <v>#DIV/0!</v>
      </c>
      <c r="DN7" s="163" t="e">
        <f t="shared" si="19"/>
        <v>#DIV/0!</v>
      </c>
      <c r="DO7" s="169"/>
      <c r="DP7" s="170"/>
      <c r="DQ7" s="171"/>
      <c r="DR7" s="172">
        <f t="shared" si="20"/>
        <v>0</v>
      </c>
      <c r="DS7" s="173" t="e">
        <f t="shared" si="21"/>
        <v>#DIV/0!</v>
      </c>
      <c r="DT7" s="163" t="e">
        <f t="shared" si="22"/>
        <v>#DIV/0!</v>
      </c>
      <c r="DU7" s="174"/>
      <c r="DV7" s="175" t="e">
        <f t="shared" si="23"/>
        <v>#DIV/0!</v>
      </c>
      <c r="DW7" s="163">
        <f t="shared" si="24"/>
        <v>0</v>
      </c>
      <c r="DX7" s="164"/>
      <c r="DY7" s="176">
        <f t="shared" si="25"/>
        <v>0</v>
      </c>
      <c r="DZ7" s="177">
        <f t="shared" si="26"/>
        <v>0</v>
      </c>
      <c r="EA7" s="178">
        <f t="shared" si="27"/>
        <v>0</v>
      </c>
      <c r="EB7" s="179">
        <f t="shared" si="28"/>
        <v>0</v>
      </c>
      <c r="EC7" s="180"/>
      <c r="ED7" s="175" t="e">
        <f t="shared" si="29"/>
        <v>#DIV/0!</v>
      </c>
      <c r="EE7" s="163">
        <f t="shared" si="30"/>
        <v>0</v>
      </c>
      <c r="EF7" s="164"/>
      <c r="EG7" s="181">
        <f t="shared" si="31"/>
        <v>0</v>
      </c>
      <c r="EH7" s="182">
        <f t="shared" si="32"/>
        <v>0</v>
      </c>
      <c r="EI7" s="182">
        <f t="shared" si="33"/>
        <v>0</v>
      </c>
      <c r="EJ7" s="182">
        <f t="shared" si="34"/>
        <v>0</v>
      </c>
      <c r="EK7" s="183">
        <f t="shared" si="35"/>
        <v>0</v>
      </c>
      <c r="EL7" s="184" t="e">
        <f t="shared" si="36"/>
        <v>#DIV/0!</v>
      </c>
      <c r="EM7" s="185">
        <f t="shared" si="37"/>
        <v>0</v>
      </c>
      <c r="EN7" s="164"/>
      <c r="EO7" s="181">
        <f t="shared" si="38"/>
        <v>0</v>
      </c>
      <c r="EP7" s="183">
        <f t="shared" si="39"/>
        <v>0</v>
      </c>
      <c r="EQ7" s="184" t="e">
        <f t="shared" si="40"/>
        <v>#DIV/0!</v>
      </c>
      <c r="ER7" s="185">
        <f t="shared" si="41"/>
        <v>0</v>
      </c>
      <c r="ES7" s="164"/>
      <c r="ET7" s="164"/>
      <c r="EU7" s="186">
        <f t="shared" si="42"/>
        <v>0</v>
      </c>
      <c r="EV7" s="186">
        <f t="shared" si="43"/>
        <v>0</v>
      </c>
      <c r="EW7" s="186">
        <f t="shared" si="44"/>
        <v>0</v>
      </c>
      <c r="EX7" s="186">
        <f t="shared" si="45"/>
        <v>0</v>
      </c>
      <c r="EY7" s="131"/>
      <c r="EZ7" s="187">
        <f t="shared" si="46"/>
        <v>0</v>
      </c>
      <c r="FA7" s="188" t="e">
        <f t="shared" si="47"/>
        <v>#DIV/0!</v>
      </c>
      <c r="FB7" s="189"/>
      <c r="FC7" s="131"/>
      <c r="FD7" s="131"/>
      <c r="FE7" s="131"/>
      <c r="FF7" s="131"/>
      <c r="FG7" s="131"/>
    </row>
    <row r="8" spans="2:172" ht="16" outlineLevel="1" thickBot="1" x14ac:dyDescent="0.4">
      <c r="B8" s="356"/>
      <c r="C8" s="353"/>
      <c r="D8" s="133"/>
      <c r="E8" s="134"/>
      <c r="F8" s="135"/>
      <c r="G8" s="136"/>
      <c r="H8" s="137"/>
      <c r="I8" s="138">
        <f t="shared" si="0"/>
        <v>0</v>
      </c>
      <c r="J8" s="139"/>
      <c r="K8" s="140">
        <f t="shared" si="1"/>
        <v>0</v>
      </c>
      <c r="L8" s="141"/>
      <c r="M8" s="142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4"/>
      <c r="AN8" s="145">
        <f t="shared" si="2"/>
        <v>0</v>
      </c>
      <c r="AO8" s="146"/>
      <c r="AP8" s="147">
        <f t="shared" si="3"/>
        <v>0</v>
      </c>
      <c r="AQ8" s="148"/>
      <c r="AR8" s="149"/>
      <c r="AS8" s="149"/>
      <c r="AT8" s="135"/>
      <c r="AU8" s="150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0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4"/>
      <c r="CD8" s="150"/>
      <c r="CE8" s="142"/>
      <c r="CF8" s="143"/>
      <c r="CG8" s="143"/>
      <c r="CH8" s="143"/>
      <c r="CI8" s="143"/>
      <c r="CJ8" s="143"/>
      <c r="CK8" s="143"/>
      <c r="CL8" s="143"/>
      <c r="CM8" s="143"/>
      <c r="CN8" s="143"/>
      <c r="CO8" s="346"/>
      <c r="CP8" s="151"/>
      <c r="CQ8" s="152"/>
      <c r="CR8" s="154"/>
      <c r="CS8" s="155">
        <f t="shared" si="48"/>
        <v>0</v>
      </c>
      <c r="CT8" s="146"/>
      <c r="CU8" s="147">
        <f t="shared" si="4"/>
        <v>0</v>
      </c>
      <c r="CV8" s="156"/>
      <c r="CW8" s="157" t="e">
        <f t="shared" si="5"/>
        <v>#DIV/0!</v>
      </c>
      <c r="CX8" s="157" t="e">
        <f t="shared" si="6"/>
        <v>#DIV/0!</v>
      </c>
      <c r="CY8" s="157" t="e">
        <f t="shared" si="7"/>
        <v>#DIV/0!</v>
      </c>
      <c r="CZ8" s="157" t="e">
        <f t="shared" si="8"/>
        <v>#DIV/0!</v>
      </c>
      <c r="DA8" s="157" t="e">
        <f t="shared" si="9"/>
        <v>#DIV/0!</v>
      </c>
      <c r="DB8" s="158" t="e">
        <f t="shared" si="10"/>
        <v>#DIV/0!</v>
      </c>
      <c r="DC8" s="131"/>
      <c r="DD8" s="159">
        <f t="shared" si="11"/>
        <v>0</v>
      </c>
      <c r="DE8" s="160">
        <f t="shared" si="12"/>
        <v>0</v>
      </c>
      <c r="DF8" s="161">
        <f t="shared" si="13"/>
        <v>0</v>
      </c>
      <c r="DG8" s="162" t="e">
        <f t="shared" si="14"/>
        <v>#DIV/0!</v>
      </c>
      <c r="DH8" s="163">
        <f t="shared" si="15"/>
        <v>0</v>
      </c>
      <c r="DI8" s="164"/>
      <c r="DJ8" s="165">
        <f t="shared" si="16"/>
        <v>0</v>
      </c>
      <c r="DK8" s="166">
        <f t="shared" si="16"/>
        <v>0</v>
      </c>
      <c r="DL8" s="167" t="e">
        <f t="shared" si="17"/>
        <v>#DIV/0!</v>
      </c>
      <c r="DM8" s="168" t="e">
        <f t="shared" si="18"/>
        <v>#DIV/0!</v>
      </c>
      <c r="DN8" s="163" t="e">
        <f t="shared" si="19"/>
        <v>#DIV/0!</v>
      </c>
      <c r="DO8" s="169"/>
      <c r="DP8" s="170"/>
      <c r="DQ8" s="171"/>
      <c r="DR8" s="172">
        <f t="shared" si="20"/>
        <v>0</v>
      </c>
      <c r="DS8" s="173" t="e">
        <f t="shared" si="21"/>
        <v>#DIV/0!</v>
      </c>
      <c r="DT8" s="163" t="e">
        <f t="shared" si="22"/>
        <v>#DIV/0!</v>
      </c>
      <c r="DU8" s="174"/>
      <c r="DV8" s="175" t="e">
        <f t="shared" si="23"/>
        <v>#DIV/0!</v>
      </c>
      <c r="DW8" s="163">
        <f t="shared" si="24"/>
        <v>0</v>
      </c>
      <c r="DX8" s="164"/>
      <c r="DY8" s="176">
        <f t="shared" si="25"/>
        <v>0</v>
      </c>
      <c r="DZ8" s="177">
        <f t="shared" si="26"/>
        <v>0</v>
      </c>
      <c r="EA8" s="178">
        <f t="shared" si="27"/>
        <v>0</v>
      </c>
      <c r="EB8" s="179">
        <f t="shared" si="28"/>
        <v>0</v>
      </c>
      <c r="EC8" s="180"/>
      <c r="ED8" s="175" t="e">
        <f t="shared" si="29"/>
        <v>#DIV/0!</v>
      </c>
      <c r="EE8" s="163">
        <f t="shared" si="30"/>
        <v>0</v>
      </c>
      <c r="EF8" s="164"/>
      <c r="EG8" s="181">
        <f t="shared" si="31"/>
        <v>0</v>
      </c>
      <c r="EH8" s="182">
        <f t="shared" si="32"/>
        <v>0</v>
      </c>
      <c r="EI8" s="182">
        <f t="shared" si="33"/>
        <v>0</v>
      </c>
      <c r="EJ8" s="182">
        <f t="shared" si="34"/>
        <v>0</v>
      </c>
      <c r="EK8" s="183">
        <f t="shared" si="35"/>
        <v>0</v>
      </c>
      <c r="EL8" s="184" t="e">
        <f t="shared" si="36"/>
        <v>#DIV/0!</v>
      </c>
      <c r="EM8" s="185">
        <f t="shared" si="37"/>
        <v>0</v>
      </c>
      <c r="EN8" s="164"/>
      <c r="EO8" s="181">
        <f t="shared" si="38"/>
        <v>0</v>
      </c>
      <c r="EP8" s="183">
        <f t="shared" si="39"/>
        <v>0</v>
      </c>
      <c r="EQ8" s="184" t="e">
        <f t="shared" si="40"/>
        <v>#DIV/0!</v>
      </c>
      <c r="ER8" s="185">
        <f t="shared" si="41"/>
        <v>0</v>
      </c>
      <c r="ES8" s="164"/>
      <c r="ET8" s="164"/>
      <c r="EU8" s="186">
        <f t="shared" si="42"/>
        <v>0</v>
      </c>
      <c r="EV8" s="186">
        <f t="shared" si="43"/>
        <v>0</v>
      </c>
      <c r="EW8" s="186">
        <f t="shared" si="44"/>
        <v>0</v>
      </c>
      <c r="EX8" s="186">
        <f t="shared" si="45"/>
        <v>0</v>
      </c>
      <c r="EY8" s="131"/>
      <c r="EZ8" s="187">
        <f t="shared" si="46"/>
        <v>0</v>
      </c>
      <c r="FA8" s="188" t="e">
        <f t="shared" si="47"/>
        <v>#DIV/0!</v>
      </c>
      <c r="FB8" s="189"/>
      <c r="FC8" s="131"/>
      <c r="FD8" s="131"/>
      <c r="FE8" s="131"/>
      <c r="FF8" s="131"/>
      <c r="FG8" s="131"/>
    </row>
    <row r="9" spans="2:172" ht="16" outlineLevel="1" thickBot="1" x14ac:dyDescent="0.4">
      <c r="B9" s="357"/>
      <c r="C9" s="354"/>
      <c r="D9" s="190"/>
      <c r="E9" s="191"/>
      <c r="F9" s="135"/>
      <c r="G9" s="192"/>
      <c r="H9" s="137"/>
      <c r="I9" s="138">
        <f t="shared" si="0"/>
        <v>0</v>
      </c>
      <c r="J9" s="139"/>
      <c r="K9" s="193">
        <f t="shared" si="1"/>
        <v>0</v>
      </c>
      <c r="L9" s="141"/>
      <c r="M9" s="194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4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6"/>
      <c r="AN9" s="197">
        <f t="shared" si="2"/>
        <v>0</v>
      </c>
      <c r="AO9" s="146"/>
      <c r="AP9" s="147">
        <f t="shared" si="3"/>
        <v>0</v>
      </c>
      <c r="AQ9" s="148"/>
      <c r="AR9" s="198"/>
      <c r="AS9" s="198"/>
      <c r="AT9" s="135"/>
      <c r="AU9" s="199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199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2"/>
      <c r="CD9" s="199"/>
      <c r="CE9" s="194"/>
      <c r="CF9" s="195"/>
      <c r="CG9" s="195"/>
      <c r="CH9" s="195"/>
      <c r="CI9" s="195"/>
      <c r="CJ9" s="195"/>
      <c r="CK9" s="195"/>
      <c r="CL9" s="195"/>
      <c r="CM9" s="195"/>
      <c r="CN9" s="195"/>
      <c r="CO9" s="347"/>
      <c r="CP9" s="200"/>
      <c r="CQ9" s="201"/>
      <c r="CR9" s="202"/>
      <c r="CS9" s="203">
        <f t="shared" si="48"/>
        <v>0</v>
      </c>
      <c r="CT9" s="146"/>
      <c r="CU9" s="147">
        <f t="shared" si="4"/>
        <v>0</v>
      </c>
      <c r="CV9" s="156"/>
      <c r="CW9" s="157" t="e">
        <f t="shared" si="5"/>
        <v>#DIV/0!</v>
      </c>
      <c r="CX9" s="157" t="e">
        <f t="shared" si="6"/>
        <v>#DIV/0!</v>
      </c>
      <c r="CY9" s="157" t="e">
        <f t="shared" si="7"/>
        <v>#DIV/0!</v>
      </c>
      <c r="CZ9" s="157" t="e">
        <f t="shared" si="8"/>
        <v>#DIV/0!</v>
      </c>
      <c r="DA9" s="157" t="e">
        <f t="shared" si="9"/>
        <v>#DIV/0!</v>
      </c>
      <c r="DB9" s="158" t="e">
        <f t="shared" si="10"/>
        <v>#DIV/0!</v>
      </c>
      <c r="DC9" s="131"/>
      <c r="DD9" s="159">
        <f t="shared" si="11"/>
        <v>0</v>
      </c>
      <c r="DE9" s="160">
        <f t="shared" si="12"/>
        <v>0</v>
      </c>
      <c r="DF9" s="161">
        <f t="shared" si="13"/>
        <v>0</v>
      </c>
      <c r="DG9" s="162" t="e">
        <f t="shared" si="14"/>
        <v>#DIV/0!</v>
      </c>
      <c r="DH9" s="163">
        <f t="shared" si="15"/>
        <v>0</v>
      </c>
      <c r="DI9" s="164"/>
      <c r="DJ9" s="165">
        <f t="shared" si="16"/>
        <v>0</v>
      </c>
      <c r="DK9" s="166">
        <f t="shared" si="16"/>
        <v>0</v>
      </c>
      <c r="DL9" s="167" t="e">
        <f t="shared" si="17"/>
        <v>#DIV/0!</v>
      </c>
      <c r="DM9" s="168" t="e">
        <f t="shared" si="18"/>
        <v>#DIV/0!</v>
      </c>
      <c r="DN9" s="163" t="e">
        <f t="shared" si="19"/>
        <v>#DIV/0!</v>
      </c>
      <c r="DO9" s="169"/>
      <c r="DP9" s="170"/>
      <c r="DQ9" s="171"/>
      <c r="DR9" s="172">
        <f t="shared" si="20"/>
        <v>0</v>
      </c>
      <c r="DS9" s="173" t="e">
        <f t="shared" si="21"/>
        <v>#DIV/0!</v>
      </c>
      <c r="DT9" s="163" t="e">
        <f t="shared" si="22"/>
        <v>#DIV/0!</v>
      </c>
      <c r="DU9" s="174"/>
      <c r="DV9" s="175" t="e">
        <f t="shared" si="23"/>
        <v>#DIV/0!</v>
      </c>
      <c r="DW9" s="163">
        <f t="shared" si="24"/>
        <v>0</v>
      </c>
      <c r="DX9" s="164"/>
      <c r="DY9" s="176">
        <f t="shared" si="25"/>
        <v>0</v>
      </c>
      <c r="DZ9" s="177">
        <f t="shared" si="26"/>
        <v>0</v>
      </c>
      <c r="EA9" s="178">
        <f t="shared" si="27"/>
        <v>0</v>
      </c>
      <c r="EB9" s="179">
        <f t="shared" si="28"/>
        <v>0</v>
      </c>
      <c r="EC9" s="180"/>
      <c r="ED9" s="175" t="e">
        <f t="shared" si="29"/>
        <v>#DIV/0!</v>
      </c>
      <c r="EE9" s="163">
        <f t="shared" si="30"/>
        <v>0</v>
      </c>
      <c r="EF9" s="164"/>
      <c r="EG9" s="181">
        <f t="shared" si="31"/>
        <v>0</v>
      </c>
      <c r="EH9" s="182">
        <f t="shared" si="32"/>
        <v>0</v>
      </c>
      <c r="EI9" s="182">
        <f t="shared" si="33"/>
        <v>0</v>
      </c>
      <c r="EJ9" s="182">
        <f t="shared" si="34"/>
        <v>0</v>
      </c>
      <c r="EK9" s="183">
        <f t="shared" si="35"/>
        <v>0</v>
      </c>
      <c r="EL9" s="184" t="e">
        <f t="shared" si="36"/>
        <v>#DIV/0!</v>
      </c>
      <c r="EM9" s="185">
        <f t="shared" si="37"/>
        <v>0</v>
      </c>
      <c r="EN9" s="164"/>
      <c r="EO9" s="181">
        <f t="shared" si="38"/>
        <v>0</v>
      </c>
      <c r="EP9" s="183">
        <f t="shared" si="39"/>
        <v>0</v>
      </c>
      <c r="EQ9" s="184" t="e">
        <f t="shared" si="40"/>
        <v>#DIV/0!</v>
      </c>
      <c r="ER9" s="185">
        <f t="shared" si="41"/>
        <v>0</v>
      </c>
      <c r="ES9" s="164"/>
      <c r="ET9" s="164"/>
      <c r="EU9" s="186">
        <f t="shared" si="42"/>
        <v>0</v>
      </c>
      <c r="EV9" s="186">
        <f t="shared" si="43"/>
        <v>0</v>
      </c>
      <c r="EW9" s="186">
        <f t="shared" si="44"/>
        <v>0</v>
      </c>
      <c r="EX9" s="186">
        <f t="shared" si="45"/>
        <v>0</v>
      </c>
      <c r="EY9" s="131"/>
      <c r="EZ9" s="187">
        <f t="shared" si="46"/>
        <v>0</v>
      </c>
      <c r="FA9" s="188" t="e">
        <f t="shared" si="47"/>
        <v>#DIV/0!</v>
      </c>
      <c r="FB9" s="189"/>
      <c r="FC9" s="131"/>
      <c r="FD9" s="131"/>
      <c r="FE9" s="131"/>
      <c r="FF9" s="131"/>
      <c r="FG9" s="131"/>
    </row>
    <row r="10" spans="2:172" ht="16" outlineLevel="1" thickBot="1" x14ac:dyDescent="0.4">
      <c r="B10" s="358"/>
      <c r="C10" s="355"/>
      <c r="D10" s="204"/>
      <c r="E10" s="205"/>
      <c r="F10" s="135"/>
      <c r="G10" s="206"/>
      <c r="H10" s="207"/>
      <c r="I10" s="138">
        <f t="shared" si="0"/>
        <v>0</v>
      </c>
      <c r="J10" s="139"/>
      <c r="K10" s="208">
        <f t="shared" si="1"/>
        <v>0</v>
      </c>
      <c r="L10" s="141"/>
      <c r="M10" s="209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09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1"/>
      <c r="AN10" s="212">
        <f t="shared" si="2"/>
        <v>0</v>
      </c>
      <c r="AO10" s="146"/>
      <c r="AP10" s="147">
        <f t="shared" si="3"/>
        <v>0</v>
      </c>
      <c r="AQ10" s="148"/>
      <c r="AR10" s="213"/>
      <c r="AS10" s="213"/>
      <c r="AT10" s="135"/>
      <c r="AU10" s="214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6"/>
      <c r="BG10" s="216"/>
      <c r="BH10" s="216"/>
      <c r="BI10" s="216"/>
      <c r="BJ10" s="216"/>
      <c r="BK10" s="216"/>
      <c r="BL10" s="216"/>
      <c r="BM10" s="216"/>
      <c r="BN10" s="216"/>
      <c r="BO10" s="216"/>
      <c r="BP10" s="216"/>
      <c r="BQ10" s="216"/>
      <c r="BR10" s="214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7"/>
      <c r="CD10" s="214"/>
      <c r="CE10" s="209"/>
      <c r="CF10" s="210"/>
      <c r="CG10" s="210"/>
      <c r="CH10" s="210"/>
      <c r="CI10" s="210"/>
      <c r="CJ10" s="210"/>
      <c r="CK10" s="210"/>
      <c r="CL10" s="210"/>
      <c r="CM10" s="210"/>
      <c r="CN10" s="210"/>
      <c r="CO10" s="348"/>
      <c r="CP10" s="215"/>
      <c r="CQ10" s="216"/>
      <c r="CR10" s="217"/>
      <c r="CS10" s="218">
        <f t="shared" si="48"/>
        <v>0</v>
      </c>
      <c r="CT10" s="146"/>
      <c r="CU10" s="147">
        <f t="shared" si="4"/>
        <v>0</v>
      </c>
      <c r="CV10" s="156"/>
      <c r="CW10" s="157" t="e">
        <f t="shared" si="5"/>
        <v>#DIV/0!</v>
      </c>
      <c r="CX10" s="157" t="e">
        <f t="shared" si="6"/>
        <v>#DIV/0!</v>
      </c>
      <c r="CY10" s="157" t="e">
        <f t="shared" si="7"/>
        <v>#DIV/0!</v>
      </c>
      <c r="CZ10" s="157" t="e">
        <f t="shared" si="8"/>
        <v>#DIV/0!</v>
      </c>
      <c r="DA10" s="157" t="e">
        <f t="shared" si="9"/>
        <v>#DIV/0!</v>
      </c>
      <c r="DB10" s="158" t="e">
        <f t="shared" si="10"/>
        <v>#DIV/0!</v>
      </c>
      <c r="DC10" s="131"/>
      <c r="DD10" s="159">
        <f t="shared" si="11"/>
        <v>0</v>
      </c>
      <c r="DE10" s="160">
        <f t="shared" si="12"/>
        <v>0</v>
      </c>
      <c r="DF10" s="161">
        <f t="shared" si="13"/>
        <v>0</v>
      </c>
      <c r="DG10" s="162" t="e">
        <f t="shared" si="14"/>
        <v>#DIV/0!</v>
      </c>
      <c r="DH10" s="163">
        <f t="shared" si="15"/>
        <v>0</v>
      </c>
      <c r="DI10" s="164"/>
      <c r="DJ10" s="165">
        <f t="shared" si="16"/>
        <v>0</v>
      </c>
      <c r="DK10" s="166">
        <f t="shared" si="16"/>
        <v>0</v>
      </c>
      <c r="DL10" s="167" t="e">
        <f t="shared" si="17"/>
        <v>#DIV/0!</v>
      </c>
      <c r="DM10" s="168" t="e">
        <f t="shared" si="18"/>
        <v>#DIV/0!</v>
      </c>
      <c r="DN10" s="163" t="e">
        <f t="shared" si="19"/>
        <v>#DIV/0!</v>
      </c>
      <c r="DO10" s="169"/>
      <c r="DP10" s="170"/>
      <c r="DQ10" s="171"/>
      <c r="DR10" s="172">
        <f t="shared" si="20"/>
        <v>0</v>
      </c>
      <c r="DS10" s="173" t="e">
        <f t="shared" si="21"/>
        <v>#DIV/0!</v>
      </c>
      <c r="DT10" s="163" t="e">
        <f t="shared" si="22"/>
        <v>#DIV/0!</v>
      </c>
      <c r="DU10" s="174"/>
      <c r="DV10" s="175" t="e">
        <f t="shared" si="23"/>
        <v>#DIV/0!</v>
      </c>
      <c r="DW10" s="163">
        <f t="shared" si="24"/>
        <v>0</v>
      </c>
      <c r="DX10" s="164"/>
      <c r="DY10" s="176">
        <f t="shared" si="25"/>
        <v>0</v>
      </c>
      <c r="DZ10" s="177">
        <f t="shared" si="26"/>
        <v>0</v>
      </c>
      <c r="EA10" s="178">
        <f t="shared" si="27"/>
        <v>0</v>
      </c>
      <c r="EB10" s="179">
        <f t="shared" si="28"/>
        <v>0</v>
      </c>
      <c r="EC10" s="180"/>
      <c r="ED10" s="175" t="e">
        <f t="shared" si="29"/>
        <v>#DIV/0!</v>
      </c>
      <c r="EE10" s="163">
        <f t="shared" si="30"/>
        <v>0</v>
      </c>
      <c r="EF10" s="164"/>
      <c r="EG10" s="181">
        <f t="shared" si="31"/>
        <v>0</v>
      </c>
      <c r="EH10" s="182">
        <f t="shared" si="32"/>
        <v>0</v>
      </c>
      <c r="EI10" s="182">
        <f t="shared" si="33"/>
        <v>0</v>
      </c>
      <c r="EJ10" s="182">
        <f t="shared" si="34"/>
        <v>0</v>
      </c>
      <c r="EK10" s="183">
        <f t="shared" si="35"/>
        <v>0</v>
      </c>
      <c r="EL10" s="184" t="e">
        <f t="shared" si="36"/>
        <v>#DIV/0!</v>
      </c>
      <c r="EM10" s="185">
        <f t="shared" si="37"/>
        <v>0</v>
      </c>
      <c r="EN10" s="164"/>
      <c r="EO10" s="181">
        <f t="shared" si="38"/>
        <v>0</v>
      </c>
      <c r="EP10" s="183">
        <f t="shared" si="39"/>
        <v>0</v>
      </c>
      <c r="EQ10" s="184" t="e">
        <f t="shared" si="40"/>
        <v>#DIV/0!</v>
      </c>
      <c r="ER10" s="185">
        <f t="shared" si="41"/>
        <v>0</v>
      </c>
      <c r="ES10" s="164"/>
      <c r="ET10" s="164"/>
      <c r="EU10" s="186">
        <f t="shared" si="42"/>
        <v>0</v>
      </c>
      <c r="EV10" s="186">
        <f t="shared" si="43"/>
        <v>0</v>
      </c>
      <c r="EW10" s="186">
        <f t="shared" si="44"/>
        <v>0</v>
      </c>
      <c r="EX10" s="186">
        <f t="shared" si="45"/>
        <v>0</v>
      </c>
      <c r="EY10" s="131"/>
      <c r="EZ10" s="187">
        <f t="shared" si="46"/>
        <v>0</v>
      </c>
      <c r="FA10" s="188" t="e">
        <f t="shared" si="47"/>
        <v>#DIV/0!</v>
      </c>
      <c r="FB10" s="189"/>
      <c r="FC10" s="131"/>
      <c r="FD10" s="131"/>
      <c r="FE10" s="131"/>
      <c r="FF10" s="131"/>
      <c r="FG10" s="131"/>
    </row>
    <row r="11" spans="2:172" ht="16" outlineLevel="1" thickBot="1" x14ac:dyDescent="0.4">
      <c r="B11" s="356"/>
      <c r="C11" s="353"/>
      <c r="D11" s="133"/>
      <c r="E11" s="134"/>
      <c r="F11" s="135"/>
      <c r="G11" s="136"/>
      <c r="H11" s="137"/>
      <c r="I11" s="138">
        <f>IF(E11&gt;0.0001,9.4,0)</f>
        <v>0</v>
      </c>
      <c r="J11" s="139"/>
      <c r="K11" s="140">
        <f t="shared" si="1"/>
        <v>0</v>
      </c>
      <c r="L11" s="141"/>
      <c r="M11" s="142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2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4"/>
      <c r="AN11" s="145">
        <f t="shared" si="2"/>
        <v>0</v>
      </c>
      <c r="AO11" s="146"/>
      <c r="AP11" s="147">
        <f t="shared" si="3"/>
        <v>0</v>
      </c>
      <c r="AQ11" s="148"/>
      <c r="AR11" s="149"/>
      <c r="AS11" s="149"/>
      <c r="AT11" s="135"/>
      <c r="AU11" s="150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0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4"/>
      <c r="CD11" s="150"/>
      <c r="CE11" s="142"/>
      <c r="CF11" s="143"/>
      <c r="CG11" s="143"/>
      <c r="CH11" s="143"/>
      <c r="CI11" s="143"/>
      <c r="CJ11" s="143"/>
      <c r="CK11" s="143"/>
      <c r="CL11" s="143"/>
      <c r="CM11" s="143"/>
      <c r="CN11" s="143"/>
      <c r="CO11" s="346"/>
      <c r="CP11" s="151"/>
      <c r="CQ11" s="152"/>
      <c r="CR11" s="154"/>
      <c r="CS11" s="155">
        <f t="shared" si="48"/>
        <v>0</v>
      </c>
      <c r="CT11" s="146"/>
      <c r="CU11" s="147">
        <f t="shared" si="4"/>
        <v>0</v>
      </c>
      <c r="CV11" s="156"/>
      <c r="CW11" s="157" t="e">
        <f t="shared" si="5"/>
        <v>#DIV/0!</v>
      </c>
      <c r="CX11" s="157" t="e">
        <f t="shared" si="6"/>
        <v>#DIV/0!</v>
      </c>
      <c r="CY11" s="157" t="e">
        <f t="shared" si="7"/>
        <v>#DIV/0!</v>
      </c>
      <c r="CZ11" s="157" t="e">
        <f t="shared" si="8"/>
        <v>#DIV/0!</v>
      </c>
      <c r="DA11" s="157" t="e">
        <f t="shared" si="9"/>
        <v>#DIV/0!</v>
      </c>
      <c r="DB11" s="158" t="e">
        <f t="shared" si="10"/>
        <v>#DIV/0!</v>
      </c>
      <c r="DC11" s="131"/>
      <c r="DD11" s="159">
        <f t="shared" si="11"/>
        <v>0</v>
      </c>
      <c r="DE11" s="160">
        <f t="shared" si="12"/>
        <v>0</v>
      </c>
      <c r="DF11" s="161">
        <f t="shared" si="13"/>
        <v>0</v>
      </c>
      <c r="DG11" s="162" t="e">
        <f t="shared" si="14"/>
        <v>#DIV/0!</v>
      </c>
      <c r="DH11" s="163">
        <f t="shared" si="15"/>
        <v>0</v>
      </c>
      <c r="DI11" s="164"/>
      <c r="DJ11" s="165">
        <f t="shared" si="16"/>
        <v>0</v>
      </c>
      <c r="DK11" s="166">
        <f t="shared" si="16"/>
        <v>0</v>
      </c>
      <c r="DL11" s="167" t="e">
        <f t="shared" si="17"/>
        <v>#DIV/0!</v>
      </c>
      <c r="DM11" s="168" t="e">
        <f t="shared" si="18"/>
        <v>#DIV/0!</v>
      </c>
      <c r="DN11" s="163" t="e">
        <f t="shared" si="19"/>
        <v>#DIV/0!</v>
      </c>
      <c r="DO11" s="169"/>
      <c r="DP11" s="170"/>
      <c r="DQ11" s="171"/>
      <c r="DR11" s="172">
        <f t="shared" si="20"/>
        <v>0</v>
      </c>
      <c r="DS11" s="173" t="e">
        <f t="shared" si="21"/>
        <v>#DIV/0!</v>
      </c>
      <c r="DT11" s="163" t="e">
        <f t="shared" si="22"/>
        <v>#DIV/0!</v>
      </c>
      <c r="DU11" s="174"/>
      <c r="DV11" s="175" t="e">
        <f t="shared" si="23"/>
        <v>#DIV/0!</v>
      </c>
      <c r="DW11" s="163">
        <f t="shared" si="24"/>
        <v>0</v>
      </c>
      <c r="DX11" s="164"/>
      <c r="DY11" s="176">
        <f t="shared" si="25"/>
        <v>0</v>
      </c>
      <c r="DZ11" s="177">
        <f t="shared" si="26"/>
        <v>0</v>
      </c>
      <c r="EA11" s="178">
        <f t="shared" si="27"/>
        <v>0</v>
      </c>
      <c r="EB11" s="179">
        <f t="shared" si="28"/>
        <v>0</v>
      </c>
      <c r="EC11" s="180"/>
      <c r="ED11" s="175" t="e">
        <f t="shared" si="29"/>
        <v>#DIV/0!</v>
      </c>
      <c r="EE11" s="163">
        <f t="shared" si="30"/>
        <v>0</v>
      </c>
      <c r="EF11" s="164"/>
      <c r="EG11" s="181">
        <f t="shared" si="31"/>
        <v>0</v>
      </c>
      <c r="EH11" s="182">
        <f t="shared" si="32"/>
        <v>0</v>
      </c>
      <c r="EI11" s="182">
        <f t="shared" si="33"/>
        <v>0</v>
      </c>
      <c r="EJ11" s="182">
        <f t="shared" si="34"/>
        <v>0</v>
      </c>
      <c r="EK11" s="183">
        <f t="shared" si="35"/>
        <v>0</v>
      </c>
      <c r="EL11" s="184" t="e">
        <f t="shared" si="36"/>
        <v>#DIV/0!</v>
      </c>
      <c r="EM11" s="185">
        <f t="shared" si="37"/>
        <v>0</v>
      </c>
      <c r="EN11" s="164"/>
      <c r="EO11" s="181">
        <f t="shared" si="38"/>
        <v>0</v>
      </c>
      <c r="EP11" s="183">
        <f t="shared" si="39"/>
        <v>0</v>
      </c>
      <c r="EQ11" s="184" t="e">
        <f t="shared" si="40"/>
        <v>#DIV/0!</v>
      </c>
      <c r="ER11" s="185">
        <f t="shared" si="41"/>
        <v>0</v>
      </c>
      <c r="ES11" s="164"/>
      <c r="ET11" s="164"/>
      <c r="EU11" s="186">
        <f t="shared" si="42"/>
        <v>0</v>
      </c>
      <c r="EV11" s="186">
        <f t="shared" si="43"/>
        <v>0</v>
      </c>
      <c r="EW11" s="186">
        <f t="shared" si="44"/>
        <v>0</v>
      </c>
      <c r="EX11" s="186">
        <f t="shared" si="45"/>
        <v>0</v>
      </c>
      <c r="EY11" s="131"/>
      <c r="EZ11" s="187">
        <f t="shared" si="46"/>
        <v>0</v>
      </c>
      <c r="FA11" s="188" t="e">
        <f t="shared" si="47"/>
        <v>#DIV/0!</v>
      </c>
      <c r="FB11" s="189"/>
      <c r="FC11" s="131"/>
      <c r="FD11" s="131"/>
      <c r="FE11" s="131"/>
      <c r="FF11" s="131"/>
      <c r="FG11" s="131"/>
    </row>
    <row r="12" spans="2:172" ht="16" outlineLevel="1" thickBot="1" x14ac:dyDescent="0.4">
      <c r="B12" s="357"/>
      <c r="C12" s="354"/>
      <c r="D12" s="190"/>
      <c r="E12" s="191"/>
      <c r="F12" s="135"/>
      <c r="G12" s="192"/>
      <c r="H12" s="137"/>
      <c r="I12" s="138">
        <f t="shared" si="0"/>
        <v>0</v>
      </c>
      <c r="J12" s="139"/>
      <c r="K12" s="193">
        <f t="shared" si="1"/>
        <v>0</v>
      </c>
      <c r="L12" s="141"/>
      <c r="M12" s="194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4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6"/>
      <c r="AN12" s="197">
        <f t="shared" si="2"/>
        <v>0</v>
      </c>
      <c r="AO12" s="146"/>
      <c r="AP12" s="147">
        <f t="shared" si="3"/>
        <v>0</v>
      </c>
      <c r="AQ12" s="148"/>
      <c r="AR12" s="198"/>
      <c r="AS12" s="198"/>
      <c r="AT12" s="135"/>
      <c r="AU12" s="199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199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2"/>
      <c r="CD12" s="199"/>
      <c r="CE12" s="194"/>
      <c r="CF12" s="195"/>
      <c r="CG12" s="195"/>
      <c r="CH12" s="195"/>
      <c r="CI12" s="195"/>
      <c r="CJ12" s="195"/>
      <c r="CK12" s="195"/>
      <c r="CL12" s="195"/>
      <c r="CM12" s="195"/>
      <c r="CN12" s="195"/>
      <c r="CO12" s="347"/>
      <c r="CP12" s="200"/>
      <c r="CQ12" s="201"/>
      <c r="CR12" s="202"/>
      <c r="CS12" s="203">
        <f t="shared" si="48"/>
        <v>0</v>
      </c>
      <c r="CT12" s="146"/>
      <c r="CU12" s="147">
        <f t="shared" si="4"/>
        <v>0</v>
      </c>
      <c r="CV12" s="156"/>
      <c r="CW12" s="157" t="e">
        <f t="shared" si="5"/>
        <v>#DIV/0!</v>
      </c>
      <c r="CX12" s="157" t="e">
        <f t="shared" si="6"/>
        <v>#DIV/0!</v>
      </c>
      <c r="CY12" s="157" t="e">
        <f t="shared" si="7"/>
        <v>#DIV/0!</v>
      </c>
      <c r="CZ12" s="157" t="e">
        <f t="shared" si="8"/>
        <v>#DIV/0!</v>
      </c>
      <c r="DA12" s="157" t="e">
        <f t="shared" si="9"/>
        <v>#DIV/0!</v>
      </c>
      <c r="DB12" s="158" t="e">
        <f t="shared" si="10"/>
        <v>#DIV/0!</v>
      </c>
      <c r="DC12" s="131"/>
      <c r="DD12" s="159">
        <f t="shared" si="11"/>
        <v>0</v>
      </c>
      <c r="DE12" s="160">
        <f t="shared" si="12"/>
        <v>0</v>
      </c>
      <c r="DF12" s="161">
        <f t="shared" si="13"/>
        <v>0</v>
      </c>
      <c r="DG12" s="162" t="e">
        <f t="shared" si="14"/>
        <v>#DIV/0!</v>
      </c>
      <c r="DH12" s="163">
        <f t="shared" si="15"/>
        <v>0</v>
      </c>
      <c r="DI12" s="164"/>
      <c r="DJ12" s="165">
        <f t="shared" si="16"/>
        <v>0</v>
      </c>
      <c r="DK12" s="166">
        <f t="shared" si="16"/>
        <v>0</v>
      </c>
      <c r="DL12" s="167" t="e">
        <f t="shared" si="17"/>
        <v>#DIV/0!</v>
      </c>
      <c r="DM12" s="168" t="e">
        <f t="shared" si="18"/>
        <v>#DIV/0!</v>
      </c>
      <c r="DN12" s="163" t="e">
        <f t="shared" si="19"/>
        <v>#DIV/0!</v>
      </c>
      <c r="DO12" s="169"/>
      <c r="DP12" s="170"/>
      <c r="DQ12" s="171"/>
      <c r="DR12" s="172">
        <f t="shared" si="20"/>
        <v>0</v>
      </c>
      <c r="DS12" s="173" t="e">
        <f t="shared" si="21"/>
        <v>#DIV/0!</v>
      </c>
      <c r="DT12" s="163" t="e">
        <f t="shared" si="22"/>
        <v>#DIV/0!</v>
      </c>
      <c r="DU12" s="174"/>
      <c r="DV12" s="175" t="e">
        <f t="shared" si="23"/>
        <v>#DIV/0!</v>
      </c>
      <c r="DW12" s="163">
        <f t="shared" si="24"/>
        <v>0</v>
      </c>
      <c r="DX12" s="164"/>
      <c r="DY12" s="176">
        <f t="shared" si="25"/>
        <v>0</v>
      </c>
      <c r="DZ12" s="177">
        <f t="shared" si="26"/>
        <v>0</v>
      </c>
      <c r="EA12" s="178">
        <f t="shared" si="27"/>
        <v>0</v>
      </c>
      <c r="EB12" s="179">
        <f t="shared" si="28"/>
        <v>0</v>
      </c>
      <c r="EC12" s="180"/>
      <c r="ED12" s="175" t="e">
        <f t="shared" si="29"/>
        <v>#DIV/0!</v>
      </c>
      <c r="EE12" s="163">
        <f t="shared" si="30"/>
        <v>0</v>
      </c>
      <c r="EF12" s="164"/>
      <c r="EG12" s="181">
        <f t="shared" si="31"/>
        <v>0</v>
      </c>
      <c r="EH12" s="182">
        <f t="shared" si="32"/>
        <v>0</v>
      </c>
      <c r="EI12" s="182">
        <f t="shared" si="33"/>
        <v>0</v>
      </c>
      <c r="EJ12" s="182">
        <f t="shared" si="34"/>
        <v>0</v>
      </c>
      <c r="EK12" s="183">
        <f t="shared" si="35"/>
        <v>0</v>
      </c>
      <c r="EL12" s="184" t="e">
        <f t="shared" si="36"/>
        <v>#DIV/0!</v>
      </c>
      <c r="EM12" s="185">
        <f t="shared" si="37"/>
        <v>0</v>
      </c>
      <c r="EN12" s="164"/>
      <c r="EO12" s="181">
        <f t="shared" si="38"/>
        <v>0</v>
      </c>
      <c r="EP12" s="183">
        <f t="shared" si="39"/>
        <v>0</v>
      </c>
      <c r="EQ12" s="184" t="e">
        <f t="shared" si="40"/>
        <v>#DIV/0!</v>
      </c>
      <c r="ER12" s="185">
        <f t="shared" si="41"/>
        <v>0</v>
      </c>
      <c r="ES12" s="164"/>
      <c r="ET12" s="164"/>
      <c r="EU12" s="186">
        <f t="shared" si="42"/>
        <v>0</v>
      </c>
      <c r="EV12" s="186">
        <f t="shared" si="43"/>
        <v>0</v>
      </c>
      <c r="EW12" s="186">
        <f t="shared" si="44"/>
        <v>0</v>
      </c>
      <c r="EX12" s="186">
        <f t="shared" si="45"/>
        <v>0</v>
      </c>
      <c r="EY12" s="131"/>
      <c r="EZ12" s="187">
        <f t="shared" si="46"/>
        <v>0</v>
      </c>
      <c r="FA12" s="188" t="e">
        <f t="shared" si="47"/>
        <v>#DIV/0!</v>
      </c>
      <c r="FB12" s="189"/>
      <c r="FC12" s="131"/>
      <c r="FD12" s="131"/>
      <c r="FE12" s="131"/>
      <c r="FF12" s="131"/>
      <c r="FG12" s="131"/>
    </row>
    <row r="13" spans="2:172" ht="16" outlineLevel="1" thickBot="1" x14ac:dyDescent="0.4">
      <c r="B13" s="358"/>
      <c r="C13" s="355"/>
      <c r="D13" s="204"/>
      <c r="E13" s="205"/>
      <c r="F13" s="135"/>
      <c r="G13" s="206"/>
      <c r="H13" s="207"/>
      <c r="I13" s="138">
        <f t="shared" si="0"/>
        <v>0</v>
      </c>
      <c r="J13" s="139"/>
      <c r="K13" s="208">
        <f t="shared" si="1"/>
        <v>0</v>
      </c>
      <c r="L13" s="141"/>
      <c r="M13" s="209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09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1"/>
      <c r="AN13" s="212">
        <f t="shared" si="2"/>
        <v>0</v>
      </c>
      <c r="AO13" s="146"/>
      <c r="AP13" s="147">
        <f t="shared" si="3"/>
        <v>0</v>
      </c>
      <c r="AQ13" s="148"/>
      <c r="AR13" s="213"/>
      <c r="AS13" s="213"/>
      <c r="AT13" s="135"/>
      <c r="AU13" s="214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4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7"/>
      <c r="CD13" s="214"/>
      <c r="CE13" s="209"/>
      <c r="CF13" s="210"/>
      <c r="CG13" s="210"/>
      <c r="CH13" s="210"/>
      <c r="CI13" s="210"/>
      <c r="CJ13" s="210"/>
      <c r="CK13" s="210"/>
      <c r="CL13" s="210"/>
      <c r="CM13" s="210"/>
      <c r="CN13" s="210"/>
      <c r="CO13" s="348"/>
      <c r="CP13" s="215"/>
      <c r="CQ13" s="216"/>
      <c r="CR13" s="217"/>
      <c r="CS13" s="218">
        <f t="shared" si="48"/>
        <v>0</v>
      </c>
      <c r="CT13" s="146"/>
      <c r="CU13" s="147">
        <f t="shared" si="4"/>
        <v>0</v>
      </c>
      <c r="CV13" s="156"/>
      <c r="CW13" s="157" t="e">
        <f t="shared" si="5"/>
        <v>#DIV/0!</v>
      </c>
      <c r="CX13" s="157" t="e">
        <f t="shared" si="6"/>
        <v>#DIV/0!</v>
      </c>
      <c r="CY13" s="157" t="e">
        <f t="shared" si="7"/>
        <v>#DIV/0!</v>
      </c>
      <c r="CZ13" s="157" t="e">
        <f t="shared" si="8"/>
        <v>#DIV/0!</v>
      </c>
      <c r="DA13" s="157" t="e">
        <f t="shared" si="9"/>
        <v>#DIV/0!</v>
      </c>
      <c r="DB13" s="158" t="e">
        <f t="shared" si="10"/>
        <v>#DIV/0!</v>
      </c>
      <c r="DC13" s="131"/>
      <c r="DD13" s="159">
        <f t="shared" si="11"/>
        <v>0</v>
      </c>
      <c r="DE13" s="160">
        <f t="shared" si="12"/>
        <v>0</v>
      </c>
      <c r="DF13" s="161">
        <f t="shared" si="13"/>
        <v>0</v>
      </c>
      <c r="DG13" s="162" t="e">
        <f t="shared" si="14"/>
        <v>#DIV/0!</v>
      </c>
      <c r="DH13" s="163">
        <f t="shared" si="15"/>
        <v>0</v>
      </c>
      <c r="DI13" s="164"/>
      <c r="DJ13" s="165">
        <f t="shared" si="16"/>
        <v>0</v>
      </c>
      <c r="DK13" s="166">
        <f t="shared" si="16"/>
        <v>0</v>
      </c>
      <c r="DL13" s="167" t="e">
        <f t="shared" si="17"/>
        <v>#DIV/0!</v>
      </c>
      <c r="DM13" s="168" t="e">
        <f t="shared" si="18"/>
        <v>#DIV/0!</v>
      </c>
      <c r="DN13" s="163" t="e">
        <f t="shared" si="19"/>
        <v>#DIV/0!</v>
      </c>
      <c r="DO13" s="169"/>
      <c r="DP13" s="170"/>
      <c r="DQ13" s="171"/>
      <c r="DR13" s="172">
        <f t="shared" si="20"/>
        <v>0</v>
      </c>
      <c r="DS13" s="173" t="e">
        <f t="shared" si="21"/>
        <v>#DIV/0!</v>
      </c>
      <c r="DT13" s="163" t="e">
        <f t="shared" si="22"/>
        <v>#DIV/0!</v>
      </c>
      <c r="DU13" s="174"/>
      <c r="DV13" s="175" t="e">
        <f t="shared" si="23"/>
        <v>#DIV/0!</v>
      </c>
      <c r="DW13" s="163">
        <f t="shared" si="24"/>
        <v>0</v>
      </c>
      <c r="DX13" s="164"/>
      <c r="DY13" s="176">
        <f t="shared" si="25"/>
        <v>0</v>
      </c>
      <c r="DZ13" s="177">
        <f t="shared" si="26"/>
        <v>0</v>
      </c>
      <c r="EA13" s="178">
        <f t="shared" si="27"/>
        <v>0</v>
      </c>
      <c r="EB13" s="179">
        <f t="shared" si="28"/>
        <v>0</v>
      </c>
      <c r="EC13" s="180"/>
      <c r="ED13" s="175" t="e">
        <f t="shared" si="29"/>
        <v>#DIV/0!</v>
      </c>
      <c r="EE13" s="163">
        <f t="shared" si="30"/>
        <v>0</v>
      </c>
      <c r="EF13" s="164"/>
      <c r="EG13" s="181">
        <f t="shared" si="31"/>
        <v>0</v>
      </c>
      <c r="EH13" s="182">
        <f t="shared" si="32"/>
        <v>0</v>
      </c>
      <c r="EI13" s="182">
        <f t="shared" si="33"/>
        <v>0</v>
      </c>
      <c r="EJ13" s="182">
        <f t="shared" si="34"/>
        <v>0</v>
      </c>
      <c r="EK13" s="183">
        <f t="shared" si="35"/>
        <v>0</v>
      </c>
      <c r="EL13" s="184" t="e">
        <f t="shared" si="36"/>
        <v>#DIV/0!</v>
      </c>
      <c r="EM13" s="185">
        <f t="shared" si="37"/>
        <v>0</v>
      </c>
      <c r="EN13" s="164"/>
      <c r="EO13" s="181">
        <f t="shared" si="38"/>
        <v>0</v>
      </c>
      <c r="EP13" s="183">
        <f t="shared" si="39"/>
        <v>0</v>
      </c>
      <c r="EQ13" s="184" t="e">
        <f t="shared" si="40"/>
        <v>#DIV/0!</v>
      </c>
      <c r="ER13" s="185">
        <f t="shared" si="41"/>
        <v>0</v>
      </c>
      <c r="ES13" s="164"/>
      <c r="ET13" s="164"/>
      <c r="EU13" s="186">
        <f t="shared" si="42"/>
        <v>0</v>
      </c>
      <c r="EV13" s="186">
        <f t="shared" si="43"/>
        <v>0</v>
      </c>
      <c r="EW13" s="186">
        <f t="shared" si="44"/>
        <v>0</v>
      </c>
      <c r="EX13" s="186">
        <f t="shared" si="45"/>
        <v>0</v>
      </c>
      <c r="EY13" s="131"/>
      <c r="EZ13" s="187">
        <f t="shared" si="46"/>
        <v>0</v>
      </c>
      <c r="FA13" s="188" t="e">
        <f t="shared" si="47"/>
        <v>#DIV/0!</v>
      </c>
      <c r="FB13" s="189"/>
      <c r="FC13" s="131"/>
      <c r="FD13" s="131"/>
      <c r="FE13" s="131"/>
      <c r="FF13" s="131"/>
      <c r="FG13" s="131"/>
    </row>
    <row r="14" spans="2:172" ht="16" outlineLevel="1" thickBot="1" x14ac:dyDescent="0.4">
      <c r="B14" s="356"/>
      <c r="C14" s="353"/>
      <c r="D14" s="133"/>
      <c r="E14" s="134"/>
      <c r="F14" s="135"/>
      <c r="G14" s="136"/>
      <c r="H14" s="137"/>
      <c r="I14" s="138">
        <f t="shared" si="0"/>
        <v>0</v>
      </c>
      <c r="J14" s="139"/>
      <c r="K14" s="140">
        <f>E14*60</f>
        <v>0</v>
      </c>
      <c r="L14" s="141"/>
      <c r="M14" s="142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2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4"/>
      <c r="AN14" s="145">
        <f t="shared" si="2"/>
        <v>0</v>
      </c>
      <c r="AO14" s="146"/>
      <c r="AP14" s="147">
        <f t="shared" si="3"/>
        <v>0</v>
      </c>
      <c r="AQ14" s="148"/>
      <c r="AR14" s="149"/>
      <c r="AS14" s="149"/>
      <c r="AT14" s="135"/>
      <c r="AU14" s="150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0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4"/>
      <c r="CD14" s="150"/>
      <c r="CE14" s="142"/>
      <c r="CF14" s="143"/>
      <c r="CG14" s="143"/>
      <c r="CH14" s="143"/>
      <c r="CI14" s="143"/>
      <c r="CJ14" s="143"/>
      <c r="CK14" s="143"/>
      <c r="CL14" s="143"/>
      <c r="CM14" s="143"/>
      <c r="CN14" s="143"/>
      <c r="CO14" s="346"/>
      <c r="CP14" s="151"/>
      <c r="CQ14" s="152"/>
      <c r="CR14" s="154"/>
      <c r="CS14" s="155">
        <f t="shared" si="48"/>
        <v>0</v>
      </c>
      <c r="CT14" s="146"/>
      <c r="CU14" s="147">
        <f t="shared" si="4"/>
        <v>0</v>
      </c>
      <c r="CV14" s="156"/>
      <c r="CW14" s="157" t="e">
        <f t="shared" si="5"/>
        <v>#DIV/0!</v>
      </c>
      <c r="CX14" s="157" t="e">
        <f t="shared" si="6"/>
        <v>#DIV/0!</v>
      </c>
      <c r="CY14" s="157" t="e">
        <f t="shared" si="7"/>
        <v>#DIV/0!</v>
      </c>
      <c r="CZ14" s="157" t="e">
        <f t="shared" si="8"/>
        <v>#DIV/0!</v>
      </c>
      <c r="DA14" s="157" t="e">
        <f t="shared" si="9"/>
        <v>#DIV/0!</v>
      </c>
      <c r="DB14" s="158" t="e">
        <f t="shared" si="10"/>
        <v>#DIV/0!</v>
      </c>
      <c r="DC14" s="131"/>
      <c r="DD14" s="159">
        <f t="shared" si="11"/>
        <v>0</v>
      </c>
      <c r="DE14" s="160">
        <f t="shared" si="12"/>
        <v>0</v>
      </c>
      <c r="DF14" s="161">
        <f t="shared" si="13"/>
        <v>0</v>
      </c>
      <c r="DG14" s="162" t="e">
        <f t="shared" si="14"/>
        <v>#DIV/0!</v>
      </c>
      <c r="DH14" s="163">
        <f t="shared" si="15"/>
        <v>0</v>
      </c>
      <c r="DI14" s="164"/>
      <c r="DJ14" s="165">
        <f t="shared" si="16"/>
        <v>0</v>
      </c>
      <c r="DK14" s="166">
        <f t="shared" si="16"/>
        <v>0</v>
      </c>
      <c r="DL14" s="167" t="e">
        <f t="shared" si="17"/>
        <v>#DIV/0!</v>
      </c>
      <c r="DM14" s="168" t="e">
        <f t="shared" si="18"/>
        <v>#DIV/0!</v>
      </c>
      <c r="DN14" s="163" t="e">
        <f t="shared" si="19"/>
        <v>#DIV/0!</v>
      </c>
      <c r="DO14" s="169"/>
      <c r="DP14" s="170"/>
      <c r="DQ14" s="171"/>
      <c r="DR14" s="172">
        <f t="shared" si="20"/>
        <v>0</v>
      </c>
      <c r="DS14" s="173" t="e">
        <f t="shared" si="21"/>
        <v>#DIV/0!</v>
      </c>
      <c r="DT14" s="163" t="e">
        <f t="shared" si="22"/>
        <v>#DIV/0!</v>
      </c>
      <c r="DU14" s="174"/>
      <c r="DV14" s="175" t="e">
        <f t="shared" si="23"/>
        <v>#DIV/0!</v>
      </c>
      <c r="DW14" s="163">
        <f t="shared" si="24"/>
        <v>0</v>
      </c>
      <c r="DX14" s="164"/>
      <c r="DY14" s="176">
        <f t="shared" si="25"/>
        <v>0</v>
      </c>
      <c r="DZ14" s="177">
        <f t="shared" si="26"/>
        <v>0</v>
      </c>
      <c r="EA14" s="178">
        <f t="shared" si="27"/>
        <v>0</v>
      </c>
      <c r="EB14" s="179">
        <f t="shared" si="28"/>
        <v>0</v>
      </c>
      <c r="EC14" s="180"/>
      <c r="ED14" s="175" t="e">
        <f t="shared" si="29"/>
        <v>#DIV/0!</v>
      </c>
      <c r="EE14" s="163">
        <f t="shared" si="30"/>
        <v>0</v>
      </c>
      <c r="EF14" s="164"/>
      <c r="EG14" s="181">
        <f t="shared" si="31"/>
        <v>0</v>
      </c>
      <c r="EH14" s="182">
        <f t="shared" si="32"/>
        <v>0</v>
      </c>
      <c r="EI14" s="182">
        <f t="shared" si="33"/>
        <v>0</v>
      </c>
      <c r="EJ14" s="182">
        <f t="shared" si="34"/>
        <v>0</v>
      </c>
      <c r="EK14" s="183">
        <f t="shared" si="35"/>
        <v>0</v>
      </c>
      <c r="EL14" s="184" t="e">
        <f t="shared" si="36"/>
        <v>#DIV/0!</v>
      </c>
      <c r="EM14" s="185">
        <f t="shared" si="37"/>
        <v>0</v>
      </c>
      <c r="EN14" s="164"/>
      <c r="EO14" s="181">
        <f t="shared" si="38"/>
        <v>0</v>
      </c>
      <c r="EP14" s="183">
        <f t="shared" si="39"/>
        <v>0</v>
      </c>
      <c r="EQ14" s="184" t="e">
        <f t="shared" si="40"/>
        <v>#DIV/0!</v>
      </c>
      <c r="ER14" s="185">
        <f t="shared" si="41"/>
        <v>0</v>
      </c>
      <c r="ES14" s="164"/>
      <c r="ET14" s="164"/>
      <c r="EU14" s="186">
        <f t="shared" si="42"/>
        <v>0</v>
      </c>
      <c r="EV14" s="186">
        <f t="shared" si="43"/>
        <v>0</v>
      </c>
      <c r="EW14" s="186">
        <f t="shared" si="44"/>
        <v>0</v>
      </c>
      <c r="EX14" s="186">
        <f t="shared" si="45"/>
        <v>0</v>
      </c>
      <c r="EY14" s="131"/>
      <c r="EZ14" s="187">
        <f t="shared" si="46"/>
        <v>0</v>
      </c>
      <c r="FA14" s="188" t="e">
        <f t="shared" si="47"/>
        <v>#DIV/0!</v>
      </c>
      <c r="FB14" s="189"/>
      <c r="FC14" s="131"/>
      <c r="FD14" s="131"/>
      <c r="FE14" s="131"/>
      <c r="FF14" s="131"/>
      <c r="FG14" s="131"/>
    </row>
    <row r="15" spans="2:172" ht="16" outlineLevel="1" thickBot="1" x14ac:dyDescent="0.4">
      <c r="B15" s="357"/>
      <c r="C15" s="354"/>
      <c r="D15" s="240"/>
      <c r="E15" s="241"/>
      <c r="F15" s="135"/>
      <c r="G15" s="192"/>
      <c r="H15" s="242"/>
      <c r="I15" s="138">
        <f t="shared" si="0"/>
        <v>0</v>
      </c>
      <c r="J15" s="139"/>
      <c r="K15" s="193">
        <f t="shared" ref="K15:K55" si="49">E15*60</f>
        <v>0</v>
      </c>
      <c r="L15" s="141"/>
      <c r="M15" s="194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4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6"/>
      <c r="AN15" s="197">
        <f t="shared" si="2"/>
        <v>0</v>
      </c>
      <c r="AO15" s="146"/>
      <c r="AP15" s="147">
        <f t="shared" si="3"/>
        <v>0</v>
      </c>
      <c r="AQ15" s="148"/>
      <c r="AR15" s="198"/>
      <c r="AS15" s="198"/>
      <c r="AT15" s="135"/>
      <c r="AU15" s="199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199"/>
      <c r="BS15" s="200"/>
      <c r="BT15" s="200"/>
      <c r="BU15" s="200"/>
      <c r="BV15" s="200"/>
      <c r="BW15" s="200"/>
      <c r="BX15" s="200"/>
      <c r="BY15" s="200"/>
      <c r="BZ15" s="200"/>
      <c r="CA15" s="200"/>
      <c r="CB15" s="200"/>
      <c r="CC15" s="202"/>
      <c r="CD15" s="199"/>
      <c r="CE15" s="194"/>
      <c r="CF15" s="195"/>
      <c r="CG15" s="195"/>
      <c r="CH15" s="195"/>
      <c r="CI15" s="195"/>
      <c r="CJ15" s="195"/>
      <c r="CK15" s="195"/>
      <c r="CL15" s="195"/>
      <c r="CM15" s="195"/>
      <c r="CN15" s="195"/>
      <c r="CO15" s="347"/>
      <c r="CP15" s="200"/>
      <c r="CQ15" s="201"/>
      <c r="CR15" s="202"/>
      <c r="CS15" s="203">
        <f t="shared" si="48"/>
        <v>0</v>
      </c>
      <c r="CT15" s="146"/>
      <c r="CU15" s="147">
        <f t="shared" si="4"/>
        <v>0</v>
      </c>
      <c r="CV15" s="156"/>
      <c r="CW15" s="157" t="e">
        <f t="shared" si="5"/>
        <v>#DIV/0!</v>
      </c>
      <c r="CX15" s="157" t="e">
        <f t="shared" si="6"/>
        <v>#DIV/0!</v>
      </c>
      <c r="CY15" s="157" t="e">
        <f t="shared" si="7"/>
        <v>#DIV/0!</v>
      </c>
      <c r="CZ15" s="157" t="e">
        <f t="shared" si="8"/>
        <v>#DIV/0!</v>
      </c>
      <c r="DA15" s="157" t="e">
        <f t="shared" si="9"/>
        <v>#DIV/0!</v>
      </c>
      <c r="DB15" s="158" t="e">
        <f t="shared" si="10"/>
        <v>#DIV/0!</v>
      </c>
      <c r="DC15" s="131"/>
      <c r="DD15" s="159">
        <f t="shared" si="11"/>
        <v>0</v>
      </c>
      <c r="DE15" s="160">
        <f t="shared" si="12"/>
        <v>0</v>
      </c>
      <c r="DF15" s="161">
        <f t="shared" si="13"/>
        <v>0</v>
      </c>
      <c r="DG15" s="162" t="e">
        <f t="shared" si="14"/>
        <v>#DIV/0!</v>
      </c>
      <c r="DH15" s="163">
        <f t="shared" si="15"/>
        <v>0</v>
      </c>
      <c r="DI15" s="164"/>
      <c r="DJ15" s="165">
        <f t="shared" si="16"/>
        <v>0</v>
      </c>
      <c r="DK15" s="166">
        <v>0</v>
      </c>
      <c r="DL15" s="167" t="e">
        <f t="shared" si="17"/>
        <v>#DIV/0!</v>
      </c>
      <c r="DM15" s="168" t="e">
        <f t="shared" si="18"/>
        <v>#DIV/0!</v>
      </c>
      <c r="DN15" s="163" t="e">
        <f t="shared" si="19"/>
        <v>#DIV/0!</v>
      </c>
      <c r="DO15" s="169"/>
      <c r="DP15" s="170"/>
      <c r="DQ15" s="171"/>
      <c r="DR15" s="172">
        <f t="shared" si="20"/>
        <v>0</v>
      </c>
      <c r="DS15" s="173" t="e">
        <f t="shared" si="21"/>
        <v>#DIV/0!</v>
      </c>
      <c r="DT15" s="163" t="e">
        <f t="shared" si="22"/>
        <v>#DIV/0!</v>
      </c>
      <c r="DU15" s="174"/>
      <c r="DV15" s="175" t="e">
        <f t="shared" si="23"/>
        <v>#DIV/0!</v>
      </c>
      <c r="DW15" s="163">
        <f t="shared" si="24"/>
        <v>0</v>
      </c>
      <c r="DX15" s="164"/>
      <c r="DY15" s="176">
        <f t="shared" si="25"/>
        <v>0</v>
      </c>
      <c r="DZ15" s="177">
        <f t="shared" si="26"/>
        <v>0</v>
      </c>
      <c r="EA15" s="178">
        <f t="shared" si="27"/>
        <v>0</v>
      </c>
      <c r="EB15" s="179">
        <f t="shared" si="28"/>
        <v>0</v>
      </c>
      <c r="EC15" s="180"/>
      <c r="ED15" s="175" t="e">
        <f t="shared" si="29"/>
        <v>#DIV/0!</v>
      </c>
      <c r="EE15" s="163">
        <f t="shared" si="30"/>
        <v>0</v>
      </c>
      <c r="EF15" s="164"/>
      <c r="EG15" s="181">
        <f t="shared" si="31"/>
        <v>0</v>
      </c>
      <c r="EH15" s="182">
        <f t="shared" si="32"/>
        <v>0</v>
      </c>
      <c r="EI15" s="182">
        <f t="shared" si="33"/>
        <v>0</v>
      </c>
      <c r="EJ15" s="182">
        <f t="shared" si="34"/>
        <v>0</v>
      </c>
      <c r="EK15" s="183">
        <f t="shared" si="35"/>
        <v>0</v>
      </c>
      <c r="EL15" s="184" t="e">
        <f t="shared" si="36"/>
        <v>#DIV/0!</v>
      </c>
      <c r="EM15" s="185">
        <f t="shared" si="37"/>
        <v>0</v>
      </c>
      <c r="EN15" s="164"/>
      <c r="EO15" s="181">
        <f t="shared" si="38"/>
        <v>0</v>
      </c>
      <c r="EP15" s="183">
        <f t="shared" si="39"/>
        <v>0</v>
      </c>
      <c r="EQ15" s="184" t="e">
        <f t="shared" si="40"/>
        <v>#DIV/0!</v>
      </c>
      <c r="ER15" s="185">
        <f t="shared" si="41"/>
        <v>0</v>
      </c>
      <c r="ES15" s="164"/>
      <c r="ET15" s="164"/>
      <c r="EU15" s="186">
        <f t="shared" si="42"/>
        <v>0</v>
      </c>
      <c r="EV15" s="186">
        <f t="shared" si="43"/>
        <v>0</v>
      </c>
      <c r="EW15" s="186">
        <f t="shared" si="44"/>
        <v>0</v>
      </c>
      <c r="EX15" s="186">
        <f t="shared" si="45"/>
        <v>0</v>
      </c>
      <c r="EY15" s="131"/>
      <c r="EZ15" s="187">
        <f t="shared" si="46"/>
        <v>0</v>
      </c>
      <c r="FA15" s="188" t="e">
        <f t="shared" si="47"/>
        <v>#DIV/0!</v>
      </c>
      <c r="FB15" s="189"/>
      <c r="FC15" s="131"/>
      <c r="FD15" s="131"/>
      <c r="FE15" s="131"/>
      <c r="FF15" s="131"/>
      <c r="FG15" s="131"/>
    </row>
    <row r="16" spans="2:172" ht="16" outlineLevel="1" thickBot="1" x14ac:dyDescent="0.4">
      <c r="B16" s="358"/>
      <c r="C16" s="355"/>
      <c r="D16" s="243"/>
      <c r="E16" s="244"/>
      <c r="F16" s="135"/>
      <c r="G16" s="192"/>
      <c r="H16" s="245"/>
      <c r="I16" s="138">
        <f t="shared" si="0"/>
        <v>0</v>
      </c>
      <c r="J16" s="139"/>
      <c r="K16" s="208">
        <f t="shared" si="49"/>
        <v>0</v>
      </c>
      <c r="L16" s="141"/>
      <c r="M16" s="209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09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1"/>
      <c r="AN16" s="212">
        <f t="shared" si="2"/>
        <v>0</v>
      </c>
      <c r="AO16" s="146"/>
      <c r="AP16" s="147">
        <f t="shared" si="3"/>
        <v>0</v>
      </c>
      <c r="AQ16" s="148"/>
      <c r="AR16" s="213"/>
      <c r="AS16" s="213"/>
      <c r="AT16" s="135"/>
      <c r="AU16" s="214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6"/>
      <c r="BG16" s="216"/>
      <c r="BH16" s="216"/>
      <c r="BI16" s="216"/>
      <c r="BJ16" s="216"/>
      <c r="BK16" s="216"/>
      <c r="BL16" s="216"/>
      <c r="BM16" s="216"/>
      <c r="BN16" s="216"/>
      <c r="BO16" s="216"/>
      <c r="BP16" s="216"/>
      <c r="BQ16" s="216"/>
      <c r="BR16" s="214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7"/>
      <c r="CD16" s="214"/>
      <c r="CE16" s="209"/>
      <c r="CF16" s="210"/>
      <c r="CG16" s="210"/>
      <c r="CH16" s="210"/>
      <c r="CI16" s="210"/>
      <c r="CJ16" s="210"/>
      <c r="CK16" s="210"/>
      <c r="CL16" s="210"/>
      <c r="CM16" s="210"/>
      <c r="CN16" s="210"/>
      <c r="CO16" s="348"/>
      <c r="CP16" s="215"/>
      <c r="CQ16" s="216"/>
      <c r="CR16" s="217"/>
      <c r="CS16" s="218">
        <f t="shared" si="48"/>
        <v>0</v>
      </c>
      <c r="CT16" s="146"/>
      <c r="CU16" s="147">
        <f t="shared" si="4"/>
        <v>0</v>
      </c>
      <c r="CV16" s="156"/>
      <c r="CW16" s="157" t="e">
        <f t="shared" si="5"/>
        <v>#DIV/0!</v>
      </c>
      <c r="CX16" s="157" t="e">
        <f t="shared" si="6"/>
        <v>#DIV/0!</v>
      </c>
      <c r="CY16" s="157" t="e">
        <f t="shared" si="7"/>
        <v>#DIV/0!</v>
      </c>
      <c r="CZ16" s="157" t="e">
        <f t="shared" si="8"/>
        <v>#DIV/0!</v>
      </c>
      <c r="DA16" s="157" t="e">
        <f t="shared" si="9"/>
        <v>#DIV/0!</v>
      </c>
      <c r="DB16" s="158" t="e">
        <f t="shared" si="10"/>
        <v>#DIV/0!</v>
      </c>
      <c r="DC16" s="131"/>
      <c r="DD16" s="159">
        <f t="shared" si="11"/>
        <v>0</v>
      </c>
      <c r="DE16" s="160">
        <f t="shared" si="12"/>
        <v>0</v>
      </c>
      <c r="DF16" s="161">
        <f t="shared" si="13"/>
        <v>0</v>
      </c>
      <c r="DG16" s="162" t="e">
        <f t="shared" si="14"/>
        <v>#DIV/0!</v>
      </c>
      <c r="DH16" s="163">
        <f t="shared" si="15"/>
        <v>0</v>
      </c>
      <c r="DI16" s="164"/>
      <c r="DJ16" s="165">
        <f t="shared" si="16"/>
        <v>0</v>
      </c>
      <c r="DK16" s="166">
        <f t="shared" si="16"/>
        <v>0</v>
      </c>
      <c r="DL16" s="167" t="e">
        <f t="shared" si="17"/>
        <v>#DIV/0!</v>
      </c>
      <c r="DM16" s="168" t="e">
        <f t="shared" si="18"/>
        <v>#DIV/0!</v>
      </c>
      <c r="DN16" s="163" t="e">
        <f t="shared" si="19"/>
        <v>#DIV/0!</v>
      </c>
      <c r="DO16" s="169"/>
      <c r="DP16" s="170"/>
      <c r="DQ16" s="171"/>
      <c r="DR16" s="172">
        <f t="shared" si="20"/>
        <v>0</v>
      </c>
      <c r="DS16" s="173" t="e">
        <f t="shared" si="21"/>
        <v>#DIV/0!</v>
      </c>
      <c r="DT16" s="163" t="e">
        <f t="shared" si="22"/>
        <v>#DIV/0!</v>
      </c>
      <c r="DU16" s="174"/>
      <c r="DV16" s="175" t="e">
        <f t="shared" si="23"/>
        <v>#DIV/0!</v>
      </c>
      <c r="DW16" s="163">
        <f t="shared" si="24"/>
        <v>0</v>
      </c>
      <c r="DX16" s="164"/>
      <c r="DY16" s="176">
        <f t="shared" si="25"/>
        <v>0</v>
      </c>
      <c r="DZ16" s="177">
        <f t="shared" si="26"/>
        <v>0</v>
      </c>
      <c r="EA16" s="178">
        <f t="shared" si="27"/>
        <v>0</v>
      </c>
      <c r="EB16" s="179">
        <f t="shared" si="28"/>
        <v>0</v>
      </c>
      <c r="EC16" s="180"/>
      <c r="ED16" s="175" t="e">
        <f t="shared" si="29"/>
        <v>#DIV/0!</v>
      </c>
      <c r="EE16" s="163">
        <f t="shared" si="30"/>
        <v>0</v>
      </c>
      <c r="EF16" s="164"/>
      <c r="EG16" s="181">
        <f t="shared" si="31"/>
        <v>0</v>
      </c>
      <c r="EH16" s="182">
        <f t="shared" si="32"/>
        <v>0</v>
      </c>
      <c r="EI16" s="182">
        <f t="shared" si="33"/>
        <v>0</v>
      </c>
      <c r="EJ16" s="182">
        <f t="shared" si="34"/>
        <v>0</v>
      </c>
      <c r="EK16" s="183">
        <f t="shared" si="35"/>
        <v>0</v>
      </c>
      <c r="EL16" s="184" t="e">
        <f t="shared" si="36"/>
        <v>#DIV/0!</v>
      </c>
      <c r="EM16" s="185">
        <f t="shared" si="37"/>
        <v>0</v>
      </c>
      <c r="EN16" s="164"/>
      <c r="EO16" s="181">
        <f t="shared" si="38"/>
        <v>0</v>
      </c>
      <c r="EP16" s="183">
        <f t="shared" si="39"/>
        <v>0</v>
      </c>
      <c r="EQ16" s="184" t="e">
        <f t="shared" si="40"/>
        <v>#DIV/0!</v>
      </c>
      <c r="ER16" s="185">
        <f t="shared" si="41"/>
        <v>0</v>
      </c>
      <c r="ES16" s="164"/>
      <c r="ET16" s="164"/>
      <c r="EU16" s="186">
        <f t="shared" si="42"/>
        <v>0</v>
      </c>
      <c r="EV16" s="186">
        <f t="shared" si="43"/>
        <v>0</v>
      </c>
      <c r="EW16" s="186">
        <f t="shared" si="44"/>
        <v>0</v>
      </c>
      <c r="EX16" s="186">
        <f t="shared" si="45"/>
        <v>0</v>
      </c>
      <c r="EY16" s="131"/>
      <c r="EZ16" s="187">
        <f t="shared" si="46"/>
        <v>0</v>
      </c>
      <c r="FA16" s="188" t="e">
        <f t="shared" si="47"/>
        <v>#DIV/0!</v>
      </c>
      <c r="FB16" s="189"/>
      <c r="FC16" s="219"/>
      <c r="FD16" s="219"/>
      <c r="FE16" s="131"/>
      <c r="FF16" s="131"/>
      <c r="FG16" s="131"/>
    </row>
    <row r="17" spans="1:163" s="220" customFormat="1" ht="16" outlineLevel="1" thickBot="1" x14ac:dyDescent="0.4">
      <c r="B17" s="356"/>
      <c r="C17" s="353"/>
      <c r="D17" s="133"/>
      <c r="E17" s="134"/>
      <c r="F17" s="135"/>
      <c r="G17" s="136"/>
      <c r="H17" s="137"/>
      <c r="I17" s="138">
        <f t="shared" si="0"/>
        <v>0</v>
      </c>
      <c r="J17" s="139"/>
      <c r="K17" s="140">
        <f t="shared" si="49"/>
        <v>0</v>
      </c>
      <c r="L17" s="141"/>
      <c r="M17" s="142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2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4"/>
      <c r="AN17" s="145">
        <f t="shared" si="2"/>
        <v>0</v>
      </c>
      <c r="AO17" s="146"/>
      <c r="AP17" s="147">
        <f t="shared" si="3"/>
        <v>0</v>
      </c>
      <c r="AQ17" s="221"/>
      <c r="AR17" s="149"/>
      <c r="AS17" s="149"/>
      <c r="AT17" s="222"/>
      <c r="AU17" s="223"/>
      <c r="AV17" s="224"/>
      <c r="AW17" s="224"/>
      <c r="AX17" s="224"/>
      <c r="AY17" s="224"/>
      <c r="AZ17" s="224"/>
      <c r="BA17" s="224"/>
      <c r="BB17" s="224"/>
      <c r="BC17" s="224"/>
      <c r="BD17" s="224"/>
      <c r="BE17" s="224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3"/>
      <c r="BS17" s="224"/>
      <c r="BT17" s="224"/>
      <c r="BU17" s="224"/>
      <c r="BV17" s="224"/>
      <c r="BW17" s="224"/>
      <c r="BX17" s="224"/>
      <c r="BY17" s="224"/>
      <c r="BZ17" s="224"/>
      <c r="CA17" s="224"/>
      <c r="CB17" s="224"/>
      <c r="CC17" s="226"/>
      <c r="CD17" s="223"/>
      <c r="CE17" s="142"/>
      <c r="CF17" s="143"/>
      <c r="CG17" s="143"/>
      <c r="CH17" s="143"/>
      <c r="CI17" s="143"/>
      <c r="CJ17" s="143"/>
      <c r="CK17" s="143"/>
      <c r="CL17" s="143"/>
      <c r="CM17" s="143"/>
      <c r="CN17" s="143"/>
      <c r="CO17" s="349"/>
      <c r="CP17" s="224"/>
      <c r="CQ17" s="225"/>
      <c r="CR17" s="226"/>
      <c r="CS17" s="227">
        <f t="shared" si="48"/>
        <v>0</v>
      </c>
      <c r="CT17" s="146"/>
      <c r="CU17" s="147">
        <f t="shared" si="4"/>
        <v>0</v>
      </c>
      <c r="CV17" s="156"/>
      <c r="CW17" s="157" t="e">
        <f t="shared" si="5"/>
        <v>#DIV/0!</v>
      </c>
      <c r="CX17" s="157" t="e">
        <f t="shared" si="6"/>
        <v>#DIV/0!</v>
      </c>
      <c r="CY17" s="157" t="e">
        <f t="shared" si="7"/>
        <v>#DIV/0!</v>
      </c>
      <c r="CZ17" s="157" t="e">
        <f t="shared" si="8"/>
        <v>#DIV/0!</v>
      </c>
      <c r="DA17" s="157" t="e">
        <f t="shared" si="9"/>
        <v>#DIV/0!</v>
      </c>
      <c r="DB17" s="158" t="e">
        <f t="shared" si="10"/>
        <v>#DIV/0!</v>
      </c>
      <c r="DC17" s="131"/>
      <c r="DD17" s="159">
        <f t="shared" si="11"/>
        <v>0</v>
      </c>
      <c r="DE17" s="160">
        <f t="shared" si="12"/>
        <v>0</v>
      </c>
      <c r="DF17" s="161">
        <f t="shared" si="13"/>
        <v>0</v>
      </c>
      <c r="DG17" s="162" t="e">
        <f t="shared" si="14"/>
        <v>#DIV/0!</v>
      </c>
      <c r="DH17" s="163">
        <f t="shared" si="15"/>
        <v>0</v>
      </c>
      <c r="DI17" s="164"/>
      <c r="DJ17" s="165">
        <f t="shared" si="16"/>
        <v>0</v>
      </c>
      <c r="DK17" s="166">
        <f t="shared" si="16"/>
        <v>0</v>
      </c>
      <c r="DL17" s="167" t="e">
        <f t="shared" si="17"/>
        <v>#DIV/0!</v>
      </c>
      <c r="DM17" s="168" t="e">
        <f t="shared" si="18"/>
        <v>#DIV/0!</v>
      </c>
      <c r="DN17" s="163" t="e">
        <f t="shared" si="19"/>
        <v>#DIV/0!</v>
      </c>
      <c r="DO17" s="169"/>
      <c r="DP17" s="170"/>
      <c r="DQ17" s="171"/>
      <c r="DR17" s="172">
        <f t="shared" si="20"/>
        <v>0</v>
      </c>
      <c r="DS17" s="173" t="e">
        <f t="shared" si="21"/>
        <v>#DIV/0!</v>
      </c>
      <c r="DT17" s="163" t="e">
        <f t="shared" si="22"/>
        <v>#DIV/0!</v>
      </c>
      <c r="DU17" s="174"/>
      <c r="DV17" s="175" t="e">
        <f t="shared" si="23"/>
        <v>#DIV/0!</v>
      </c>
      <c r="DW17" s="163">
        <f t="shared" si="24"/>
        <v>0</v>
      </c>
      <c r="DX17" s="164"/>
      <c r="DY17" s="176">
        <f t="shared" si="25"/>
        <v>0</v>
      </c>
      <c r="DZ17" s="177">
        <f t="shared" si="26"/>
        <v>0</v>
      </c>
      <c r="EA17" s="178">
        <f t="shared" si="27"/>
        <v>0</v>
      </c>
      <c r="EB17" s="179">
        <f t="shared" si="28"/>
        <v>0</v>
      </c>
      <c r="EC17" s="180"/>
      <c r="ED17" s="175" t="e">
        <f t="shared" si="29"/>
        <v>#DIV/0!</v>
      </c>
      <c r="EE17" s="163">
        <f t="shared" si="30"/>
        <v>0</v>
      </c>
      <c r="EF17" s="164"/>
      <c r="EG17" s="181">
        <f t="shared" si="31"/>
        <v>0</v>
      </c>
      <c r="EH17" s="182">
        <f t="shared" si="32"/>
        <v>0</v>
      </c>
      <c r="EI17" s="182">
        <f t="shared" si="33"/>
        <v>0</v>
      </c>
      <c r="EJ17" s="182">
        <f t="shared" si="34"/>
        <v>0</v>
      </c>
      <c r="EK17" s="183">
        <f t="shared" si="35"/>
        <v>0</v>
      </c>
      <c r="EL17" s="184" t="e">
        <f t="shared" si="36"/>
        <v>#DIV/0!</v>
      </c>
      <c r="EM17" s="185">
        <f t="shared" si="37"/>
        <v>0</v>
      </c>
      <c r="EN17" s="164"/>
      <c r="EO17" s="181">
        <f t="shared" si="38"/>
        <v>0</v>
      </c>
      <c r="EP17" s="183">
        <f t="shared" si="39"/>
        <v>0</v>
      </c>
      <c r="EQ17" s="184" t="e">
        <f t="shared" si="40"/>
        <v>#DIV/0!</v>
      </c>
      <c r="ER17" s="185">
        <f t="shared" si="41"/>
        <v>0</v>
      </c>
      <c r="ES17" s="164"/>
      <c r="ET17" s="164"/>
      <c r="EU17" s="186">
        <f t="shared" si="42"/>
        <v>0</v>
      </c>
      <c r="EV17" s="186">
        <f t="shared" si="43"/>
        <v>0</v>
      </c>
      <c r="EW17" s="186">
        <f t="shared" si="44"/>
        <v>0</v>
      </c>
      <c r="EX17" s="186">
        <f t="shared" si="45"/>
        <v>0</v>
      </c>
      <c r="EY17" s="131"/>
      <c r="EZ17" s="187">
        <f t="shared" si="46"/>
        <v>0</v>
      </c>
      <c r="FA17" s="188" t="e">
        <f t="shared" si="47"/>
        <v>#DIV/0!</v>
      </c>
      <c r="FB17" s="189"/>
      <c r="FC17" s="219"/>
      <c r="FD17" s="219"/>
      <c r="FE17" s="219"/>
      <c r="FF17" s="219"/>
      <c r="FG17" s="219"/>
    </row>
    <row r="18" spans="1:163" s="220" customFormat="1" ht="16" outlineLevel="1" thickBot="1" x14ac:dyDescent="0.4">
      <c r="B18" s="357"/>
      <c r="C18" s="354"/>
      <c r="D18" s="190"/>
      <c r="E18" s="191"/>
      <c r="F18" s="135"/>
      <c r="G18" s="192"/>
      <c r="H18" s="137"/>
      <c r="I18" s="138">
        <f t="shared" si="0"/>
        <v>0</v>
      </c>
      <c r="J18" s="139"/>
      <c r="K18" s="193">
        <f t="shared" si="49"/>
        <v>0</v>
      </c>
      <c r="L18" s="141"/>
      <c r="M18" s="194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4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6"/>
      <c r="AN18" s="197">
        <f>SUM(M18:AM18)</f>
        <v>0</v>
      </c>
      <c r="AO18" s="146"/>
      <c r="AP18" s="147">
        <f>K18-AN18</f>
        <v>0</v>
      </c>
      <c r="AQ18" s="221"/>
      <c r="AR18" s="198"/>
      <c r="AS18" s="198"/>
      <c r="AT18" s="222"/>
      <c r="AU18" s="228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01"/>
      <c r="BR18" s="228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31"/>
      <c r="CD18" s="228"/>
      <c r="CE18" s="194"/>
      <c r="CF18" s="195"/>
      <c r="CG18" s="195"/>
      <c r="CH18" s="195"/>
      <c r="CI18" s="195"/>
      <c r="CJ18" s="195"/>
      <c r="CK18" s="195"/>
      <c r="CL18" s="195"/>
      <c r="CM18" s="195"/>
      <c r="CN18" s="195"/>
      <c r="CO18" s="350"/>
      <c r="CP18" s="229"/>
      <c r="CQ18" s="230"/>
      <c r="CR18" s="231"/>
      <c r="CS18" s="232">
        <f>SUM(AU18:CR18)</f>
        <v>0</v>
      </c>
      <c r="CT18" s="146"/>
      <c r="CU18" s="147">
        <f t="shared" si="4"/>
        <v>0</v>
      </c>
      <c r="CV18" s="156"/>
      <c r="CW18" s="157" t="e">
        <f>(SUM(M18:Z18))/K18</f>
        <v>#DIV/0!</v>
      </c>
      <c r="CX18" s="157" t="e">
        <f>(SUM(AA18:AM18))/K18</f>
        <v>#DIV/0!</v>
      </c>
      <c r="CY18" s="157" t="e">
        <f>(SUM(AU18:BQ18))/$K18</f>
        <v>#DIV/0!</v>
      </c>
      <c r="CZ18" s="157" t="e">
        <f>(SUM(BR18:CC18))/K18</f>
        <v>#DIV/0!</v>
      </c>
      <c r="DA18" s="157" t="e">
        <f t="shared" si="9"/>
        <v>#DIV/0!</v>
      </c>
      <c r="DB18" s="158" t="e">
        <f t="shared" si="10"/>
        <v>#DIV/0!</v>
      </c>
      <c r="DC18" s="131"/>
      <c r="DD18" s="159">
        <f>AP18</f>
        <v>0</v>
      </c>
      <c r="DE18" s="160">
        <f>CS18</f>
        <v>0</v>
      </c>
      <c r="DF18" s="161">
        <f>$DD18-DE18</f>
        <v>0</v>
      </c>
      <c r="DG18" s="162" t="e">
        <f>DF18/$DD18</f>
        <v>#DIV/0!</v>
      </c>
      <c r="DH18" s="163">
        <f>IF(AP18&gt;0.01,1,0)</f>
        <v>0</v>
      </c>
      <c r="DI18" s="164"/>
      <c r="DJ18" s="165">
        <f>H18</f>
        <v>0</v>
      </c>
      <c r="DK18" s="166">
        <f>I18</f>
        <v>0</v>
      </c>
      <c r="DL18" s="167" t="e">
        <f>DR18/DF18</f>
        <v>#DIV/0!</v>
      </c>
      <c r="DM18" s="168" t="e">
        <f>DL18/DK18</f>
        <v>#DIV/0!</v>
      </c>
      <c r="DN18" s="163" t="e">
        <f>IF(DM18&gt;0.01,1,0)</f>
        <v>#DIV/0!</v>
      </c>
      <c r="DO18" s="169"/>
      <c r="DP18" s="170"/>
      <c r="DQ18" s="171"/>
      <c r="DR18" s="172">
        <f>DP18+DQ18</f>
        <v>0</v>
      </c>
      <c r="DS18" s="173" t="e">
        <f>IF(DL18=0,0,DP18/DR18)</f>
        <v>#DIV/0!</v>
      </c>
      <c r="DT18" s="163" t="e">
        <f>IF(DS18&gt;0.01,1,0)</f>
        <v>#DIV/0!</v>
      </c>
      <c r="DU18" s="174"/>
      <c r="DV18" s="175" t="e">
        <f>DG18*DM18*DS18</f>
        <v>#DIV/0!</v>
      </c>
      <c r="DW18" s="163">
        <f t="shared" si="24"/>
        <v>0</v>
      </c>
      <c r="DX18" s="164"/>
      <c r="DY18" s="176">
        <f>DP18</f>
        <v>0</v>
      </c>
      <c r="DZ18" s="177">
        <f>DK18</f>
        <v>0</v>
      </c>
      <c r="EA18" s="178">
        <f>+AP18</f>
        <v>0</v>
      </c>
      <c r="EB18" s="179">
        <f>DZ18*EA18</f>
        <v>0</v>
      </c>
      <c r="EC18" s="180"/>
      <c r="ED18" s="175" t="e">
        <f>DY18/EB18</f>
        <v>#DIV/0!</v>
      </c>
      <c r="EE18" s="163">
        <f t="shared" si="30"/>
        <v>0</v>
      </c>
      <c r="EF18" s="164"/>
      <c r="EG18" s="181">
        <f>DP18</f>
        <v>0</v>
      </c>
      <c r="EH18" s="182">
        <f>K18</f>
        <v>0</v>
      </c>
      <c r="EI18" s="182">
        <f>SUM(M18:Z18)</f>
        <v>0</v>
      </c>
      <c r="EJ18" s="182">
        <f>I18</f>
        <v>0</v>
      </c>
      <c r="EK18" s="183">
        <f>(EH18-EI18)*EJ18</f>
        <v>0</v>
      </c>
      <c r="EL18" s="184" t="e">
        <f>EG18/EK18</f>
        <v>#DIV/0!</v>
      </c>
      <c r="EM18" s="185">
        <f>IF(EK18&gt;0.01,1,0)</f>
        <v>0</v>
      </c>
      <c r="EN18" s="164"/>
      <c r="EO18" s="181">
        <f>EG18</f>
        <v>0</v>
      </c>
      <c r="EP18" s="183">
        <f>EJ18</f>
        <v>0</v>
      </c>
      <c r="EQ18" s="184" t="e">
        <f t="shared" si="40"/>
        <v>#DIV/0!</v>
      </c>
      <c r="ER18" s="185">
        <f t="shared" si="41"/>
        <v>0</v>
      </c>
      <c r="ES18" s="164"/>
      <c r="ET18" s="164"/>
      <c r="EU18" s="186">
        <f>DK18</f>
        <v>0</v>
      </c>
      <c r="EV18" s="186">
        <f>CU18</f>
        <v>0</v>
      </c>
      <c r="EW18" s="186">
        <f t="shared" si="44"/>
        <v>0</v>
      </c>
      <c r="EX18" s="186">
        <f>DR18</f>
        <v>0</v>
      </c>
      <c r="EY18" s="131"/>
      <c r="EZ18" s="187">
        <f>EW18-EX18</f>
        <v>0</v>
      </c>
      <c r="FA18" s="188" t="e">
        <f t="shared" si="47"/>
        <v>#DIV/0!</v>
      </c>
      <c r="FB18" s="189"/>
      <c r="FC18" s="219"/>
      <c r="FD18" s="219"/>
      <c r="FE18" s="219"/>
      <c r="FF18" s="219"/>
      <c r="FG18" s="219"/>
    </row>
    <row r="19" spans="1:163" s="220" customFormat="1" ht="16" outlineLevel="1" thickBot="1" x14ac:dyDescent="0.4">
      <c r="B19" s="358"/>
      <c r="C19" s="355"/>
      <c r="D19" s="204"/>
      <c r="E19" s="205"/>
      <c r="F19" s="135"/>
      <c r="G19" s="206"/>
      <c r="H19" s="207"/>
      <c r="I19" s="138">
        <f t="shared" si="0"/>
        <v>0</v>
      </c>
      <c r="J19" s="139"/>
      <c r="K19" s="208">
        <f t="shared" si="49"/>
        <v>0</v>
      </c>
      <c r="L19" s="141"/>
      <c r="M19" s="209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09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1"/>
      <c r="AN19" s="212">
        <f t="shared" si="2"/>
        <v>0</v>
      </c>
      <c r="AO19" s="146"/>
      <c r="AP19" s="147">
        <f t="shared" si="3"/>
        <v>0</v>
      </c>
      <c r="AQ19" s="221"/>
      <c r="AR19" s="213"/>
      <c r="AS19" s="213"/>
      <c r="AT19" s="222"/>
      <c r="AU19" s="233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5"/>
      <c r="BG19" s="235"/>
      <c r="BH19" s="216"/>
      <c r="BI19" s="235"/>
      <c r="BJ19" s="235"/>
      <c r="BK19" s="235"/>
      <c r="BL19" s="235"/>
      <c r="BM19" s="235"/>
      <c r="BN19" s="235"/>
      <c r="BO19" s="235"/>
      <c r="BP19" s="235"/>
      <c r="BQ19" s="235"/>
      <c r="BR19" s="233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6"/>
      <c r="CD19" s="233"/>
      <c r="CE19" s="209"/>
      <c r="CF19" s="210"/>
      <c r="CG19" s="210"/>
      <c r="CH19" s="210"/>
      <c r="CI19" s="210"/>
      <c r="CJ19" s="210"/>
      <c r="CK19" s="210"/>
      <c r="CL19" s="210"/>
      <c r="CM19" s="210"/>
      <c r="CN19" s="210"/>
      <c r="CO19" s="351"/>
      <c r="CP19" s="234"/>
      <c r="CQ19" s="235"/>
      <c r="CR19" s="236"/>
      <c r="CS19" s="237">
        <f t="shared" si="48"/>
        <v>0</v>
      </c>
      <c r="CT19" s="146"/>
      <c r="CU19" s="147">
        <f t="shared" si="4"/>
        <v>0</v>
      </c>
      <c r="CV19" s="156"/>
      <c r="CW19" s="157" t="e">
        <f t="shared" si="5"/>
        <v>#DIV/0!</v>
      </c>
      <c r="CX19" s="157" t="e">
        <f t="shared" si="6"/>
        <v>#DIV/0!</v>
      </c>
      <c r="CY19" s="157" t="e">
        <f t="shared" si="7"/>
        <v>#DIV/0!</v>
      </c>
      <c r="CZ19" s="157" t="e">
        <f t="shared" si="8"/>
        <v>#DIV/0!</v>
      </c>
      <c r="DA19" s="157" t="e">
        <f t="shared" si="9"/>
        <v>#DIV/0!</v>
      </c>
      <c r="DB19" s="158" t="e">
        <f t="shared" si="10"/>
        <v>#DIV/0!</v>
      </c>
      <c r="DC19" s="131"/>
      <c r="DD19" s="159">
        <f t="shared" si="11"/>
        <v>0</v>
      </c>
      <c r="DE19" s="160">
        <f t="shared" si="12"/>
        <v>0</v>
      </c>
      <c r="DF19" s="161">
        <f t="shared" si="13"/>
        <v>0</v>
      </c>
      <c r="DG19" s="162" t="e">
        <f t="shared" si="14"/>
        <v>#DIV/0!</v>
      </c>
      <c r="DH19" s="163">
        <f t="shared" si="15"/>
        <v>0</v>
      </c>
      <c r="DI19" s="164"/>
      <c r="DJ19" s="165">
        <f t="shared" si="16"/>
        <v>0</v>
      </c>
      <c r="DK19" s="166">
        <f t="shared" si="16"/>
        <v>0</v>
      </c>
      <c r="DL19" s="167" t="e">
        <f t="shared" si="17"/>
        <v>#DIV/0!</v>
      </c>
      <c r="DM19" s="168" t="e">
        <f t="shared" si="18"/>
        <v>#DIV/0!</v>
      </c>
      <c r="DN19" s="163" t="e">
        <f t="shared" si="19"/>
        <v>#DIV/0!</v>
      </c>
      <c r="DO19" s="169"/>
      <c r="DP19" s="170"/>
      <c r="DQ19" s="171"/>
      <c r="DR19" s="172">
        <f t="shared" si="20"/>
        <v>0</v>
      </c>
      <c r="DS19" s="173" t="e">
        <f t="shared" si="21"/>
        <v>#DIV/0!</v>
      </c>
      <c r="DT19" s="163" t="e">
        <f t="shared" si="22"/>
        <v>#DIV/0!</v>
      </c>
      <c r="DU19" s="174"/>
      <c r="DV19" s="175" t="e">
        <f t="shared" si="23"/>
        <v>#DIV/0!</v>
      </c>
      <c r="DW19" s="163">
        <f t="shared" si="24"/>
        <v>0</v>
      </c>
      <c r="DX19" s="164"/>
      <c r="DY19" s="176">
        <f t="shared" si="25"/>
        <v>0</v>
      </c>
      <c r="DZ19" s="177">
        <f t="shared" si="26"/>
        <v>0</v>
      </c>
      <c r="EA19" s="178">
        <f t="shared" si="27"/>
        <v>0</v>
      </c>
      <c r="EB19" s="179">
        <f t="shared" si="28"/>
        <v>0</v>
      </c>
      <c r="EC19" s="180"/>
      <c r="ED19" s="175" t="e">
        <f t="shared" si="29"/>
        <v>#DIV/0!</v>
      </c>
      <c r="EE19" s="163">
        <f t="shared" si="30"/>
        <v>0</v>
      </c>
      <c r="EF19" s="164"/>
      <c r="EG19" s="181">
        <f t="shared" si="31"/>
        <v>0</v>
      </c>
      <c r="EH19" s="182">
        <f t="shared" si="32"/>
        <v>0</v>
      </c>
      <c r="EI19" s="182">
        <f t="shared" si="33"/>
        <v>0</v>
      </c>
      <c r="EJ19" s="182">
        <f t="shared" si="34"/>
        <v>0</v>
      </c>
      <c r="EK19" s="183">
        <f t="shared" si="35"/>
        <v>0</v>
      </c>
      <c r="EL19" s="184" t="e">
        <f t="shared" si="36"/>
        <v>#DIV/0!</v>
      </c>
      <c r="EM19" s="185">
        <f t="shared" si="37"/>
        <v>0</v>
      </c>
      <c r="EN19" s="164"/>
      <c r="EO19" s="181">
        <f t="shared" si="38"/>
        <v>0</v>
      </c>
      <c r="EP19" s="183">
        <f t="shared" si="39"/>
        <v>0</v>
      </c>
      <c r="EQ19" s="184" t="e">
        <f t="shared" si="40"/>
        <v>#DIV/0!</v>
      </c>
      <c r="ER19" s="185">
        <f t="shared" si="41"/>
        <v>0</v>
      </c>
      <c r="ES19" s="164"/>
      <c r="ET19" s="164"/>
      <c r="EU19" s="186">
        <f t="shared" si="42"/>
        <v>0</v>
      </c>
      <c r="EV19" s="186">
        <f t="shared" si="43"/>
        <v>0</v>
      </c>
      <c r="EW19" s="186">
        <f t="shared" si="44"/>
        <v>0</v>
      </c>
      <c r="EX19" s="186">
        <f t="shared" si="45"/>
        <v>0</v>
      </c>
      <c r="EY19" s="131"/>
      <c r="EZ19" s="187">
        <f t="shared" si="46"/>
        <v>0</v>
      </c>
      <c r="FA19" s="188" t="e">
        <f t="shared" si="47"/>
        <v>#DIV/0!</v>
      </c>
      <c r="FB19" s="189"/>
      <c r="FC19" s="131"/>
      <c r="FD19" s="131"/>
      <c r="FE19" s="219"/>
      <c r="FF19" s="219"/>
      <c r="FG19" s="219"/>
    </row>
    <row r="20" spans="1:163" ht="16" outlineLevel="1" thickBot="1" x14ac:dyDescent="0.4">
      <c r="B20" s="356"/>
      <c r="C20" s="353"/>
      <c r="D20" s="133"/>
      <c r="E20" s="134"/>
      <c r="F20" s="135"/>
      <c r="G20" s="136"/>
      <c r="H20" s="137"/>
      <c r="I20" s="138">
        <f t="shared" si="0"/>
        <v>0</v>
      </c>
      <c r="J20" s="139"/>
      <c r="K20" s="140">
        <f t="shared" si="49"/>
        <v>0</v>
      </c>
      <c r="L20" s="141"/>
      <c r="M20" s="142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2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4"/>
      <c r="AN20" s="145">
        <f t="shared" si="2"/>
        <v>0</v>
      </c>
      <c r="AO20" s="146"/>
      <c r="AP20" s="147">
        <f t="shared" si="3"/>
        <v>0</v>
      </c>
      <c r="AQ20" s="148"/>
      <c r="AR20" s="149"/>
      <c r="AS20" s="149"/>
      <c r="AT20" s="135"/>
      <c r="AU20" s="150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0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4"/>
      <c r="CD20" s="150"/>
      <c r="CE20" s="142"/>
      <c r="CF20" s="143"/>
      <c r="CG20" s="143"/>
      <c r="CH20" s="143"/>
      <c r="CI20" s="143"/>
      <c r="CJ20" s="143"/>
      <c r="CK20" s="143"/>
      <c r="CL20" s="143"/>
      <c r="CM20" s="143"/>
      <c r="CN20" s="143"/>
      <c r="CO20" s="346"/>
      <c r="CP20" s="151"/>
      <c r="CQ20" s="152"/>
      <c r="CR20" s="154"/>
      <c r="CS20" s="155">
        <f t="shared" si="48"/>
        <v>0</v>
      </c>
      <c r="CT20" s="146"/>
      <c r="CU20" s="147">
        <f t="shared" si="4"/>
        <v>0</v>
      </c>
      <c r="CV20" s="156"/>
      <c r="CW20" s="157" t="e">
        <f t="shared" si="5"/>
        <v>#DIV/0!</v>
      </c>
      <c r="CX20" s="157" t="e">
        <f t="shared" si="6"/>
        <v>#DIV/0!</v>
      </c>
      <c r="CY20" s="157" t="e">
        <f t="shared" si="7"/>
        <v>#DIV/0!</v>
      </c>
      <c r="CZ20" s="157" t="e">
        <f t="shared" si="8"/>
        <v>#DIV/0!</v>
      </c>
      <c r="DA20" s="157" t="e">
        <f t="shared" si="9"/>
        <v>#DIV/0!</v>
      </c>
      <c r="DB20" s="158" t="e">
        <f t="shared" si="10"/>
        <v>#DIV/0!</v>
      </c>
      <c r="DC20" s="131"/>
      <c r="DD20" s="159">
        <f t="shared" si="11"/>
        <v>0</v>
      </c>
      <c r="DE20" s="160">
        <f t="shared" si="12"/>
        <v>0</v>
      </c>
      <c r="DF20" s="161">
        <f t="shared" si="13"/>
        <v>0</v>
      </c>
      <c r="DG20" s="162" t="e">
        <f t="shared" si="14"/>
        <v>#DIV/0!</v>
      </c>
      <c r="DH20" s="163">
        <f t="shared" si="15"/>
        <v>0</v>
      </c>
      <c r="DI20" s="164"/>
      <c r="DJ20" s="165">
        <f t="shared" si="16"/>
        <v>0</v>
      </c>
      <c r="DK20" s="166">
        <f t="shared" si="16"/>
        <v>0</v>
      </c>
      <c r="DL20" s="167" t="e">
        <f t="shared" si="17"/>
        <v>#DIV/0!</v>
      </c>
      <c r="DM20" s="168" t="e">
        <f t="shared" si="18"/>
        <v>#DIV/0!</v>
      </c>
      <c r="DN20" s="163" t="e">
        <f t="shared" si="19"/>
        <v>#DIV/0!</v>
      </c>
      <c r="DO20" s="169"/>
      <c r="DP20" s="170"/>
      <c r="DQ20" s="171"/>
      <c r="DR20" s="172">
        <f t="shared" si="20"/>
        <v>0</v>
      </c>
      <c r="DS20" s="173" t="e">
        <f t="shared" si="21"/>
        <v>#DIV/0!</v>
      </c>
      <c r="DT20" s="163" t="e">
        <f t="shared" si="22"/>
        <v>#DIV/0!</v>
      </c>
      <c r="DU20" s="174"/>
      <c r="DV20" s="175" t="e">
        <f t="shared" si="23"/>
        <v>#DIV/0!</v>
      </c>
      <c r="DW20" s="163">
        <f t="shared" si="24"/>
        <v>0</v>
      </c>
      <c r="DX20" s="164"/>
      <c r="DY20" s="176">
        <f t="shared" si="25"/>
        <v>0</v>
      </c>
      <c r="DZ20" s="177">
        <f t="shared" si="26"/>
        <v>0</v>
      </c>
      <c r="EA20" s="178">
        <f t="shared" si="27"/>
        <v>0</v>
      </c>
      <c r="EB20" s="179">
        <f t="shared" si="28"/>
        <v>0</v>
      </c>
      <c r="EC20" s="180"/>
      <c r="ED20" s="175" t="e">
        <f t="shared" si="29"/>
        <v>#DIV/0!</v>
      </c>
      <c r="EE20" s="163">
        <f t="shared" si="30"/>
        <v>0</v>
      </c>
      <c r="EF20" s="164"/>
      <c r="EG20" s="181">
        <f t="shared" si="31"/>
        <v>0</v>
      </c>
      <c r="EH20" s="182">
        <f t="shared" si="32"/>
        <v>0</v>
      </c>
      <c r="EI20" s="182">
        <f t="shared" si="33"/>
        <v>0</v>
      </c>
      <c r="EJ20" s="182">
        <f t="shared" si="34"/>
        <v>0</v>
      </c>
      <c r="EK20" s="183">
        <f t="shared" si="35"/>
        <v>0</v>
      </c>
      <c r="EL20" s="184" t="e">
        <f t="shared" si="36"/>
        <v>#DIV/0!</v>
      </c>
      <c r="EM20" s="185">
        <f t="shared" si="37"/>
        <v>0</v>
      </c>
      <c r="EN20" s="164"/>
      <c r="EO20" s="181">
        <f t="shared" si="38"/>
        <v>0</v>
      </c>
      <c r="EP20" s="183">
        <f t="shared" si="39"/>
        <v>0</v>
      </c>
      <c r="EQ20" s="184" t="e">
        <f t="shared" si="40"/>
        <v>#DIV/0!</v>
      </c>
      <c r="ER20" s="185">
        <f t="shared" si="41"/>
        <v>0</v>
      </c>
      <c r="ES20" s="164"/>
      <c r="ET20" s="164"/>
      <c r="EU20" s="186">
        <f t="shared" si="42"/>
        <v>0</v>
      </c>
      <c r="EV20" s="186">
        <f t="shared" si="43"/>
        <v>0</v>
      </c>
      <c r="EW20" s="186">
        <f t="shared" si="44"/>
        <v>0</v>
      </c>
      <c r="EX20" s="186">
        <f t="shared" si="45"/>
        <v>0</v>
      </c>
      <c r="EY20" s="131"/>
      <c r="EZ20" s="187">
        <f t="shared" si="46"/>
        <v>0</v>
      </c>
      <c r="FA20" s="188" t="e">
        <f t="shared" si="47"/>
        <v>#DIV/0!</v>
      </c>
      <c r="FB20" s="189"/>
      <c r="FC20" s="131"/>
      <c r="FD20" s="131"/>
      <c r="FE20" s="131"/>
      <c r="FF20" s="131"/>
      <c r="FG20" s="131"/>
    </row>
    <row r="21" spans="1:163" ht="16" outlineLevel="1" thickBot="1" x14ac:dyDescent="0.4">
      <c r="B21" s="357"/>
      <c r="C21" s="354"/>
      <c r="D21" s="190"/>
      <c r="E21" s="191"/>
      <c r="F21" s="135"/>
      <c r="G21" s="192"/>
      <c r="H21" s="137"/>
      <c r="I21" s="138">
        <f t="shared" si="0"/>
        <v>0</v>
      </c>
      <c r="J21" s="139"/>
      <c r="K21" s="193">
        <f t="shared" si="49"/>
        <v>0</v>
      </c>
      <c r="L21" s="141"/>
      <c r="M21" s="194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4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6"/>
      <c r="AN21" s="197">
        <f t="shared" si="2"/>
        <v>0</v>
      </c>
      <c r="AO21" s="146"/>
      <c r="AP21" s="147">
        <f t="shared" si="3"/>
        <v>0</v>
      </c>
      <c r="AQ21" s="148"/>
      <c r="AR21" s="198"/>
      <c r="AS21" s="198"/>
      <c r="AT21" s="135"/>
      <c r="AU21" s="199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199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2"/>
      <c r="CD21" s="199"/>
      <c r="CE21" s="194"/>
      <c r="CF21" s="195"/>
      <c r="CG21" s="195"/>
      <c r="CH21" s="195"/>
      <c r="CI21" s="195"/>
      <c r="CJ21" s="195"/>
      <c r="CK21" s="195"/>
      <c r="CL21" s="195"/>
      <c r="CM21" s="195"/>
      <c r="CN21" s="195"/>
      <c r="CO21" s="347"/>
      <c r="CP21" s="200"/>
      <c r="CQ21" s="201"/>
      <c r="CR21" s="202"/>
      <c r="CS21" s="203">
        <f t="shared" si="48"/>
        <v>0</v>
      </c>
      <c r="CT21" s="146"/>
      <c r="CU21" s="147">
        <f t="shared" si="4"/>
        <v>0</v>
      </c>
      <c r="CV21" s="156"/>
      <c r="CW21" s="157" t="e">
        <f t="shared" si="5"/>
        <v>#DIV/0!</v>
      </c>
      <c r="CX21" s="157" t="e">
        <f t="shared" si="6"/>
        <v>#DIV/0!</v>
      </c>
      <c r="CY21" s="157" t="e">
        <f t="shared" si="7"/>
        <v>#DIV/0!</v>
      </c>
      <c r="CZ21" s="157" t="e">
        <f t="shared" si="8"/>
        <v>#DIV/0!</v>
      </c>
      <c r="DA21" s="157" t="e">
        <f t="shared" si="9"/>
        <v>#DIV/0!</v>
      </c>
      <c r="DB21" s="158" t="e">
        <f t="shared" si="10"/>
        <v>#DIV/0!</v>
      </c>
      <c r="DC21" s="131"/>
      <c r="DD21" s="159">
        <f t="shared" si="11"/>
        <v>0</v>
      </c>
      <c r="DE21" s="160">
        <f t="shared" si="12"/>
        <v>0</v>
      </c>
      <c r="DF21" s="161">
        <f t="shared" si="13"/>
        <v>0</v>
      </c>
      <c r="DG21" s="162" t="e">
        <f t="shared" si="14"/>
        <v>#DIV/0!</v>
      </c>
      <c r="DH21" s="163">
        <f t="shared" si="15"/>
        <v>0</v>
      </c>
      <c r="DI21" s="164"/>
      <c r="DJ21" s="165">
        <f t="shared" si="16"/>
        <v>0</v>
      </c>
      <c r="DK21" s="166">
        <f t="shared" si="16"/>
        <v>0</v>
      </c>
      <c r="DL21" s="167" t="e">
        <f t="shared" si="17"/>
        <v>#DIV/0!</v>
      </c>
      <c r="DM21" s="168" t="e">
        <f t="shared" si="18"/>
        <v>#DIV/0!</v>
      </c>
      <c r="DN21" s="163" t="e">
        <f t="shared" si="19"/>
        <v>#DIV/0!</v>
      </c>
      <c r="DO21" s="169"/>
      <c r="DP21" s="170"/>
      <c r="DQ21" s="171"/>
      <c r="DR21" s="172">
        <f t="shared" si="20"/>
        <v>0</v>
      </c>
      <c r="DS21" s="173" t="e">
        <f t="shared" si="21"/>
        <v>#DIV/0!</v>
      </c>
      <c r="DT21" s="163" t="e">
        <f t="shared" si="22"/>
        <v>#DIV/0!</v>
      </c>
      <c r="DU21" s="174"/>
      <c r="DV21" s="175" t="e">
        <f t="shared" si="23"/>
        <v>#DIV/0!</v>
      </c>
      <c r="DW21" s="163">
        <f t="shared" si="24"/>
        <v>0</v>
      </c>
      <c r="DX21" s="164"/>
      <c r="DY21" s="176">
        <f t="shared" si="25"/>
        <v>0</v>
      </c>
      <c r="DZ21" s="177">
        <f t="shared" si="26"/>
        <v>0</v>
      </c>
      <c r="EA21" s="178">
        <f t="shared" si="27"/>
        <v>0</v>
      </c>
      <c r="EB21" s="179">
        <f t="shared" si="28"/>
        <v>0</v>
      </c>
      <c r="EC21" s="180"/>
      <c r="ED21" s="175" t="e">
        <f t="shared" si="29"/>
        <v>#DIV/0!</v>
      </c>
      <c r="EE21" s="163">
        <f t="shared" si="30"/>
        <v>0</v>
      </c>
      <c r="EF21" s="164"/>
      <c r="EG21" s="181">
        <f t="shared" si="31"/>
        <v>0</v>
      </c>
      <c r="EH21" s="182">
        <f t="shared" si="32"/>
        <v>0</v>
      </c>
      <c r="EI21" s="182">
        <f t="shared" si="33"/>
        <v>0</v>
      </c>
      <c r="EJ21" s="182">
        <f t="shared" si="34"/>
        <v>0</v>
      </c>
      <c r="EK21" s="183">
        <f t="shared" si="35"/>
        <v>0</v>
      </c>
      <c r="EL21" s="184" t="e">
        <f t="shared" si="36"/>
        <v>#DIV/0!</v>
      </c>
      <c r="EM21" s="185">
        <f t="shared" si="37"/>
        <v>0</v>
      </c>
      <c r="EN21" s="164"/>
      <c r="EO21" s="181">
        <f t="shared" si="38"/>
        <v>0</v>
      </c>
      <c r="EP21" s="183">
        <f t="shared" si="39"/>
        <v>0</v>
      </c>
      <c r="EQ21" s="184" t="e">
        <f t="shared" si="40"/>
        <v>#DIV/0!</v>
      </c>
      <c r="ER21" s="185">
        <f t="shared" si="41"/>
        <v>0</v>
      </c>
      <c r="ES21" s="164"/>
      <c r="ET21" s="164"/>
      <c r="EU21" s="186">
        <f t="shared" si="42"/>
        <v>0</v>
      </c>
      <c r="EV21" s="186">
        <f t="shared" si="43"/>
        <v>0</v>
      </c>
      <c r="EW21" s="186">
        <f t="shared" si="44"/>
        <v>0</v>
      </c>
      <c r="EX21" s="186">
        <f t="shared" si="45"/>
        <v>0</v>
      </c>
      <c r="EY21" s="131"/>
      <c r="EZ21" s="187">
        <f t="shared" si="46"/>
        <v>0</v>
      </c>
      <c r="FA21" s="188" t="e">
        <f t="shared" si="47"/>
        <v>#DIV/0!</v>
      </c>
      <c r="FB21" s="189"/>
      <c r="FC21" s="131"/>
      <c r="FD21" s="131"/>
      <c r="FE21" s="131"/>
      <c r="FF21" s="131"/>
      <c r="FG21" s="131"/>
    </row>
    <row r="22" spans="1:163" ht="16" outlineLevel="1" thickBot="1" x14ac:dyDescent="0.4">
      <c r="B22" s="358"/>
      <c r="C22" s="355"/>
      <c r="D22" s="204"/>
      <c r="E22" s="205"/>
      <c r="F22" s="135"/>
      <c r="G22" s="206"/>
      <c r="H22" s="207"/>
      <c r="I22" s="138">
        <f t="shared" si="0"/>
        <v>0</v>
      </c>
      <c r="J22" s="139"/>
      <c r="K22" s="208">
        <f t="shared" si="49"/>
        <v>0</v>
      </c>
      <c r="L22" s="141"/>
      <c r="M22" s="209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09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1"/>
      <c r="AN22" s="212">
        <f t="shared" si="2"/>
        <v>0</v>
      </c>
      <c r="AO22" s="146"/>
      <c r="AP22" s="147">
        <f t="shared" si="3"/>
        <v>0</v>
      </c>
      <c r="AQ22" s="148"/>
      <c r="AR22" s="213"/>
      <c r="AS22" s="213"/>
      <c r="AT22" s="135"/>
      <c r="AU22" s="214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4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7"/>
      <c r="CD22" s="214"/>
      <c r="CE22" s="209"/>
      <c r="CF22" s="210"/>
      <c r="CG22" s="210"/>
      <c r="CH22" s="210"/>
      <c r="CI22" s="210"/>
      <c r="CJ22" s="210"/>
      <c r="CK22" s="210"/>
      <c r="CL22" s="210"/>
      <c r="CM22" s="210"/>
      <c r="CN22" s="210"/>
      <c r="CO22" s="348"/>
      <c r="CP22" s="215"/>
      <c r="CQ22" s="216"/>
      <c r="CR22" s="217"/>
      <c r="CS22" s="218">
        <f t="shared" si="48"/>
        <v>0</v>
      </c>
      <c r="CT22" s="146"/>
      <c r="CU22" s="147">
        <f t="shared" si="4"/>
        <v>0</v>
      </c>
      <c r="CV22" s="156"/>
      <c r="CW22" s="157" t="e">
        <f t="shared" si="5"/>
        <v>#DIV/0!</v>
      </c>
      <c r="CX22" s="157" t="e">
        <f t="shared" si="6"/>
        <v>#DIV/0!</v>
      </c>
      <c r="CY22" s="157" t="e">
        <f t="shared" si="7"/>
        <v>#DIV/0!</v>
      </c>
      <c r="CZ22" s="157" t="e">
        <f t="shared" si="8"/>
        <v>#DIV/0!</v>
      </c>
      <c r="DA22" s="157" t="e">
        <f t="shared" si="9"/>
        <v>#DIV/0!</v>
      </c>
      <c r="DB22" s="158" t="e">
        <f t="shared" si="10"/>
        <v>#DIV/0!</v>
      </c>
      <c r="DC22" s="131"/>
      <c r="DD22" s="159">
        <f t="shared" si="11"/>
        <v>0</v>
      </c>
      <c r="DE22" s="160">
        <f t="shared" si="12"/>
        <v>0</v>
      </c>
      <c r="DF22" s="161">
        <f t="shared" si="13"/>
        <v>0</v>
      </c>
      <c r="DG22" s="162" t="e">
        <f t="shared" si="14"/>
        <v>#DIV/0!</v>
      </c>
      <c r="DH22" s="163">
        <f t="shared" si="15"/>
        <v>0</v>
      </c>
      <c r="DI22" s="164"/>
      <c r="DJ22" s="165">
        <f t="shared" si="16"/>
        <v>0</v>
      </c>
      <c r="DK22" s="166">
        <f t="shared" si="16"/>
        <v>0</v>
      </c>
      <c r="DL22" s="167" t="e">
        <f t="shared" si="17"/>
        <v>#DIV/0!</v>
      </c>
      <c r="DM22" s="168" t="e">
        <f t="shared" si="18"/>
        <v>#DIV/0!</v>
      </c>
      <c r="DN22" s="163" t="e">
        <f t="shared" si="19"/>
        <v>#DIV/0!</v>
      </c>
      <c r="DO22" s="169"/>
      <c r="DP22" s="170"/>
      <c r="DQ22" s="171"/>
      <c r="DR22" s="172">
        <f t="shared" si="20"/>
        <v>0</v>
      </c>
      <c r="DS22" s="173" t="e">
        <f t="shared" si="21"/>
        <v>#DIV/0!</v>
      </c>
      <c r="DT22" s="163" t="e">
        <f t="shared" si="22"/>
        <v>#DIV/0!</v>
      </c>
      <c r="DU22" s="174"/>
      <c r="DV22" s="175" t="e">
        <f t="shared" si="23"/>
        <v>#DIV/0!</v>
      </c>
      <c r="DW22" s="163">
        <f t="shared" si="24"/>
        <v>0</v>
      </c>
      <c r="DX22" s="164"/>
      <c r="DY22" s="176">
        <f t="shared" si="25"/>
        <v>0</v>
      </c>
      <c r="DZ22" s="177">
        <f t="shared" si="26"/>
        <v>0</v>
      </c>
      <c r="EA22" s="178">
        <f t="shared" si="27"/>
        <v>0</v>
      </c>
      <c r="EB22" s="179">
        <f t="shared" si="28"/>
        <v>0</v>
      </c>
      <c r="EC22" s="180"/>
      <c r="ED22" s="175" t="e">
        <f t="shared" si="29"/>
        <v>#DIV/0!</v>
      </c>
      <c r="EE22" s="163">
        <f t="shared" si="30"/>
        <v>0</v>
      </c>
      <c r="EF22" s="164"/>
      <c r="EG22" s="181">
        <f t="shared" si="31"/>
        <v>0</v>
      </c>
      <c r="EH22" s="182">
        <f t="shared" si="32"/>
        <v>0</v>
      </c>
      <c r="EI22" s="182">
        <f t="shared" si="33"/>
        <v>0</v>
      </c>
      <c r="EJ22" s="182">
        <f t="shared" si="34"/>
        <v>0</v>
      </c>
      <c r="EK22" s="183">
        <f t="shared" si="35"/>
        <v>0</v>
      </c>
      <c r="EL22" s="184" t="e">
        <f t="shared" si="36"/>
        <v>#DIV/0!</v>
      </c>
      <c r="EM22" s="185">
        <f t="shared" si="37"/>
        <v>0</v>
      </c>
      <c r="EN22" s="164"/>
      <c r="EO22" s="181">
        <f t="shared" si="38"/>
        <v>0</v>
      </c>
      <c r="EP22" s="183">
        <f t="shared" si="39"/>
        <v>0</v>
      </c>
      <c r="EQ22" s="184" t="e">
        <f t="shared" si="40"/>
        <v>#DIV/0!</v>
      </c>
      <c r="ER22" s="185">
        <f t="shared" si="41"/>
        <v>0</v>
      </c>
      <c r="ES22" s="164"/>
      <c r="ET22" s="164"/>
      <c r="EU22" s="186">
        <f t="shared" si="42"/>
        <v>0</v>
      </c>
      <c r="EV22" s="186">
        <f t="shared" si="43"/>
        <v>0</v>
      </c>
      <c r="EW22" s="186">
        <f t="shared" si="44"/>
        <v>0</v>
      </c>
      <c r="EX22" s="186">
        <f t="shared" si="45"/>
        <v>0</v>
      </c>
      <c r="EY22" s="131"/>
      <c r="EZ22" s="187">
        <f t="shared" si="46"/>
        <v>0</v>
      </c>
      <c r="FA22" s="188" t="e">
        <f t="shared" si="47"/>
        <v>#DIV/0!</v>
      </c>
      <c r="FB22" s="189"/>
      <c r="FC22" s="131"/>
      <c r="FD22" s="131"/>
      <c r="FE22" s="131"/>
      <c r="FF22" s="131"/>
      <c r="FG22" s="131"/>
    </row>
    <row r="23" spans="1:163" s="169" customFormat="1" ht="16" outlineLevel="1" thickBot="1" x14ac:dyDescent="0.4">
      <c r="B23" s="356"/>
      <c r="C23" s="353"/>
      <c r="D23" s="133"/>
      <c r="E23" s="134"/>
      <c r="F23" s="135"/>
      <c r="G23" s="136"/>
      <c r="H23" s="137"/>
      <c r="I23" s="138">
        <f>IF(E23&gt;0.0001,9.4,0)</f>
        <v>0</v>
      </c>
      <c r="J23" s="139"/>
      <c r="K23" s="140">
        <f t="shared" si="49"/>
        <v>0</v>
      </c>
      <c r="L23" s="141"/>
      <c r="M23" s="142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2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4"/>
      <c r="AN23" s="145">
        <f t="shared" si="2"/>
        <v>0</v>
      </c>
      <c r="AO23" s="146"/>
      <c r="AP23" s="147">
        <f t="shared" si="3"/>
        <v>0</v>
      </c>
      <c r="AQ23" s="148"/>
      <c r="AR23" s="149"/>
      <c r="AS23" s="149"/>
      <c r="AT23" s="135"/>
      <c r="AU23" s="150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0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4"/>
      <c r="CD23" s="150"/>
      <c r="CE23" s="142"/>
      <c r="CF23" s="143"/>
      <c r="CG23" s="143"/>
      <c r="CH23" s="143"/>
      <c r="CI23" s="143"/>
      <c r="CJ23" s="143"/>
      <c r="CK23" s="143"/>
      <c r="CL23" s="143"/>
      <c r="CM23" s="143"/>
      <c r="CN23" s="143"/>
      <c r="CO23" s="346"/>
      <c r="CP23" s="151"/>
      <c r="CQ23" s="152"/>
      <c r="CR23" s="154"/>
      <c r="CS23" s="155">
        <f t="shared" si="48"/>
        <v>0</v>
      </c>
      <c r="CT23" s="146"/>
      <c r="CU23" s="147">
        <f t="shared" si="4"/>
        <v>0</v>
      </c>
      <c r="CV23" s="156"/>
      <c r="CW23" s="157" t="e">
        <f t="shared" si="5"/>
        <v>#DIV/0!</v>
      </c>
      <c r="CX23" s="157" t="e">
        <f t="shared" si="6"/>
        <v>#DIV/0!</v>
      </c>
      <c r="CY23" s="157" t="e">
        <f t="shared" si="7"/>
        <v>#DIV/0!</v>
      </c>
      <c r="CZ23" s="157" t="e">
        <f t="shared" si="8"/>
        <v>#DIV/0!</v>
      </c>
      <c r="DA23" s="157" t="e">
        <f t="shared" si="9"/>
        <v>#DIV/0!</v>
      </c>
      <c r="DB23" s="158" t="e">
        <f t="shared" si="10"/>
        <v>#DIV/0!</v>
      </c>
      <c r="DC23" s="131"/>
      <c r="DD23" s="159">
        <f t="shared" si="11"/>
        <v>0</v>
      </c>
      <c r="DE23" s="160">
        <f t="shared" si="12"/>
        <v>0</v>
      </c>
      <c r="DF23" s="161">
        <f t="shared" si="13"/>
        <v>0</v>
      </c>
      <c r="DG23" s="162" t="e">
        <f t="shared" si="14"/>
        <v>#DIV/0!</v>
      </c>
      <c r="DH23" s="163">
        <f t="shared" si="15"/>
        <v>0</v>
      </c>
      <c r="DI23" s="164"/>
      <c r="DJ23" s="165">
        <f t="shared" si="16"/>
        <v>0</v>
      </c>
      <c r="DK23" s="166">
        <f t="shared" si="16"/>
        <v>0</v>
      </c>
      <c r="DL23" s="167" t="e">
        <f t="shared" si="17"/>
        <v>#DIV/0!</v>
      </c>
      <c r="DM23" s="168" t="e">
        <f t="shared" si="18"/>
        <v>#DIV/0!</v>
      </c>
      <c r="DN23" s="163" t="e">
        <f t="shared" si="19"/>
        <v>#DIV/0!</v>
      </c>
      <c r="DP23" s="170"/>
      <c r="DQ23" s="171"/>
      <c r="DR23" s="172">
        <f t="shared" si="20"/>
        <v>0</v>
      </c>
      <c r="DS23" s="173" t="e">
        <f t="shared" si="21"/>
        <v>#DIV/0!</v>
      </c>
      <c r="DT23" s="163" t="e">
        <f t="shared" si="22"/>
        <v>#DIV/0!</v>
      </c>
      <c r="DU23" s="174"/>
      <c r="DV23" s="175" t="e">
        <f t="shared" si="23"/>
        <v>#DIV/0!</v>
      </c>
      <c r="DW23" s="163">
        <f t="shared" si="24"/>
        <v>0</v>
      </c>
      <c r="DX23" s="164"/>
      <c r="DY23" s="176">
        <f t="shared" si="25"/>
        <v>0</v>
      </c>
      <c r="DZ23" s="177">
        <f t="shared" si="26"/>
        <v>0</v>
      </c>
      <c r="EA23" s="178">
        <f t="shared" si="27"/>
        <v>0</v>
      </c>
      <c r="EB23" s="179">
        <f t="shared" si="28"/>
        <v>0</v>
      </c>
      <c r="EC23" s="180"/>
      <c r="ED23" s="175" t="e">
        <f t="shared" si="29"/>
        <v>#DIV/0!</v>
      </c>
      <c r="EE23" s="163">
        <f t="shared" si="30"/>
        <v>0</v>
      </c>
      <c r="EF23" s="164"/>
      <c r="EG23" s="181">
        <f t="shared" si="31"/>
        <v>0</v>
      </c>
      <c r="EH23" s="182">
        <f t="shared" si="32"/>
        <v>0</v>
      </c>
      <c r="EI23" s="182">
        <f t="shared" si="33"/>
        <v>0</v>
      </c>
      <c r="EJ23" s="182">
        <f t="shared" si="34"/>
        <v>0</v>
      </c>
      <c r="EK23" s="183">
        <f t="shared" si="35"/>
        <v>0</v>
      </c>
      <c r="EL23" s="184" t="e">
        <f t="shared" si="36"/>
        <v>#DIV/0!</v>
      </c>
      <c r="EM23" s="185">
        <f t="shared" si="37"/>
        <v>0</v>
      </c>
      <c r="EN23" s="164"/>
      <c r="EO23" s="181">
        <f t="shared" si="38"/>
        <v>0</v>
      </c>
      <c r="EP23" s="183">
        <f t="shared" si="39"/>
        <v>0</v>
      </c>
      <c r="EQ23" s="184" t="e">
        <f t="shared" si="40"/>
        <v>#DIV/0!</v>
      </c>
      <c r="ER23" s="185">
        <f t="shared" si="41"/>
        <v>0</v>
      </c>
      <c r="ES23" s="164"/>
      <c r="ET23" s="164"/>
      <c r="EU23" s="186">
        <f t="shared" si="42"/>
        <v>0</v>
      </c>
      <c r="EV23" s="186">
        <f t="shared" si="43"/>
        <v>0</v>
      </c>
      <c r="EW23" s="186">
        <f t="shared" si="44"/>
        <v>0</v>
      </c>
      <c r="EX23" s="186">
        <f t="shared" si="45"/>
        <v>0</v>
      </c>
      <c r="EY23" s="131"/>
      <c r="EZ23" s="187">
        <f t="shared" si="46"/>
        <v>0</v>
      </c>
      <c r="FA23" s="188" t="e">
        <f t="shared" si="47"/>
        <v>#DIV/0!</v>
      </c>
      <c r="FB23" s="189"/>
      <c r="FC23" s="131"/>
      <c r="FD23" s="131"/>
      <c r="FE23" s="131"/>
      <c r="FF23" s="131"/>
      <c r="FG23" s="131"/>
    </row>
    <row r="24" spans="1:163" ht="16" outlineLevel="1" thickBot="1" x14ac:dyDescent="0.4">
      <c r="B24" s="357"/>
      <c r="C24" s="354"/>
      <c r="D24" s="190"/>
      <c r="E24" s="191"/>
      <c r="F24" s="135"/>
      <c r="G24" s="192"/>
      <c r="H24" s="137"/>
      <c r="I24" s="138">
        <f t="shared" si="0"/>
        <v>0</v>
      </c>
      <c r="J24" s="139"/>
      <c r="K24" s="193">
        <f t="shared" si="49"/>
        <v>0</v>
      </c>
      <c r="L24" s="141"/>
      <c r="M24" s="194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4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6"/>
      <c r="AN24" s="197">
        <f t="shared" si="2"/>
        <v>0</v>
      </c>
      <c r="AO24" s="146"/>
      <c r="AP24" s="147">
        <f>K24-AN24</f>
        <v>0</v>
      </c>
      <c r="AQ24" s="148"/>
      <c r="AR24" s="198"/>
      <c r="AS24" s="198"/>
      <c r="AT24" s="135"/>
      <c r="AU24" s="199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1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199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2"/>
      <c r="CD24" s="199"/>
      <c r="CE24" s="194"/>
      <c r="CF24" s="195"/>
      <c r="CG24" s="195"/>
      <c r="CH24" s="195"/>
      <c r="CI24" s="195"/>
      <c r="CJ24" s="195"/>
      <c r="CK24" s="195"/>
      <c r="CL24" s="195"/>
      <c r="CM24" s="195"/>
      <c r="CN24" s="195"/>
      <c r="CO24" s="347"/>
      <c r="CP24" s="200"/>
      <c r="CQ24" s="201"/>
      <c r="CR24" s="202"/>
      <c r="CS24" s="203">
        <f>SUM(AU24:CR24)</f>
        <v>0</v>
      </c>
      <c r="CT24" s="146"/>
      <c r="CU24" s="147">
        <f t="shared" si="4"/>
        <v>0</v>
      </c>
      <c r="CV24" s="156"/>
      <c r="CW24" s="157" t="e">
        <f>(SUM(M24:Z24))/K24</f>
        <v>#DIV/0!</v>
      </c>
      <c r="CX24" s="157" t="e">
        <f>(SUM(AA24:AM24))/K24</f>
        <v>#DIV/0!</v>
      </c>
      <c r="CY24" s="157" t="e">
        <f>(SUM(AU24:BQ24))/$K24</f>
        <v>#DIV/0!</v>
      </c>
      <c r="CZ24" s="157" t="e">
        <f>(SUM(BR24:CC24))/K24</f>
        <v>#DIV/0!</v>
      </c>
      <c r="DA24" s="157" t="e">
        <f t="shared" si="9"/>
        <v>#DIV/0!</v>
      </c>
      <c r="DB24" s="158" t="e">
        <f t="shared" si="10"/>
        <v>#DIV/0!</v>
      </c>
      <c r="DC24" s="131"/>
      <c r="DD24" s="159">
        <f>AP24</f>
        <v>0</v>
      </c>
      <c r="DE24" s="160">
        <f>CS24</f>
        <v>0</v>
      </c>
      <c r="DF24" s="161">
        <f>$DD24-DE24</f>
        <v>0</v>
      </c>
      <c r="DG24" s="162" t="e">
        <f>DF24/$DD24</f>
        <v>#DIV/0!</v>
      </c>
      <c r="DH24" s="163">
        <f>IF(AP24&gt;0.01,1,0)</f>
        <v>0</v>
      </c>
      <c r="DI24" s="164"/>
      <c r="DJ24" s="165">
        <f>H24</f>
        <v>0</v>
      </c>
      <c r="DK24" s="166">
        <f>I24</f>
        <v>0</v>
      </c>
      <c r="DL24" s="167" t="e">
        <f>DR24/DF24</f>
        <v>#DIV/0!</v>
      </c>
      <c r="DM24" s="168" t="e">
        <f>DL24/DK24</f>
        <v>#DIV/0!</v>
      </c>
      <c r="DN24" s="163" t="e">
        <f>IF(DM24&gt;0.01,1,0)</f>
        <v>#DIV/0!</v>
      </c>
      <c r="DO24" s="169"/>
      <c r="DP24" s="170"/>
      <c r="DQ24" s="171"/>
      <c r="DR24" s="172">
        <f>DP24+DQ24</f>
        <v>0</v>
      </c>
      <c r="DS24" s="173" t="e">
        <f>IF(DL24=0,0,DP24/DR24)</f>
        <v>#DIV/0!</v>
      </c>
      <c r="DT24" s="163" t="e">
        <f>IF(DS24&gt;0.01,1,0)</f>
        <v>#DIV/0!</v>
      </c>
      <c r="DU24" s="174"/>
      <c r="DV24" s="175" t="e">
        <f>DG24*DM24*DS24</f>
        <v>#DIV/0!</v>
      </c>
      <c r="DW24" s="163">
        <f t="shared" si="24"/>
        <v>0</v>
      </c>
      <c r="DX24" s="164"/>
      <c r="DY24" s="176">
        <f>DP24</f>
        <v>0</v>
      </c>
      <c r="DZ24" s="177">
        <f>DK24</f>
        <v>0</v>
      </c>
      <c r="EA24" s="178">
        <f>+AP24</f>
        <v>0</v>
      </c>
      <c r="EB24" s="179">
        <f>DZ24*EA24</f>
        <v>0</v>
      </c>
      <c r="EC24" s="180"/>
      <c r="ED24" s="175" t="e">
        <f>DY24/EB24</f>
        <v>#DIV/0!</v>
      </c>
      <c r="EE24" s="163">
        <f t="shared" si="30"/>
        <v>0</v>
      </c>
      <c r="EF24" s="164"/>
      <c r="EG24" s="181">
        <f>DP24</f>
        <v>0</v>
      </c>
      <c r="EH24" s="182">
        <f>K24</f>
        <v>0</v>
      </c>
      <c r="EI24" s="182">
        <f>SUM(M24:Z24)</f>
        <v>0</v>
      </c>
      <c r="EJ24" s="182">
        <f>I24</f>
        <v>0</v>
      </c>
      <c r="EK24" s="183">
        <f>(EH24-EI24)*EJ24</f>
        <v>0</v>
      </c>
      <c r="EL24" s="184" t="e">
        <f>EG24/EK24</f>
        <v>#DIV/0!</v>
      </c>
      <c r="EM24" s="185">
        <f>IF(EK24&gt;0.01,1,0)</f>
        <v>0</v>
      </c>
      <c r="EN24" s="164"/>
      <c r="EO24" s="181">
        <f>EG24</f>
        <v>0</v>
      </c>
      <c r="EP24" s="183">
        <f>EJ24</f>
        <v>0</v>
      </c>
      <c r="EQ24" s="184" t="e">
        <f t="shared" si="40"/>
        <v>#DIV/0!</v>
      </c>
      <c r="ER24" s="185">
        <f t="shared" si="41"/>
        <v>0</v>
      </c>
      <c r="ES24" s="164"/>
      <c r="ET24" s="164"/>
      <c r="EU24" s="186">
        <f>DK24</f>
        <v>0</v>
      </c>
      <c r="EV24" s="186">
        <f>CU24</f>
        <v>0</v>
      </c>
      <c r="EW24" s="186">
        <f t="shared" si="44"/>
        <v>0</v>
      </c>
      <c r="EX24" s="186">
        <f>DR24</f>
        <v>0</v>
      </c>
      <c r="EY24" s="131"/>
      <c r="EZ24" s="187">
        <f>EW24-EX24</f>
        <v>0</v>
      </c>
      <c r="FA24" s="188" t="e">
        <f t="shared" si="47"/>
        <v>#DIV/0!</v>
      </c>
      <c r="FB24" s="189"/>
      <c r="FC24" s="131"/>
      <c r="FD24" s="131"/>
      <c r="FE24" s="131"/>
      <c r="FF24" s="131"/>
      <c r="FG24" s="131"/>
    </row>
    <row r="25" spans="1:163" s="169" customFormat="1" ht="16" outlineLevel="1" thickBot="1" x14ac:dyDescent="0.4">
      <c r="B25" s="358"/>
      <c r="C25" s="355"/>
      <c r="D25" s="204"/>
      <c r="E25" s="205"/>
      <c r="F25" s="135"/>
      <c r="G25" s="206"/>
      <c r="H25" s="207"/>
      <c r="I25" s="138">
        <f t="shared" si="0"/>
        <v>0</v>
      </c>
      <c r="J25" s="139"/>
      <c r="K25" s="208">
        <f t="shared" si="49"/>
        <v>0</v>
      </c>
      <c r="L25" s="141"/>
      <c r="M25" s="209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09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1"/>
      <c r="AN25" s="212">
        <f t="shared" si="2"/>
        <v>0</v>
      </c>
      <c r="AO25" s="146"/>
      <c r="AP25" s="147">
        <f t="shared" si="3"/>
        <v>0</v>
      </c>
      <c r="AQ25" s="148"/>
      <c r="AR25" s="213"/>
      <c r="AS25" s="213"/>
      <c r="AT25" s="135"/>
      <c r="AU25" s="214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4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7"/>
      <c r="CD25" s="214"/>
      <c r="CE25" s="194"/>
      <c r="CF25" s="195"/>
      <c r="CG25" s="195"/>
      <c r="CH25" s="195"/>
      <c r="CI25" s="195"/>
      <c r="CJ25" s="195"/>
      <c r="CK25" s="195"/>
      <c r="CL25" s="195"/>
      <c r="CM25" s="195"/>
      <c r="CN25" s="210"/>
      <c r="CO25" s="348"/>
      <c r="CP25" s="215"/>
      <c r="CQ25" s="216"/>
      <c r="CR25" s="217"/>
      <c r="CS25" s="218">
        <f t="shared" si="48"/>
        <v>0</v>
      </c>
      <c r="CT25" s="146"/>
      <c r="CU25" s="147">
        <f t="shared" si="4"/>
        <v>0</v>
      </c>
      <c r="CV25" s="156"/>
      <c r="CW25" s="157" t="e">
        <f t="shared" si="5"/>
        <v>#DIV/0!</v>
      </c>
      <c r="CX25" s="157" t="e">
        <f t="shared" si="6"/>
        <v>#DIV/0!</v>
      </c>
      <c r="CY25" s="157" t="e">
        <f t="shared" si="7"/>
        <v>#DIV/0!</v>
      </c>
      <c r="CZ25" s="157" t="e">
        <f t="shared" si="8"/>
        <v>#DIV/0!</v>
      </c>
      <c r="DA25" s="157" t="e">
        <f t="shared" si="9"/>
        <v>#DIV/0!</v>
      </c>
      <c r="DB25" s="158" t="e">
        <f t="shared" si="10"/>
        <v>#DIV/0!</v>
      </c>
      <c r="DC25" s="131"/>
      <c r="DD25" s="159">
        <f t="shared" si="11"/>
        <v>0</v>
      </c>
      <c r="DE25" s="160">
        <f t="shared" si="12"/>
        <v>0</v>
      </c>
      <c r="DF25" s="161">
        <f t="shared" si="13"/>
        <v>0</v>
      </c>
      <c r="DG25" s="162" t="e">
        <f t="shared" si="14"/>
        <v>#DIV/0!</v>
      </c>
      <c r="DH25" s="163">
        <f t="shared" si="15"/>
        <v>0</v>
      </c>
      <c r="DI25" s="164"/>
      <c r="DJ25" s="165">
        <f t="shared" si="16"/>
        <v>0</v>
      </c>
      <c r="DK25" s="166">
        <f t="shared" si="16"/>
        <v>0</v>
      </c>
      <c r="DL25" s="167" t="e">
        <f t="shared" si="17"/>
        <v>#DIV/0!</v>
      </c>
      <c r="DM25" s="168" t="e">
        <f t="shared" si="18"/>
        <v>#DIV/0!</v>
      </c>
      <c r="DN25" s="163" t="e">
        <f t="shared" si="19"/>
        <v>#DIV/0!</v>
      </c>
      <c r="DP25" s="170"/>
      <c r="DQ25" s="171"/>
      <c r="DR25" s="172">
        <f t="shared" si="20"/>
        <v>0</v>
      </c>
      <c r="DS25" s="173" t="e">
        <f t="shared" si="21"/>
        <v>#DIV/0!</v>
      </c>
      <c r="DT25" s="163" t="e">
        <f t="shared" si="22"/>
        <v>#DIV/0!</v>
      </c>
      <c r="DU25" s="174"/>
      <c r="DV25" s="175" t="e">
        <f t="shared" si="23"/>
        <v>#DIV/0!</v>
      </c>
      <c r="DW25" s="163">
        <f t="shared" si="24"/>
        <v>0</v>
      </c>
      <c r="DX25" s="164"/>
      <c r="DY25" s="176">
        <f t="shared" si="25"/>
        <v>0</v>
      </c>
      <c r="DZ25" s="177">
        <f t="shared" si="26"/>
        <v>0</v>
      </c>
      <c r="EA25" s="178">
        <f t="shared" si="27"/>
        <v>0</v>
      </c>
      <c r="EB25" s="179">
        <f t="shared" si="28"/>
        <v>0</v>
      </c>
      <c r="EC25" s="180"/>
      <c r="ED25" s="175" t="e">
        <f t="shared" si="29"/>
        <v>#DIV/0!</v>
      </c>
      <c r="EE25" s="163">
        <f t="shared" si="30"/>
        <v>0</v>
      </c>
      <c r="EF25" s="164"/>
      <c r="EG25" s="181">
        <f t="shared" si="31"/>
        <v>0</v>
      </c>
      <c r="EH25" s="182">
        <f t="shared" si="32"/>
        <v>0</v>
      </c>
      <c r="EI25" s="182">
        <f t="shared" si="33"/>
        <v>0</v>
      </c>
      <c r="EJ25" s="182">
        <f t="shared" si="34"/>
        <v>0</v>
      </c>
      <c r="EK25" s="183">
        <f t="shared" si="35"/>
        <v>0</v>
      </c>
      <c r="EL25" s="184" t="e">
        <f t="shared" si="36"/>
        <v>#DIV/0!</v>
      </c>
      <c r="EM25" s="185">
        <f t="shared" si="37"/>
        <v>0</v>
      </c>
      <c r="EN25" s="164"/>
      <c r="EO25" s="181">
        <f t="shared" si="38"/>
        <v>0</v>
      </c>
      <c r="EP25" s="183">
        <f t="shared" si="39"/>
        <v>0</v>
      </c>
      <c r="EQ25" s="184" t="e">
        <f t="shared" si="40"/>
        <v>#DIV/0!</v>
      </c>
      <c r="ER25" s="185">
        <f t="shared" si="41"/>
        <v>0</v>
      </c>
      <c r="ES25" s="164"/>
      <c r="ET25" s="164"/>
      <c r="EU25" s="186">
        <f t="shared" si="42"/>
        <v>0</v>
      </c>
      <c r="EV25" s="186">
        <f t="shared" si="43"/>
        <v>0</v>
      </c>
      <c r="EW25" s="186">
        <f t="shared" si="44"/>
        <v>0</v>
      </c>
      <c r="EX25" s="186">
        <f t="shared" si="45"/>
        <v>0</v>
      </c>
      <c r="EY25" s="131"/>
      <c r="EZ25" s="187">
        <f t="shared" si="46"/>
        <v>0</v>
      </c>
      <c r="FA25" s="188" t="e">
        <f t="shared" si="47"/>
        <v>#DIV/0!</v>
      </c>
      <c r="FB25" s="189"/>
      <c r="FC25" s="131"/>
      <c r="FD25" s="131"/>
      <c r="FE25" s="131"/>
      <c r="FF25" s="131"/>
      <c r="FG25" s="131"/>
    </row>
    <row r="26" spans="1:163" ht="16" outlineLevel="1" thickBot="1" x14ac:dyDescent="0.4">
      <c r="A26" s="132">
        <v>0</v>
      </c>
      <c r="B26" s="356"/>
      <c r="C26" s="353"/>
      <c r="D26" s="133"/>
      <c r="E26" s="134"/>
      <c r="F26" s="135"/>
      <c r="G26" s="136"/>
      <c r="H26" s="137"/>
      <c r="I26" s="138">
        <f>IF(E26&gt;0.0001,9.4,0)</f>
        <v>0</v>
      </c>
      <c r="J26" s="139"/>
      <c r="K26" s="140">
        <f t="shared" si="49"/>
        <v>0</v>
      </c>
      <c r="L26" s="141"/>
      <c r="M26" s="142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2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4"/>
      <c r="AN26" s="145">
        <f t="shared" si="2"/>
        <v>0</v>
      </c>
      <c r="AO26" s="146"/>
      <c r="AP26" s="147">
        <f t="shared" si="3"/>
        <v>0</v>
      </c>
      <c r="AQ26" s="148"/>
      <c r="AR26" s="149"/>
      <c r="AS26" s="149"/>
      <c r="AT26" s="135"/>
      <c r="AU26" s="150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0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4"/>
      <c r="CD26" s="150"/>
      <c r="CE26" s="142"/>
      <c r="CF26" s="143"/>
      <c r="CG26" s="143"/>
      <c r="CH26" s="143"/>
      <c r="CI26" s="143"/>
      <c r="CJ26" s="143"/>
      <c r="CK26" s="143"/>
      <c r="CL26" s="143"/>
      <c r="CM26" s="143"/>
      <c r="CN26" s="143"/>
      <c r="CO26" s="346"/>
      <c r="CP26" s="151"/>
      <c r="CQ26" s="152"/>
      <c r="CR26" s="154"/>
      <c r="CS26" s="155">
        <f t="shared" si="48"/>
        <v>0</v>
      </c>
      <c r="CT26" s="146"/>
      <c r="CU26" s="147">
        <f t="shared" si="4"/>
        <v>0</v>
      </c>
      <c r="CV26" s="156"/>
      <c r="CW26" s="157" t="e">
        <f t="shared" si="5"/>
        <v>#DIV/0!</v>
      </c>
      <c r="CX26" s="157" t="e">
        <f t="shared" si="6"/>
        <v>#DIV/0!</v>
      </c>
      <c r="CY26" s="157" t="e">
        <f t="shared" si="7"/>
        <v>#DIV/0!</v>
      </c>
      <c r="CZ26" s="157" t="e">
        <f t="shared" si="8"/>
        <v>#DIV/0!</v>
      </c>
      <c r="DA26" s="157" t="e">
        <f t="shared" si="9"/>
        <v>#DIV/0!</v>
      </c>
      <c r="DB26" s="158" t="e">
        <f t="shared" si="10"/>
        <v>#DIV/0!</v>
      </c>
      <c r="DC26" s="131"/>
      <c r="DD26" s="159">
        <f t="shared" si="11"/>
        <v>0</v>
      </c>
      <c r="DE26" s="160">
        <f t="shared" si="12"/>
        <v>0</v>
      </c>
      <c r="DF26" s="161">
        <f t="shared" si="13"/>
        <v>0</v>
      </c>
      <c r="DG26" s="162" t="e">
        <f t="shared" si="14"/>
        <v>#DIV/0!</v>
      </c>
      <c r="DH26" s="163">
        <f t="shared" si="15"/>
        <v>0</v>
      </c>
      <c r="DI26" s="164"/>
      <c r="DJ26" s="165">
        <f t="shared" si="16"/>
        <v>0</v>
      </c>
      <c r="DK26" s="166">
        <f t="shared" si="16"/>
        <v>0</v>
      </c>
      <c r="DL26" s="167" t="e">
        <f t="shared" si="17"/>
        <v>#DIV/0!</v>
      </c>
      <c r="DM26" s="168" t="e">
        <f t="shared" si="18"/>
        <v>#DIV/0!</v>
      </c>
      <c r="DN26" s="163" t="e">
        <f t="shared" si="19"/>
        <v>#DIV/0!</v>
      </c>
      <c r="DO26" s="169"/>
      <c r="DP26" s="170"/>
      <c r="DQ26" s="171"/>
      <c r="DR26" s="172">
        <f t="shared" si="20"/>
        <v>0</v>
      </c>
      <c r="DS26" s="173" t="e">
        <f t="shared" si="21"/>
        <v>#DIV/0!</v>
      </c>
      <c r="DT26" s="163" t="e">
        <f t="shared" si="22"/>
        <v>#DIV/0!</v>
      </c>
      <c r="DU26" s="174"/>
      <c r="DV26" s="175" t="e">
        <f t="shared" si="23"/>
        <v>#DIV/0!</v>
      </c>
      <c r="DW26" s="163">
        <f t="shared" si="24"/>
        <v>0</v>
      </c>
      <c r="DX26" s="164"/>
      <c r="DY26" s="176">
        <f t="shared" si="25"/>
        <v>0</v>
      </c>
      <c r="DZ26" s="177">
        <f t="shared" si="26"/>
        <v>0</v>
      </c>
      <c r="EA26" s="178">
        <f t="shared" si="27"/>
        <v>0</v>
      </c>
      <c r="EB26" s="179">
        <f t="shared" si="28"/>
        <v>0</v>
      </c>
      <c r="EC26" s="180"/>
      <c r="ED26" s="175" t="e">
        <f t="shared" si="29"/>
        <v>#DIV/0!</v>
      </c>
      <c r="EE26" s="163">
        <f t="shared" si="30"/>
        <v>0</v>
      </c>
      <c r="EF26" s="164"/>
      <c r="EG26" s="181">
        <f t="shared" si="31"/>
        <v>0</v>
      </c>
      <c r="EH26" s="182">
        <f t="shared" si="32"/>
        <v>0</v>
      </c>
      <c r="EI26" s="182">
        <f t="shared" si="33"/>
        <v>0</v>
      </c>
      <c r="EJ26" s="182">
        <f t="shared" si="34"/>
        <v>0</v>
      </c>
      <c r="EK26" s="183">
        <f t="shared" si="35"/>
        <v>0</v>
      </c>
      <c r="EL26" s="184" t="e">
        <f t="shared" si="36"/>
        <v>#DIV/0!</v>
      </c>
      <c r="EM26" s="185">
        <f t="shared" si="37"/>
        <v>0</v>
      </c>
      <c r="EN26" s="164"/>
      <c r="EO26" s="181">
        <f t="shared" si="38"/>
        <v>0</v>
      </c>
      <c r="EP26" s="183">
        <f t="shared" si="39"/>
        <v>0</v>
      </c>
      <c r="EQ26" s="184" t="e">
        <f t="shared" si="40"/>
        <v>#DIV/0!</v>
      </c>
      <c r="ER26" s="185">
        <f t="shared" si="41"/>
        <v>0</v>
      </c>
      <c r="ES26" s="164"/>
      <c r="ET26" s="164"/>
      <c r="EU26" s="186">
        <f t="shared" si="42"/>
        <v>0</v>
      </c>
      <c r="EV26" s="186">
        <f t="shared" si="43"/>
        <v>0</v>
      </c>
      <c r="EW26" s="186">
        <f t="shared" si="44"/>
        <v>0</v>
      </c>
      <c r="EX26" s="186">
        <f t="shared" si="45"/>
        <v>0</v>
      </c>
      <c r="EY26" s="131"/>
      <c r="EZ26" s="187">
        <f t="shared" si="46"/>
        <v>0</v>
      </c>
      <c r="FA26" s="188" t="e">
        <f t="shared" si="47"/>
        <v>#DIV/0!</v>
      </c>
      <c r="FB26" s="189"/>
      <c r="FC26" s="131"/>
      <c r="FD26" s="131"/>
      <c r="FE26" s="131"/>
      <c r="FF26" s="131"/>
      <c r="FG26" s="131"/>
    </row>
    <row r="27" spans="1:163" ht="16" outlineLevel="1" thickBot="1" x14ac:dyDescent="0.4">
      <c r="B27" s="357"/>
      <c r="C27" s="354"/>
      <c r="D27" s="190"/>
      <c r="E27" s="191"/>
      <c r="F27" s="135"/>
      <c r="G27" s="192"/>
      <c r="H27" s="137"/>
      <c r="I27" s="138">
        <f t="shared" si="0"/>
        <v>0</v>
      </c>
      <c r="J27" s="139"/>
      <c r="K27" s="193">
        <f t="shared" si="49"/>
        <v>0</v>
      </c>
      <c r="L27" s="141"/>
      <c r="M27" s="194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4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6"/>
      <c r="AN27" s="197">
        <f t="shared" si="2"/>
        <v>0</v>
      </c>
      <c r="AO27" s="146"/>
      <c r="AP27" s="147">
        <f t="shared" si="3"/>
        <v>0</v>
      </c>
      <c r="AQ27" s="148"/>
      <c r="AR27" s="198"/>
      <c r="AS27" s="198"/>
      <c r="AT27" s="135"/>
      <c r="AU27" s="199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1"/>
      <c r="BQ27" s="201"/>
      <c r="BR27" s="199"/>
      <c r="BS27" s="200"/>
      <c r="BT27" s="200"/>
      <c r="BU27" s="200"/>
      <c r="BV27" s="200"/>
      <c r="BW27" s="200"/>
      <c r="BX27" s="200"/>
      <c r="BY27" s="200"/>
      <c r="BZ27" s="200"/>
      <c r="CA27" s="200"/>
      <c r="CB27" s="200"/>
      <c r="CC27" s="202"/>
      <c r="CD27" s="199"/>
      <c r="CE27" s="194"/>
      <c r="CF27" s="195"/>
      <c r="CG27" s="195"/>
      <c r="CH27" s="195"/>
      <c r="CI27" s="195"/>
      <c r="CJ27" s="195"/>
      <c r="CK27" s="195"/>
      <c r="CL27" s="195"/>
      <c r="CM27" s="195"/>
      <c r="CN27" s="195"/>
      <c r="CO27" s="347"/>
      <c r="CP27" s="200"/>
      <c r="CQ27" s="201"/>
      <c r="CR27" s="202"/>
      <c r="CS27" s="203">
        <f t="shared" si="48"/>
        <v>0</v>
      </c>
      <c r="CT27" s="146"/>
      <c r="CU27" s="147">
        <f t="shared" si="4"/>
        <v>0</v>
      </c>
      <c r="CV27" s="156"/>
      <c r="CW27" s="157" t="e">
        <f t="shared" si="5"/>
        <v>#DIV/0!</v>
      </c>
      <c r="CX27" s="157" t="e">
        <f t="shared" si="6"/>
        <v>#DIV/0!</v>
      </c>
      <c r="CY27" s="157" t="e">
        <f t="shared" si="7"/>
        <v>#DIV/0!</v>
      </c>
      <c r="CZ27" s="157" t="e">
        <f t="shared" si="8"/>
        <v>#DIV/0!</v>
      </c>
      <c r="DA27" s="157" t="e">
        <f t="shared" si="9"/>
        <v>#DIV/0!</v>
      </c>
      <c r="DB27" s="158" t="e">
        <f t="shared" si="10"/>
        <v>#DIV/0!</v>
      </c>
      <c r="DC27" s="131"/>
      <c r="DD27" s="159">
        <f t="shared" si="11"/>
        <v>0</v>
      </c>
      <c r="DE27" s="160">
        <f t="shared" si="12"/>
        <v>0</v>
      </c>
      <c r="DF27" s="161">
        <f t="shared" si="13"/>
        <v>0</v>
      </c>
      <c r="DG27" s="162" t="e">
        <f t="shared" si="14"/>
        <v>#DIV/0!</v>
      </c>
      <c r="DH27" s="163">
        <f t="shared" si="15"/>
        <v>0</v>
      </c>
      <c r="DI27" s="164"/>
      <c r="DJ27" s="165">
        <f t="shared" si="16"/>
        <v>0</v>
      </c>
      <c r="DK27" s="166">
        <f t="shared" si="16"/>
        <v>0</v>
      </c>
      <c r="DL27" s="167" t="e">
        <f t="shared" si="17"/>
        <v>#DIV/0!</v>
      </c>
      <c r="DM27" s="168" t="e">
        <f t="shared" si="18"/>
        <v>#DIV/0!</v>
      </c>
      <c r="DN27" s="163" t="e">
        <f t="shared" si="19"/>
        <v>#DIV/0!</v>
      </c>
      <c r="DO27" s="169"/>
      <c r="DP27" s="170"/>
      <c r="DQ27" s="171"/>
      <c r="DR27" s="172">
        <f t="shared" si="20"/>
        <v>0</v>
      </c>
      <c r="DS27" s="173" t="e">
        <f t="shared" si="21"/>
        <v>#DIV/0!</v>
      </c>
      <c r="DT27" s="163" t="e">
        <f t="shared" si="22"/>
        <v>#DIV/0!</v>
      </c>
      <c r="DU27" s="174"/>
      <c r="DV27" s="175" t="e">
        <f t="shared" si="23"/>
        <v>#DIV/0!</v>
      </c>
      <c r="DW27" s="163">
        <f t="shared" si="24"/>
        <v>0</v>
      </c>
      <c r="DX27" s="164"/>
      <c r="DY27" s="176">
        <f t="shared" si="25"/>
        <v>0</v>
      </c>
      <c r="DZ27" s="177">
        <f t="shared" si="26"/>
        <v>0</v>
      </c>
      <c r="EA27" s="178">
        <f t="shared" si="27"/>
        <v>0</v>
      </c>
      <c r="EB27" s="179">
        <f t="shared" si="28"/>
        <v>0</v>
      </c>
      <c r="EC27" s="180"/>
      <c r="ED27" s="175" t="e">
        <f t="shared" si="29"/>
        <v>#DIV/0!</v>
      </c>
      <c r="EE27" s="163">
        <f t="shared" si="30"/>
        <v>0</v>
      </c>
      <c r="EF27" s="164"/>
      <c r="EG27" s="181">
        <f t="shared" si="31"/>
        <v>0</v>
      </c>
      <c r="EH27" s="182">
        <f t="shared" si="32"/>
        <v>0</v>
      </c>
      <c r="EI27" s="182">
        <f t="shared" si="33"/>
        <v>0</v>
      </c>
      <c r="EJ27" s="182">
        <f t="shared" si="34"/>
        <v>0</v>
      </c>
      <c r="EK27" s="183">
        <f t="shared" si="35"/>
        <v>0</v>
      </c>
      <c r="EL27" s="184" t="e">
        <f t="shared" si="36"/>
        <v>#DIV/0!</v>
      </c>
      <c r="EM27" s="185">
        <f t="shared" si="37"/>
        <v>0</v>
      </c>
      <c r="EN27" s="164"/>
      <c r="EO27" s="181">
        <f t="shared" si="38"/>
        <v>0</v>
      </c>
      <c r="EP27" s="183">
        <f t="shared" si="39"/>
        <v>0</v>
      </c>
      <c r="EQ27" s="184" t="e">
        <f t="shared" si="40"/>
        <v>#DIV/0!</v>
      </c>
      <c r="ER27" s="185">
        <f t="shared" si="41"/>
        <v>0</v>
      </c>
      <c r="ES27" s="164"/>
      <c r="ET27" s="164"/>
      <c r="EU27" s="186">
        <f t="shared" si="42"/>
        <v>0</v>
      </c>
      <c r="EV27" s="186">
        <f t="shared" si="43"/>
        <v>0</v>
      </c>
      <c r="EW27" s="186">
        <f t="shared" si="44"/>
        <v>0</v>
      </c>
      <c r="EX27" s="186">
        <f t="shared" si="45"/>
        <v>0</v>
      </c>
      <c r="EY27" s="131"/>
      <c r="EZ27" s="187">
        <f t="shared" si="46"/>
        <v>0</v>
      </c>
      <c r="FA27" s="188" t="e">
        <f t="shared" si="47"/>
        <v>#DIV/0!</v>
      </c>
      <c r="FB27" s="189"/>
      <c r="FC27" s="131"/>
      <c r="FD27" s="131"/>
      <c r="FE27" s="131"/>
      <c r="FF27" s="131"/>
      <c r="FG27" s="131"/>
    </row>
    <row r="28" spans="1:163" ht="16" outlineLevel="1" thickBot="1" x14ac:dyDescent="0.4">
      <c r="B28" s="358"/>
      <c r="C28" s="355"/>
      <c r="D28" s="204"/>
      <c r="E28" s="205"/>
      <c r="F28" s="135"/>
      <c r="G28" s="206"/>
      <c r="H28" s="207"/>
      <c r="I28" s="138">
        <f t="shared" si="0"/>
        <v>0</v>
      </c>
      <c r="J28" s="139"/>
      <c r="K28" s="208">
        <f t="shared" si="49"/>
        <v>0</v>
      </c>
      <c r="L28" s="141"/>
      <c r="M28" s="209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09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1"/>
      <c r="AN28" s="212">
        <f t="shared" si="2"/>
        <v>0</v>
      </c>
      <c r="AO28" s="146"/>
      <c r="AP28" s="147">
        <f t="shared" si="3"/>
        <v>0</v>
      </c>
      <c r="AQ28" s="148"/>
      <c r="AR28" s="213"/>
      <c r="AS28" s="213"/>
      <c r="AT28" s="135"/>
      <c r="AU28" s="214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4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7"/>
      <c r="CD28" s="214"/>
      <c r="CE28" s="209"/>
      <c r="CF28" s="210"/>
      <c r="CG28" s="210"/>
      <c r="CH28" s="210"/>
      <c r="CI28" s="210"/>
      <c r="CJ28" s="210"/>
      <c r="CK28" s="210"/>
      <c r="CL28" s="210"/>
      <c r="CM28" s="210"/>
      <c r="CN28" s="210"/>
      <c r="CO28" s="348"/>
      <c r="CP28" s="215"/>
      <c r="CQ28" s="216"/>
      <c r="CR28" s="217"/>
      <c r="CS28" s="218">
        <f t="shared" si="48"/>
        <v>0</v>
      </c>
      <c r="CT28" s="146"/>
      <c r="CU28" s="147">
        <f t="shared" si="4"/>
        <v>0</v>
      </c>
      <c r="CV28" s="156"/>
      <c r="CW28" s="157" t="e">
        <f t="shared" si="5"/>
        <v>#DIV/0!</v>
      </c>
      <c r="CX28" s="157" t="e">
        <f t="shared" si="6"/>
        <v>#DIV/0!</v>
      </c>
      <c r="CY28" s="157" t="e">
        <f t="shared" si="7"/>
        <v>#DIV/0!</v>
      </c>
      <c r="CZ28" s="157" t="e">
        <f t="shared" si="8"/>
        <v>#DIV/0!</v>
      </c>
      <c r="DA28" s="157" t="e">
        <f t="shared" si="9"/>
        <v>#DIV/0!</v>
      </c>
      <c r="DB28" s="158" t="e">
        <f t="shared" si="10"/>
        <v>#DIV/0!</v>
      </c>
      <c r="DC28" s="131"/>
      <c r="DD28" s="159">
        <f t="shared" si="11"/>
        <v>0</v>
      </c>
      <c r="DE28" s="160">
        <f t="shared" si="12"/>
        <v>0</v>
      </c>
      <c r="DF28" s="161">
        <f t="shared" si="13"/>
        <v>0</v>
      </c>
      <c r="DG28" s="162" t="e">
        <f t="shared" si="14"/>
        <v>#DIV/0!</v>
      </c>
      <c r="DH28" s="163">
        <f t="shared" si="15"/>
        <v>0</v>
      </c>
      <c r="DI28" s="164"/>
      <c r="DJ28" s="165">
        <f t="shared" si="16"/>
        <v>0</v>
      </c>
      <c r="DK28" s="166">
        <f t="shared" si="16"/>
        <v>0</v>
      </c>
      <c r="DL28" s="167" t="e">
        <f t="shared" si="17"/>
        <v>#DIV/0!</v>
      </c>
      <c r="DM28" s="168" t="e">
        <f t="shared" si="18"/>
        <v>#DIV/0!</v>
      </c>
      <c r="DN28" s="163" t="e">
        <f t="shared" si="19"/>
        <v>#DIV/0!</v>
      </c>
      <c r="DO28" s="169"/>
      <c r="DP28" s="170"/>
      <c r="DQ28" s="171"/>
      <c r="DR28" s="172">
        <f t="shared" si="20"/>
        <v>0</v>
      </c>
      <c r="DS28" s="173" t="e">
        <f t="shared" si="21"/>
        <v>#DIV/0!</v>
      </c>
      <c r="DT28" s="163" t="e">
        <f t="shared" si="22"/>
        <v>#DIV/0!</v>
      </c>
      <c r="DU28" s="174"/>
      <c r="DV28" s="175" t="e">
        <f t="shared" si="23"/>
        <v>#DIV/0!</v>
      </c>
      <c r="DW28" s="163">
        <f t="shared" si="24"/>
        <v>0</v>
      </c>
      <c r="DX28" s="164"/>
      <c r="DY28" s="176">
        <f t="shared" si="25"/>
        <v>0</v>
      </c>
      <c r="DZ28" s="177">
        <f t="shared" si="26"/>
        <v>0</v>
      </c>
      <c r="EA28" s="178">
        <f t="shared" si="27"/>
        <v>0</v>
      </c>
      <c r="EB28" s="179">
        <f t="shared" si="28"/>
        <v>0</v>
      </c>
      <c r="EC28" s="180"/>
      <c r="ED28" s="175" t="e">
        <f t="shared" si="29"/>
        <v>#DIV/0!</v>
      </c>
      <c r="EE28" s="163">
        <f t="shared" si="30"/>
        <v>0</v>
      </c>
      <c r="EF28" s="164"/>
      <c r="EG28" s="181">
        <f t="shared" si="31"/>
        <v>0</v>
      </c>
      <c r="EH28" s="182">
        <f t="shared" si="32"/>
        <v>0</v>
      </c>
      <c r="EI28" s="182">
        <f t="shared" si="33"/>
        <v>0</v>
      </c>
      <c r="EJ28" s="182">
        <f t="shared" si="34"/>
        <v>0</v>
      </c>
      <c r="EK28" s="183">
        <f t="shared" si="35"/>
        <v>0</v>
      </c>
      <c r="EL28" s="184" t="e">
        <f t="shared" si="36"/>
        <v>#DIV/0!</v>
      </c>
      <c r="EM28" s="185">
        <f t="shared" si="37"/>
        <v>0</v>
      </c>
      <c r="EN28" s="164"/>
      <c r="EO28" s="181">
        <f t="shared" si="38"/>
        <v>0</v>
      </c>
      <c r="EP28" s="183">
        <f t="shared" si="39"/>
        <v>0</v>
      </c>
      <c r="EQ28" s="184" t="e">
        <f t="shared" si="40"/>
        <v>#DIV/0!</v>
      </c>
      <c r="ER28" s="185">
        <f t="shared" si="41"/>
        <v>0</v>
      </c>
      <c r="ES28" s="164"/>
      <c r="ET28" s="164"/>
      <c r="EU28" s="186">
        <f t="shared" si="42"/>
        <v>0</v>
      </c>
      <c r="EV28" s="186">
        <f t="shared" si="43"/>
        <v>0</v>
      </c>
      <c r="EW28" s="186">
        <f t="shared" si="44"/>
        <v>0</v>
      </c>
      <c r="EX28" s="186">
        <f t="shared" si="45"/>
        <v>0</v>
      </c>
      <c r="EY28" s="131"/>
      <c r="EZ28" s="187">
        <f t="shared" si="46"/>
        <v>0</v>
      </c>
      <c r="FA28" s="188" t="e">
        <f t="shared" si="47"/>
        <v>#DIV/0!</v>
      </c>
      <c r="FB28" s="189"/>
      <c r="FC28" s="131"/>
      <c r="FD28" s="131"/>
      <c r="FE28" s="131"/>
      <c r="FF28" s="131"/>
      <c r="FG28" s="131"/>
    </row>
    <row r="29" spans="1:163" ht="16" outlineLevel="1" thickBot="1" x14ac:dyDescent="0.4">
      <c r="B29" s="356"/>
      <c r="C29" s="353"/>
      <c r="D29" s="133"/>
      <c r="E29" s="134"/>
      <c r="F29" s="135"/>
      <c r="G29" s="136"/>
      <c r="H29" s="137"/>
      <c r="I29" s="138">
        <f t="shared" si="0"/>
        <v>0</v>
      </c>
      <c r="J29" s="139"/>
      <c r="K29" s="140">
        <f t="shared" si="49"/>
        <v>0</v>
      </c>
      <c r="L29" s="141"/>
      <c r="M29" s="142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4"/>
      <c r="AN29" s="145">
        <f t="shared" si="2"/>
        <v>0</v>
      </c>
      <c r="AO29" s="146"/>
      <c r="AP29" s="147">
        <f t="shared" si="3"/>
        <v>0</v>
      </c>
      <c r="AQ29" s="148"/>
      <c r="AR29" s="149"/>
      <c r="AS29" s="149"/>
      <c r="AT29" s="135"/>
      <c r="AU29" s="150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0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4"/>
      <c r="CD29" s="150"/>
      <c r="CE29" s="142"/>
      <c r="CF29" s="143"/>
      <c r="CG29" s="143"/>
      <c r="CH29" s="143"/>
      <c r="CI29" s="143"/>
      <c r="CJ29" s="143"/>
      <c r="CK29" s="143"/>
      <c r="CL29" s="143"/>
      <c r="CM29" s="143"/>
      <c r="CN29" s="143"/>
      <c r="CO29" s="346"/>
      <c r="CP29" s="151"/>
      <c r="CQ29" s="152"/>
      <c r="CR29" s="154"/>
      <c r="CS29" s="155">
        <f t="shared" si="48"/>
        <v>0</v>
      </c>
      <c r="CT29" s="146"/>
      <c r="CU29" s="147">
        <f t="shared" si="4"/>
        <v>0</v>
      </c>
      <c r="CV29" s="156"/>
      <c r="CW29" s="157" t="e">
        <f t="shared" si="5"/>
        <v>#DIV/0!</v>
      </c>
      <c r="CX29" s="157" t="e">
        <f t="shared" si="6"/>
        <v>#DIV/0!</v>
      </c>
      <c r="CY29" s="157" t="e">
        <f t="shared" si="7"/>
        <v>#DIV/0!</v>
      </c>
      <c r="CZ29" s="157" t="e">
        <f t="shared" si="8"/>
        <v>#DIV/0!</v>
      </c>
      <c r="DA29" s="157" t="e">
        <f t="shared" si="9"/>
        <v>#DIV/0!</v>
      </c>
      <c r="DB29" s="158" t="e">
        <f t="shared" si="10"/>
        <v>#DIV/0!</v>
      </c>
      <c r="DC29" s="131"/>
      <c r="DD29" s="159">
        <f t="shared" si="11"/>
        <v>0</v>
      </c>
      <c r="DE29" s="160">
        <f t="shared" si="12"/>
        <v>0</v>
      </c>
      <c r="DF29" s="161">
        <f t="shared" si="13"/>
        <v>0</v>
      </c>
      <c r="DG29" s="162" t="e">
        <f t="shared" si="14"/>
        <v>#DIV/0!</v>
      </c>
      <c r="DH29" s="163">
        <f t="shared" si="15"/>
        <v>0</v>
      </c>
      <c r="DI29" s="164"/>
      <c r="DJ29" s="165">
        <f t="shared" si="16"/>
        <v>0</v>
      </c>
      <c r="DK29" s="166">
        <f t="shared" si="16"/>
        <v>0</v>
      </c>
      <c r="DL29" s="167" t="e">
        <f t="shared" si="17"/>
        <v>#DIV/0!</v>
      </c>
      <c r="DM29" s="168" t="e">
        <f t="shared" si="18"/>
        <v>#DIV/0!</v>
      </c>
      <c r="DN29" s="163" t="e">
        <f t="shared" si="19"/>
        <v>#DIV/0!</v>
      </c>
      <c r="DO29" s="169"/>
      <c r="DP29" s="170"/>
      <c r="DQ29" s="171"/>
      <c r="DR29" s="172">
        <f t="shared" si="20"/>
        <v>0</v>
      </c>
      <c r="DS29" s="173" t="e">
        <f t="shared" si="21"/>
        <v>#DIV/0!</v>
      </c>
      <c r="DT29" s="163" t="e">
        <f t="shared" si="22"/>
        <v>#DIV/0!</v>
      </c>
      <c r="DU29" s="174"/>
      <c r="DV29" s="175" t="e">
        <f t="shared" si="23"/>
        <v>#DIV/0!</v>
      </c>
      <c r="DW29" s="163">
        <f t="shared" si="24"/>
        <v>0</v>
      </c>
      <c r="DX29" s="164"/>
      <c r="DY29" s="176">
        <f t="shared" si="25"/>
        <v>0</v>
      </c>
      <c r="DZ29" s="177">
        <f t="shared" si="26"/>
        <v>0</v>
      </c>
      <c r="EA29" s="178">
        <f t="shared" si="27"/>
        <v>0</v>
      </c>
      <c r="EB29" s="179">
        <f t="shared" si="28"/>
        <v>0</v>
      </c>
      <c r="EC29" s="180"/>
      <c r="ED29" s="175" t="e">
        <f t="shared" si="29"/>
        <v>#DIV/0!</v>
      </c>
      <c r="EE29" s="163">
        <f t="shared" si="30"/>
        <v>0</v>
      </c>
      <c r="EF29" s="164"/>
      <c r="EG29" s="181">
        <f t="shared" si="31"/>
        <v>0</v>
      </c>
      <c r="EH29" s="182">
        <f t="shared" si="32"/>
        <v>0</v>
      </c>
      <c r="EI29" s="182">
        <f t="shared" si="33"/>
        <v>0</v>
      </c>
      <c r="EJ29" s="182">
        <f t="shared" si="34"/>
        <v>0</v>
      </c>
      <c r="EK29" s="183">
        <f t="shared" si="35"/>
        <v>0</v>
      </c>
      <c r="EL29" s="184" t="e">
        <f t="shared" si="36"/>
        <v>#DIV/0!</v>
      </c>
      <c r="EM29" s="185">
        <f t="shared" si="37"/>
        <v>0</v>
      </c>
      <c r="EN29" s="164"/>
      <c r="EO29" s="181">
        <f t="shared" si="38"/>
        <v>0</v>
      </c>
      <c r="EP29" s="183">
        <f t="shared" si="39"/>
        <v>0</v>
      </c>
      <c r="EQ29" s="184" t="e">
        <f t="shared" si="40"/>
        <v>#DIV/0!</v>
      </c>
      <c r="ER29" s="185">
        <f t="shared" si="41"/>
        <v>0</v>
      </c>
      <c r="ES29" s="164"/>
      <c r="ET29" s="164"/>
      <c r="EU29" s="186">
        <f t="shared" si="42"/>
        <v>0</v>
      </c>
      <c r="EV29" s="186">
        <f t="shared" si="43"/>
        <v>0</v>
      </c>
      <c r="EW29" s="186">
        <f t="shared" si="44"/>
        <v>0</v>
      </c>
      <c r="EX29" s="186">
        <f t="shared" si="45"/>
        <v>0</v>
      </c>
      <c r="EY29" s="131"/>
      <c r="EZ29" s="187">
        <f t="shared" si="46"/>
        <v>0</v>
      </c>
      <c r="FA29" s="188" t="e">
        <f t="shared" si="47"/>
        <v>#DIV/0!</v>
      </c>
      <c r="FB29" s="189"/>
      <c r="FC29" s="131"/>
      <c r="FD29" s="131"/>
      <c r="FE29" s="131"/>
      <c r="FF29" s="131"/>
      <c r="FG29" s="131"/>
    </row>
    <row r="30" spans="1:163" ht="16" outlineLevel="1" thickBot="1" x14ac:dyDescent="0.4">
      <c r="B30" s="357"/>
      <c r="C30" s="354"/>
      <c r="D30" s="190"/>
      <c r="E30" s="191"/>
      <c r="F30" s="135"/>
      <c r="G30" s="192"/>
      <c r="H30" s="137"/>
      <c r="I30" s="138">
        <f t="shared" si="0"/>
        <v>0</v>
      </c>
      <c r="J30" s="139"/>
      <c r="K30" s="193">
        <f t="shared" si="49"/>
        <v>0</v>
      </c>
      <c r="L30" s="141"/>
      <c r="M30" s="194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4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6"/>
      <c r="AN30" s="197">
        <f t="shared" si="2"/>
        <v>0</v>
      </c>
      <c r="AO30" s="146"/>
      <c r="AP30" s="147">
        <f t="shared" si="3"/>
        <v>0</v>
      </c>
      <c r="AQ30" s="148"/>
      <c r="AR30" s="198"/>
      <c r="AS30" s="198"/>
      <c r="AT30" s="135"/>
      <c r="AU30" s="199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199"/>
      <c r="BS30" s="200"/>
      <c r="BT30" s="200"/>
      <c r="BU30" s="200"/>
      <c r="BV30" s="200"/>
      <c r="BW30" s="200"/>
      <c r="BX30" s="200"/>
      <c r="BY30" s="200"/>
      <c r="BZ30" s="200"/>
      <c r="CA30" s="200"/>
      <c r="CB30" s="200"/>
      <c r="CC30" s="202"/>
      <c r="CD30" s="199"/>
      <c r="CE30" s="194"/>
      <c r="CF30" s="195"/>
      <c r="CG30" s="195"/>
      <c r="CH30" s="195"/>
      <c r="CI30" s="195"/>
      <c r="CJ30" s="195"/>
      <c r="CK30" s="195"/>
      <c r="CL30" s="195"/>
      <c r="CM30" s="195"/>
      <c r="CN30" s="195"/>
      <c r="CO30" s="347"/>
      <c r="CP30" s="200"/>
      <c r="CQ30" s="201"/>
      <c r="CR30" s="202"/>
      <c r="CS30" s="203">
        <f t="shared" si="48"/>
        <v>0</v>
      </c>
      <c r="CT30" s="146"/>
      <c r="CU30" s="147">
        <f t="shared" si="4"/>
        <v>0</v>
      </c>
      <c r="CV30" s="156"/>
      <c r="CW30" s="157" t="e">
        <f t="shared" si="5"/>
        <v>#DIV/0!</v>
      </c>
      <c r="CX30" s="157" t="e">
        <f t="shared" si="6"/>
        <v>#DIV/0!</v>
      </c>
      <c r="CY30" s="157" t="e">
        <f t="shared" si="7"/>
        <v>#DIV/0!</v>
      </c>
      <c r="CZ30" s="157" t="e">
        <f t="shared" si="8"/>
        <v>#DIV/0!</v>
      </c>
      <c r="DA30" s="157" t="e">
        <f t="shared" si="9"/>
        <v>#DIV/0!</v>
      </c>
      <c r="DB30" s="158" t="e">
        <f t="shared" si="10"/>
        <v>#DIV/0!</v>
      </c>
      <c r="DC30" s="131"/>
      <c r="DD30" s="159">
        <f t="shared" si="11"/>
        <v>0</v>
      </c>
      <c r="DE30" s="160">
        <f t="shared" si="12"/>
        <v>0</v>
      </c>
      <c r="DF30" s="161">
        <f t="shared" si="13"/>
        <v>0</v>
      </c>
      <c r="DG30" s="162" t="e">
        <f t="shared" si="14"/>
        <v>#DIV/0!</v>
      </c>
      <c r="DH30" s="163">
        <f t="shared" si="15"/>
        <v>0</v>
      </c>
      <c r="DI30" s="164"/>
      <c r="DJ30" s="165">
        <f t="shared" si="16"/>
        <v>0</v>
      </c>
      <c r="DK30" s="166">
        <f t="shared" si="16"/>
        <v>0</v>
      </c>
      <c r="DL30" s="167" t="e">
        <f t="shared" si="17"/>
        <v>#DIV/0!</v>
      </c>
      <c r="DM30" s="168" t="e">
        <f t="shared" si="18"/>
        <v>#DIV/0!</v>
      </c>
      <c r="DN30" s="163" t="e">
        <f t="shared" si="19"/>
        <v>#DIV/0!</v>
      </c>
      <c r="DO30" s="169"/>
      <c r="DP30" s="170"/>
      <c r="DQ30" s="171"/>
      <c r="DR30" s="172">
        <f t="shared" si="20"/>
        <v>0</v>
      </c>
      <c r="DS30" s="173" t="e">
        <f t="shared" si="21"/>
        <v>#DIV/0!</v>
      </c>
      <c r="DT30" s="163" t="e">
        <f t="shared" si="22"/>
        <v>#DIV/0!</v>
      </c>
      <c r="DU30" s="174"/>
      <c r="DV30" s="175" t="e">
        <f t="shared" si="23"/>
        <v>#DIV/0!</v>
      </c>
      <c r="DW30" s="163">
        <f t="shared" si="24"/>
        <v>0</v>
      </c>
      <c r="DX30" s="164"/>
      <c r="DY30" s="176">
        <f t="shared" si="25"/>
        <v>0</v>
      </c>
      <c r="DZ30" s="177">
        <f t="shared" si="26"/>
        <v>0</v>
      </c>
      <c r="EA30" s="178">
        <f t="shared" si="27"/>
        <v>0</v>
      </c>
      <c r="EB30" s="179">
        <f t="shared" si="28"/>
        <v>0</v>
      </c>
      <c r="EC30" s="180"/>
      <c r="ED30" s="175" t="e">
        <f t="shared" si="29"/>
        <v>#DIV/0!</v>
      </c>
      <c r="EE30" s="163">
        <f t="shared" si="30"/>
        <v>0</v>
      </c>
      <c r="EF30" s="164"/>
      <c r="EG30" s="181">
        <f t="shared" si="31"/>
        <v>0</v>
      </c>
      <c r="EH30" s="182">
        <f t="shared" si="32"/>
        <v>0</v>
      </c>
      <c r="EI30" s="182">
        <f t="shared" si="33"/>
        <v>0</v>
      </c>
      <c r="EJ30" s="182">
        <f t="shared" si="34"/>
        <v>0</v>
      </c>
      <c r="EK30" s="183">
        <f t="shared" si="35"/>
        <v>0</v>
      </c>
      <c r="EL30" s="184" t="e">
        <f t="shared" si="36"/>
        <v>#DIV/0!</v>
      </c>
      <c r="EM30" s="185">
        <f t="shared" si="37"/>
        <v>0</v>
      </c>
      <c r="EN30" s="164"/>
      <c r="EO30" s="181">
        <f t="shared" si="38"/>
        <v>0</v>
      </c>
      <c r="EP30" s="183">
        <f t="shared" si="39"/>
        <v>0</v>
      </c>
      <c r="EQ30" s="184" t="e">
        <f t="shared" si="40"/>
        <v>#DIV/0!</v>
      </c>
      <c r="ER30" s="185">
        <f t="shared" si="41"/>
        <v>0</v>
      </c>
      <c r="ES30" s="164"/>
      <c r="ET30" s="164"/>
      <c r="EU30" s="186">
        <f t="shared" si="42"/>
        <v>0</v>
      </c>
      <c r="EV30" s="186">
        <f t="shared" si="43"/>
        <v>0</v>
      </c>
      <c r="EW30" s="186">
        <f t="shared" si="44"/>
        <v>0</v>
      </c>
      <c r="EX30" s="186">
        <f t="shared" si="45"/>
        <v>0</v>
      </c>
      <c r="EY30" s="131"/>
      <c r="EZ30" s="187">
        <f t="shared" si="46"/>
        <v>0</v>
      </c>
      <c r="FA30" s="188" t="e">
        <f t="shared" si="47"/>
        <v>#DIV/0!</v>
      </c>
      <c r="FB30" s="189"/>
      <c r="FC30" s="131"/>
      <c r="FD30" s="131"/>
      <c r="FE30" s="131"/>
      <c r="FF30" s="131"/>
      <c r="FG30" s="131"/>
    </row>
    <row r="31" spans="1:163" ht="16" outlineLevel="1" thickBot="1" x14ac:dyDescent="0.4">
      <c r="B31" s="358"/>
      <c r="C31" s="355"/>
      <c r="D31" s="204"/>
      <c r="E31" s="205"/>
      <c r="F31" s="135"/>
      <c r="G31" s="206"/>
      <c r="H31" s="207"/>
      <c r="I31" s="138">
        <f t="shared" si="0"/>
        <v>0</v>
      </c>
      <c r="J31" s="139"/>
      <c r="K31" s="208">
        <f t="shared" si="49"/>
        <v>0</v>
      </c>
      <c r="L31" s="141"/>
      <c r="M31" s="209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09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1"/>
      <c r="AN31" s="212">
        <f t="shared" si="2"/>
        <v>0</v>
      </c>
      <c r="AO31" s="146"/>
      <c r="AP31" s="147">
        <f t="shared" si="3"/>
        <v>0</v>
      </c>
      <c r="AQ31" s="148"/>
      <c r="AR31" s="213"/>
      <c r="AS31" s="213"/>
      <c r="AT31" s="135"/>
      <c r="AU31" s="214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4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7"/>
      <c r="CD31" s="214"/>
      <c r="CE31" s="209"/>
      <c r="CF31" s="210"/>
      <c r="CG31" s="210"/>
      <c r="CH31" s="210"/>
      <c r="CI31" s="210"/>
      <c r="CJ31" s="210"/>
      <c r="CK31" s="210"/>
      <c r="CL31" s="210"/>
      <c r="CM31" s="210"/>
      <c r="CN31" s="210"/>
      <c r="CO31" s="348"/>
      <c r="CP31" s="215"/>
      <c r="CQ31" s="216"/>
      <c r="CR31" s="217"/>
      <c r="CS31" s="218">
        <f t="shared" si="48"/>
        <v>0</v>
      </c>
      <c r="CT31" s="146"/>
      <c r="CU31" s="147">
        <f t="shared" si="4"/>
        <v>0</v>
      </c>
      <c r="CV31" s="156"/>
      <c r="CW31" s="157" t="e">
        <f t="shared" si="5"/>
        <v>#DIV/0!</v>
      </c>
      <c r="CX31" s="157" t="e">
        <f t="shared" si="6"/>
        <v>#DIV/0!</v>
      </c>
      <c r="CY31" s="157" t="e">
        <f t="shared" si="7"/>
        <v>#DIV/0!</v>
      </c>
      <c r="CZ31" s="157" t="e">
        <f t="shared" si="8"/>
        <v>#DIV/0!</v>
      </c>
      <c r="DA31" s="157" t="e">
        <f t="shared" si="9"/>
        <v>#DIV/0!</v>
      </c>
      <c r="DB31" s="158" t="e">
        <f t="shared" si="10"/>
        <v>#DIV/0!</v>
      </c>
      <c r="DC31" s="131"/>
      <c r="DD31" s="159">
        <f t="shared" si="11"/>
        <v>0</v>
      </c>
      <c r="DE31" s="160">
        <f t="shared" si="12"/>
        <v>0</v>
      </c>
      <c r="DF31" s="161">
        <f t="shared" si="13"/>
        <v>0</v>
      </c>
      <c r="DG31" s="162" t="e">
        <f t="shared" si="14"/>
        <v>#DIV/0!</v>
      </c>
      <c r="DH31" s="163">
        <f t="shared" si="15"/>
        <v>0</v>
      </c>
      <c r="DI31" s="164"/>
      <c r="DJ31" s="165">
        <f t="shared" si="16"/>
        <v>0</v>
      </c>
      <c r="DK31" s="166">
        <f t="shared" si="16"/>
        <v>0</v>
      </c>
      <c r="DL31" s="167" t="e">
        <f t="shared" si="17"/>
        <v>#DIV/0!</v>
      </c>
      <c r="DM31" s="168" t="e">
        <f t="shared" si="18"/>
        <v>#DIV/0!</v>
      </c>
      <c r="DN31" s="163" t="e">
        <f t="shared" si="19"/>
        <v>#DIV/0!</v>
      </c>
      <c r="DO31" s="169"/>
      <c r="DP31" s="170"/>
      <c r="DQ31" s="171"/>
      <c r="DR31" s="172">
        <f t="shared" si="20"/>
        <v>0</v>
      </c>
      <c r="DS31" s="173" t="e">
        <f t="shared" si="21"/>
        <v>#DIV/0!</v>
      </c>
      <c r="DT31" s="163" t="e">
        <f t="shared" si="22"/>
        <v>#DIV/0!</v>
      </c>
      <c r="DU31" s="174"/>
      <c r="DV31" s="175" t="e">
        <f t="shared" si="23"/>
        <v>#DIV/0!</v>
      </c>
      <c r="DW31" s="163">
        <f t="shared" si="24"/>
        <v>0</v>
      </c>
      <c r="DX31" s="164"/>
      <c r="DY31" s="176">
        <f t="shared" si="25"/>
        <v>0</v>
      </c>
      <c r="DZ31" s="177">
        <f t="shared" si="26"/>
        <v>0</v>
      </c>
      <c r="EA31" s="178">
        <f t="shared" si="27"/>
        <v>0</v>
      </c>
      <c r="EB31" s="179">
        <f t="shared" si="28"/>
        <v>0</v>
      </c>
      <c r="EC31" s="180"/>
      <c r="ED31" s="175" t="e">
        <f t="shared" si="29"/>
        <v>#DIV/0!</v>
      </c>
      <c r="EE31" s="163">
        <f t="shared" si="30"/>
        <v>0</v>
      </c>
      <c r="EF31" s="164"/>
      <c r="EG31" s="181">
        <f t="shared" si="31"/>
        <v>0</v>
      </c>
      <c r="EH31" s="182">
        <f t="shared" si="32"/>
        <v>0</v>
      </c>
      <c r="EI31" s="182">
        <f t="shared" si="33"/>
        <v>0</v>
      </c>
      <c r="EJ31" s="182">
        <f t="shared" si="34"/>
        <v>0</v>
      </c>
      <c r="EK31" s="183">
        <f t="shared" si="35"/>
        <v>0</v>
      </c>
      <c r="EL31" s="184" t="e">
        <f t="shared" si="36"/>
        <v>#DIV/0!</v>
      </c>
      <c r="EM31" s="185">
        <f t="shared" si="37"/>
        <v>0</v>
      </c>
      <c r="EN31" s="164"/>
      <c r="EO31" s="181">
        <f t="shared" si="38"/>
        <v>0</v>
      </c>
      <c r="EP31" s="183">
        <f t="shared" si="39"/>
        <v>0</v>
      </c>
      <c r="EQ31" s="184" t="e">
        <f t="shared" si="40"/>
        <v>#DIV/0!</v>
      </c>
      <c r="ER31" s="185">
        <f t="shared" si="41"/>
        <v>0</v>
      </c>
      <c r="ES31" s="164"/>
      <c r="ET31" s="164"/>
      <c r="EU31" s="186">
        <f t="shared" si="42"/>
        <v>0</v>
      </c>
      <c r="EV31" s="186">
        <f t="shared" si="43"/>
        <v>0</v>
      </c>
      <c r="EW31" s="186">
        <f t="shared" si="44"/>
        <v>0</v>
      </c>
      <c r="EX31" s="186">
        <f t="shared" si="45"/>
        <v>0</v>
      </c>
      <c r="EY31" s="131"/>
      <c r="EZ31" s="187">
        <f t="shared" si="46"/>
        <v>0</v>
      </c>
      <c r="FA31" s="188" t="e">
        <f t="shared" si="47"/>
        <v>#DIV/0!</v>
      </c>
      <c r="FB31" s="189"/>
      <c r="FC31" s="131"/>
      <c r="FD31" s="131"/>
      <c r="FE31" s="131"/>
      <c r="FF31" s="131"/>
      <c r="FG31" s="131"/>
    </row>
    <row r="32" spans="1:163" ht="16" outlineLevel="1" thickBot="1" x14ac:dyDescent="0.4">
      <c r="B32" s="356"/>
      <c r="C32" s="353"/>
      <c r="D32" s="190"/>
      <c r="E32" s="134"/>
      <c r="F32" s="135"/>
      <c r="G32" s="136"/>
      <c r="H32" s="137"/>
      <c r="I32" s="138">
        <f>IF(E32&gt;0.0001,12.5,0)</f>
        <v>0</v>
      </c>
      <c r="J32" s="139"/>
      <c r="K32" s="193">
        <f t="shared" si="49"/>
        <v>0</v>
      </c>
      <c r="L32" s="141"/>
      <c r="M32" s="194"/>
      <c r="N32" s="195"/>
      <c r="O32" s="195"/>
      <c r="P32" s="195"/>
      <c r="Q32" s="195"/>
      <c r="R32" s="143"/>
      <c r="S32" s="195"/>
      <c r="T32" s="195"/>
      <c r="U32" s="195"/>
      <c r="V32" s="195"/>
      <c r="W32" s="195"/>
      <c r="X32" s="195"/>
      <c r="Y32" s="195"/>
      <c r="Z32" s="195"/>
      <c r="AA32" s="194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6"/>
      <c r="AN32" s="197">
        <f t="shared" si="2"/>
        <v>0</v>
      </c>
      <c r="AO32" s="146"/>
      <c r="AP32" s="147">
        <f t="shared" si="3"/>
        <v>0</v>
      </c>
      <c r="AQ32" s="148"/>
      <c r="AR32" s="198"/>
      <c r="AS32" s="198"/>
      <c r="AT32" s="135"/>
      <c r="AU32" s="199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1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1"/>
      <c r="BR32" s="199"/>
      <c r="BS32" s="200"/>
      <c r="BT32" s="200"/>
      <c r="BU32" s="200"/>
      <c r="BV32" s="200"/>
      <c r="BW32" s="200"/>
      <c r="BX32" s="200"/>
      <c r="BY32" s="200"/>
      <c r="BZ32" s="200"/>
      <c r="CA32" s="200"/>
      <c r="CB32" s="200"/>
      <c r="CC32" s="202"/>
      <c r="CD32" s="199"/>
      <c r="CE32" s="194"/>
      <c r="CF32" s="195"/>
      <c r="CG32" s="195"/>
      <c r="CH32" s="195"/>
      <c r="CI32" s="195"/>
      <c r="CJ32" s="195"/>
      <c r="CK32" s="195"/>
      <c r="CL32" s="195"/>
      <c r="CM32" s="195"/>
      <c r="CN32" s="195"/>
      <c r="CO32" s="347"/>
      <c r="CP32" s="200"/>
      <c r="CQ32" s="201"/>
      <c r="CR32" s="202"/>
      <c r="CS32" s="203">
        <f t="shared" si="48"/>
        <v>0</v>
      </c>
      <c r="CT32" s="146"/>
      <c r="CU32" s="147">
        <f t="shared" si="4"/>
        <v>0</v>
      </c>
      <c r="CV32" s="156"/>
      <c r="CW32" s="157" t="e">
        <f t="shared" si="5"/>
        <v>#DIV/0!</v>
      </c>
      <c r="CX32" s="157" t="e">
        <f t="shared" si="6"/>
        <v>#DIV/0!</v>
      </c>
      <c r="CY32" s="157" t="e">
        <f t="shared" si="7"/>
        <v>#DIV/0!</v>
      </c>
      <c r="CZ32" s="157" t="e">
        <f t="shared" si="8"/>
        <v>#DIV/0!</v>
      </c>
      <c r="DA32" s="157" t="e">
        <f t="shared" si="9"/>
        <v>#DIV/0!</v>
      </c>
      <c r="DB32" s="158" t="e">
        <f t="shared" si="10"/>
        <v>#DIV/0!</v>
      </c>
      <c r="DC32" s="131"/>
      <c r="DD32" s="159">
        <f t="shared" si="11"/>
        <v>0</v>
      </c>
      <c r="DE32" s="160">
        <f t="shared" si="12"/>
        <v>0</v>
      </c>
      <c r="DF32" s="161">
        <f t="shared" si="13"/>
        <v>0</v>
      </c>
      <c r="DG32" s="162" t="e">
        <f t="shared" si="14"/>
        <v>#DIV/0!</v>
      </c>
      <c r="DH32" s="163">
        <f t="shared" si="15"/>
        <v>0</v>
      </c>
      <c r="DI32" s="164"/>
      <c r="DJ32" s="165">
        <f t="shared" si="16"/>
        <v>0</v>
      </c>
      <c r="DK32" s="166">
        <f t="shared" si="16"/>
        <v>0</v>
      </c>
      <c r="DL32" s="167" t="e">
        <f t="shared" si="17"/>
        <v>#DIV/0!</v>
      </c>
      <c r="DM32" s="168" t="e">
        <f t="shared" si="18"/>
        <v>#DIV/0!</v>
      </c>
      <c r="DN32" s="163" t="e">
        <f t="shared" si="19"/>
        <v>#DIV/0!</v>
      </c>
      <c r="DO32" s="169"/>
      <c r="DP32" s="170"/>
      <c r="DQ32" s="171"/>
      <c r="DR32" s="172">
        <f t="shared" si="20"/>
        <v>0</v>
      </c>
      <c r="DS32" s="173" t="e">
        <f t="shared" si="21"/>
        <v>#DIV/0!</v>
      </c>
      <c r="DT32" s="163" t="e">
        <f t="shared" si="22"/>
        <v>#DIV/0!</v>
      </c>
      <c r="DU32" s="174"/>
      <c r="DV32" s="175" t="e">
        <f t="shared" si="23"/>
        <v>#DIV/0!</v>
      </c>
      <c r="DW32" s="163">
        <f t="shared" si="24"/>
        <v>0</v>
      </c>
      <c r="DX32" s="164"/>
      <c r="DY32" s="176">
        <f t="shared" si="25"/>
        <v>0</v>
      </c>
      <c r="DZ32" s="177">
        <f t="shared" si="26"/>
        <v>0</v>
      </c>
      <c r="EA32" s="178">
        <f t="shared" si="27"/>
        <v>0</v>
      </c>
      <c r="EB32" s="179">
        <f t="shared" si="28"/>
        <v>0</v>
      </c>
      <c r="EC32" s="180"/>
      <c r="ED32" s="175" t="e">
        <f t="shared" si="29"/>
        <v>#DIV/0!</v>
      </c>
      <c r="EE32" s="163">
        <f t="shared" si="30"/>
        <v>0</v>
      </c>
      <c r="EF32" s="164"/>
      <c r="EG32" s="181">
        <f t="shared" si="31"/>
        <v>0</v>
      </c>
      <c r="EH32" s="182">
        <f t="shared" si="32"/>
        <v>0</v>
      </c>
      <c r="EI32" s="182">
        <f t="shared" si="33"/>
        <v>0</v>
      </c>
      <c r="EJ32" s="182">
        <f t="shared" si="34"/>
        <v>0</v>
      </c>
      <c r="EK32" s="183">
        <f t="shared" si="35"/>
        <v>0</v>
      </c>
      <c r="EL32" s="184" t="e">
        <f t="shared" si="36"/>
        <v>#DIV/0!</v>
      </c>
      <c r="EM32" s="185">
        <f t="shared" si="37"/>
        <v>0</v>
      </c>
      <c r="EN32" s="164"/>
      <c r="EO32" s="181">
        <f t="shared" si="38"/>
        <v>0</v>
      </c>
      <c r="EP32" s="183">
        <f t="shared" si="39"/>
        <v>0</v>
      </c>
      <c r="EQ32" s="184" t="e">
        <f t="shared" si="40"/>
        <v>#DIV/0!</v>
      </c>
      <c r="ER32" s="185">
        <f t="shared" si="41"/>
        <v>0</v>
      </c>
      <c r="ES32" s="164"/>
      <c r="ET32" s="164"/>
      <c r="EU32" s="186">
        <f t="shared" si="42"/>
        <v>0</v>
      </c>
      <c r="EV32" s="186">
        <f t="shared" si="43"/>
        <v>0</v>
      </c>
      <c r="EW32" s="186">
        <f t="shared" si="44"/>
        <v>0</v>
      </c>
      <c r="EX32" s="186">
        <f t="shared" si="45"/>
        <v>0</v>
      </c>
      <c r="EY32" s="131"/>
      <c r="EZ32" s="187">
        <f t="shared" si="46"/>
        <v>0</v>
      </c>
      <c r="FA32" s="188" t="e">
        <f t="shared" si="47"/>
        <v>#DIV/0!</v>
      </c>
      <c r="FB32" s="189"/>
      <c r="FC32" s="131"/>
      <c r="FD32" s="131"/>
      <c r="FE32" s="131"/>
      <c r="FF32" s="131"/>
      <c r="FG32" s="131"/>
    </row>
    <row r="33" spans="2:163" ht="16" outlineLevel="1" thickBot="1" x14ac:dyDescent="0.4">
      <c r="B33" s="357"/>
      <c r="C33" s="354"/>
      <c r="D33" s="204"/>
      <c r="E33" s="205"/>
      <c r="F33" s="135"/>
      <c r="G33" s="206"/>
      <c r="H33" s="137"/>
      <c r="I33" s="138">
        <f>IF(E33&gt;0.0001,12.5,0)</f>
        <v>0</v>
      </c>
      <c r="J33" s="139"/>
      <c r="K33" s="208">
        <f t="shared" si="49"/>
        <v>0</v>
      </c>
      <c r="L33" s="141"/>
      <c r="M33" s="209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09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1"/>
      <c r="AN33" s="212">
        <f t="shared" si="2"/>
        <v>0</v>
      </c>
      <c r="AO33" s="146"/>
      <c r="AP33" s="147">
        <f t="shared" si="3"/>
        <v>0</v>
      </c>
      <c r="AQ33" s="148"/>
      <c r="AR33" s="213"/>
      <c r="AS33" s="213"/>
      <c r="AT33" s="135"/>
      <c r="AU33" s="214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4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7"/>
      <c r="CD33" s="214"/>
      <c r="CE33" s="209"/>
      <c r="CF33" s="210"/>
      <c r="CG33" s="210"/>
      <c r="CH33" s="210"/>
      <c r="CI33" s="210"/>
      <c r="CJ33" s="210"/>
      <c r="CK33" s="210"/>
      <c r="CL33" s="210"/>
      <c r="CM33" s="210"/>
      <c r="CN33" s="210"/>
      <c r="CO33" s="348"/>
      <c r="CP33" s="215"/>
      <c r="CQ33" s="216"/>
      <c r="CR33" s="217"/>
      <c r="CS33" s="218">
        <f t="shared" si="48"/>
        <v>0</v>
      </c>
      <c r="CT33" s="146"/>
      <c r="CU33" s="147">
        <f t="shared" si="4"/>
        <v>0</v>
      </c>
      <c r="CV33" s="156"/>
      <c r="CW33" s="157" t="e">
        <f t="shared" si="5"/>
        <v>#DIV/0!</v>
      </c>
      <c r="CX33" s="157" t="e">
        <f t="shared" si="6"/>
        <v>#DIV/0!</v>
      </c>
      <c r="CY33" s="157" t="e">
        <f t="shared" si="7"/>
        <v>#DIV/0!</v>
      </c>
      <c r="CZ33" s="157" t="e">
        <f t="shared" si="8"/>
        <v>#DIV/0!</v>
      </c>
      <c r="DA33" s="157" t="e">
        <f t="shared" si="9"/>
        <v>#DIV/0!</v>
      </c>
      <c r="DB33" s="158" t="e">
        <f t="shared" si="10"/>
        <v>#DIV/0!</v>
      </c>
      <c r="DC33" s="131"/>
      <c r="DD33" s="159">
        <f t="shared" si="11"/>
        <v>0</v>
      </c>
      <c r="DE33" s="160">
        <f t="shared" si="12"/>
        <v>0</v>
      </c>
      <c r="DF33" s="161">
        <f t="shared" si="13"/>
        <v>0</v>
      </c>
      <c r="DG33" s="162" t="e">
        <f t="shared" si="14"/>
        <v>#DIV/0!</v>
      </c>
      <c r="DH33" s="163">
        <f t="shared" si="15"/>
        <v>0</v>
      </c>
      <c r="DI33" s="164"/>
      <c r="DJ33" s="165">
        <f t="shared" si="16"/>
        <v>0</v>
      </c>
      <c r="DK33" s="166">
        <f t="shared" si="16"/>
        <v>0</v>
      </c>
      <c r="DL33" s="167" t="e">
        <f t="shared" si="17"/>
        <v>#DIV/0!</v>
      </c>
      <c r="DM33" s="168" t="e">
        <f t="shared" si="18"/>
        <v>#DIV/0!</v>
      </c>
      <c r="DN33" s="163" t="e">
        <f t="shared" si="19"/>
        <v>#DIV/0!</v>
      </c>
      <c r="DO33" s="169"/>
      <c r="DP33" s="170"/>
      <c r="DQ33" s="171"/>
      <c r="DR33" s="172">
        <f t="shared" si="20"/>
        <v>0</v>
      </c>
      <c r="DS33" s="173" t="e">
        <f t="shared" si="21"/>
        <v>#DIV/0!</v>
      </c>
      <c r="DT33" s="163" t="e">
        <f t="shared" si="22"/>
        <v>#DIV/0!</v>
      </c>
      <c r="DU33" s="174"/>
      <c r="DV33" s="175" t="e">
        <f t="shared" si="23"/>
        <v>#DIV/0!</v>
      </c>
      <c r="DW33" s="163">
        <f t="shared" si="24"/>
        <v>0</v>
      </c>
      <c r="DX33" s="164"/>
      <c r="DY33" s="176">
        <f t="shared" si="25"/>
        <v>0</v>
      </c>
      <c r="DZ33" s="177">
        <f t="shared" si="26"/>
        <v>0</v>
      </c>
      <c r="EA33" s="178">
        <f t="shared" si="27"/>
        <v>0</v>
      </c>
      <c r="EB33" s="179">
        <f t="shared" si="28"/>
        <v>0</v>
      </c>
      <c r="EC33" s="180"/>
      <c r="ED33" s="175" t="e">
        <f t="shared" si="29"/>
        <v>#DIV/0!</v>
      </c>
      <c r="EE33" s="163">
        <f t="shared" si="30"/>
        <v>0</v>
      </c>
      <c r="EF33" s="164"/>
      <c r="EG33" s="181">
        <f t="shared" si="31"/>
        <v>0</v>
      </c>
      <c r="EH33" s="182">
        <f t="shared" si="32"/>
        <v>0</v>
      </c>
      <c r="EI33" s="182">
        <f t="shared" si="33"/>
        <v>0</v>
      </c>
      <c r="EJ33" s="182">
        <f t="shared" si="34"/>
        <v>0</v>
      </c>
      <c r="EK33" s="183">
        <f t="shared" si="35"/>
        <v>0</v>
      </c>
      <c r="EL33" s="184" t="e">
        <f t="shared" si="36"/>
        <v>#DIV/0!</v>
      </c>
      <c r="EM33" s="185">
        <f t="shared" si="37"/>
        <v>0</v>
      </c>
      <c r="EN33" s="164"/>
      <c r="EO33" s="181">
        <f t="shared" si="38"/>
        <v>0</v>
      </c>
      <c r="EP33" s="183">
        <f t="shared" si="39"/>
        <v>0</v>
      </c>
      <c r="EQ33" s="184" t="e">
        <f t="shared" si="40"/>
        <v>#DIV/0!</v>
      </c>
      <c r="ER33" s="185">
        <f t="shared" si="41"/>
        <v>0</v>
      </c>
      <c r="ES33" s="164"/>
      <c r="ET33" s="164"/>
      <c r="EU33" s="186">
        <f t="shared" si="42"/>
        <v>0</v>
      </c>
      <c r="EV33" s="186">
        <f t="shared" si="43"/>
        <v>0</v>
      </c>
      <c r="EW33" s="186">
        <f t="shared" si="44"/>
        <v>0</v>
      </c>
      <c r="EX33" s="186">
        <f t="shared" si="45"/>
        <v>0</v>
      </c>
      <c r="EY33" s="131"/>
      <c r="EZ33" s="187">
        <f t="shared" si="46"/>
        <v>0</v>
      </c>
      <c r="FA33" s="188" t="e">
        <f t="shared" si="47"/>
        <v>#DIV/0!</v>
      </c>
      <c r="FB33" s="189"/>
      <c r="FC33" s="131"/>
      <c r="FD33" s="131"/>
      <c r="FE33" s="131"/>
      <c r="FF33" s="131"/>
      <c r="FG33" s="131"/>
    </row>
    <row r="34" spans="2:163" ht="16" outlineLevel="1" thickBot="1" x14ac:dyDescent="0.4">
      <c r="B34" s="358"/>
      <c r="C34" s="355"/>
      <c r="D34" s="204"/>
      <c r="E34" s="205"/>
      <c r="F34" s="135"/>
      <c r="G34" s="206"/>
      <c r="H34" s="137"/>
      <c r="I34" s="138">
        <f t="shared" si="0"/>
        <v>0</v>
      </c>
      <c r="J34" s="139"/>
      <c r="K34" s="208">
        <f t="shared" si="49"/>
        <v>0</v>
      </c>
      <c r="L34" s="141"/>
      <c r="M34" s="209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09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1"/>
      <c r="AN34" s="212">
        <f t="shared" si="2"/>
        <v>0</v>
      </c>
      <c r="AO34" s="146"/>
      <c r="AP34" s="147">
        <f t="shared" si="3"/>
        <v>0</v>
      </c>
      <c r="AQ34" s="148"/>
      <c r="AR34" s="213"/>
      <c r="AS34" s="213"/>
      <c r="AT34" s="135"/>
      <c r="AU34" s="214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4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7"/>
      <c r="CD34" s="214"/>
      <c r="CE34" s="209"/>
      <c r="CF34" s="210"/>
      <c r="CG34" s="210"/>
      <c r="CH34" s="210"/>
      <c r="CI34" s="210"/>
      <c r="CJ34" s="210"/>
      <c r="CK34" s="210"/>
      <c r="CL34" s="210"/>
      <c r="CM34" s="210"/>
      <c r="CN34" s="210"/>
      <c r="CO34" s="348"/>
      <c r="CP34" s="215"/>
      <c r="CQ34" s="216"/>
      <c r="CR34" s="217"/>
      <c r="CS34" s="218">
        <f t="shared" si="48"/>
        <v>0</v>
      </c>
      <c r="CT34" s="146"/>
      <c r="CU34" s="147">
        <f t="shared" si="4"/>
        <v>0</v>
      </c>
      <c r="CV34" s="156"/>
      <c r="CW34" s="157" t="e">
        <f t="shared" si="5"/>
        <v>#DIV/0!</v>
      </c>
      <c r="CX34" s="157" t="e">
        <f t="shared" si="6"/>
        <v>#DIV/0!</v>
      </c>
      <c r="CY34" s="157" t="e">
        <f t="shared" si="7"/>
        <v>#DIV/0!</v>
      </c>
      <c r="CZ34" s="157" t="e">
        <f t="shared" si="8"/>
        <v>#DIV/0!</v>
      </c>
      <c r="DA34" s="157" t="e">
        <f t="shared" si="9"/>
        <v>#DIV/0!</v>
      </c>
      <c r="DB34" s="158" t="e">
        <f t="shared" si="10"/>
        <v>#DIV/0!</v>
      </c>
      <c r="DC34" s="131"/>
      <c r="DD34" s="159">
        <f t="shared" si="11"/>
        <v>0</v>
      </c>
      <c r="DE34" s="160">
        <f t="shared" si="12"/>
        <v>0</v>
      </c>
      <c r="DF34" s="161">
        <f t="shared" si="13"/>
        <v>0</v>
      </c>
      <c r="DG34" s="162" t="e">
        <f t="shared" si="14"/>
        <v>#DIV/0!</v>
      </c>
      <c r="DH34" s="163">
        <f t="shared" si="15"/>
        <v>0</v>
      </c>
      <c r="DI34" s="164"/>
      <c r="DJ34" s="165">
        <f t="shared" si="16"/>
        <v>0</v>
      </c>
      <c r="DK34" s="166">
        <f t="shared" si="16"/>
        <v>0</v>
      </c>
      <c r="DL34" s="167" t="e">
        <f t="shared" si="17"/>
        <v>#DIV/0!</v>
      </c>
      <c r="DM34" s="168" t="e">
        <f t="shared" si="18"/>
        <v>#DIV/0!</v>
      </c>
      <c r="DN34" s="163" t="e">
        <f t="shared" si="19"/>
        <v>#DIV/0!</v>
      </c>
      <c r="DO34" s="169"/>
      <c r="DP34" s="170"/>
      <c r="DQ34" s="171"/>
      <c r="DR34" s="172">
        <f t="shared" si="20"/>
        <v>0</v>
      </c>
      <c r="DS34" s="173" t="e">
        <f t="shared" si="21"/>
        <v>#DIV/0!</v>
      </c>
      <c r="DT34" s="163" t="e">
        <f t="shared" si="22"/>
        <v>#DIV/0!</v>
      </c>
      <c r="DU34" s="174"/>
      <c r="DV34" s="175" t="e">
        <f t="shared" si="23"/>
        <v>#DIV/0!</v>
      </c>
      <c r="DW34" s="163">
        <f t="shared" si="24"/>
        <v>0</v>
      </c>
      <c r="DX34" s="164"/>
      <c r="DY34" s="176">
        <f t="shared" si="25"/>
        <v>0</v>
      </c>
      <c r="DZ34" s="177">
        <f t="shared" si="26"/>
        <v>0</v>
      </c>
      <c r="EA34" s="178">
        <f t="shared" si="27"/>
        <v>0</v>
      </c>
      <c r="EB34" s="179">
        <f t="shared" si="28"/>
        <v>0</v>
      </c>
      <c r="EC34" s="180"/>
      <c r="ED34" s="175" t="e">
        <f t="shared" si="29"/>
        <v>#DIV/0!</v>
      </c>
      <c r="EE34" s="163">
        <f t="shared" si="30"/>
        <v>0</v>
      </c>
      <c r="EF34" s="164"/>
      <c r="EG34" s="181">
        <f t="shared" si="31"/>
        <v>0</v>
      </c>
      <c r="EH34" s="182">
        <f t="shared" si="32"/>
        <v>0</v>
      </c>
      <c r="EI34" s="182">
        <f t="shared" si="33"/>
        <v>0</v>
      </c>
      <c r="EJ34" s="182">
        <f t="shared" si="34"/>
        <v>0</v>
      </c>
      <c r="EK34" s="183">
        <f t="shared" si="35"/>
        <v>0</v>
      </c>
      <c r="EL34" s="184" t="e">
        <f t="shared" si="36"/>
        <v>#DIV/0!</v>
      </c>
      <c r="EM34" s="185">
        <f t="shared" si="37"/>
        <v>0</v>
      </c>
      <c r="EN34" s="164"/>
      <c r="EO34" s="181">
        <f t="shared" si="38"/>
        <v>0</v>
      </c>
      <c r="EP34" s="183">
        <f t="shared" si="39"/>
        <v>0</v>
      </c>
      <c r="EQ34" s="184" t="e">
        <f t="shared" si="40"/>
        <v>#DIV/0!</v>
      </c>
      <c r="ER34" s="185">
        <f t="shared" si="41"/>
        <v>0</v>
      </c>
      <c r="ES34" s="164"/>
      <c r="ET34" s="164"/>
      <c r="EU34" s="186">
        <f t="shared" si="42"/>
        <v>0</v>
      </c>
      <c r="EV34" s="186">
        <f t="shared" si="43"/>
        <v>0</v>
      </c>
      <c r="EW34" s="186">
        <f t="shared" si="44"/>
        <v>0</v>
      </c>
      <c r="EX34" s="186">
        <f t="shared" si="45"/>
        <v>0</v>
      </c>
      <c r="EY34" s="131"/>
      <c r="EZ34" s="187">
        <f t="shared" si="46"/>
        <v>0</v>
      </c>
      <c r="FA34" s="188" t="e">
        <f t="shared" si="47"/>
        <v>#DIV/0!</v>
      </c>
      <c r="FB34" s="189"/>
      <c r="FC34" s="131"/>
      <c r="FD34" s="131"/>
      <c r="FE34" s="131"/>
      <c r="FF34" s="131"/>
      <c r="FG34" s="131"/>
    </row>
    <row r="35" spans="2:163" s="220" customFormat="1" ht="16" outlineLevel="1" thickBot="1" x14ac:dyDescent="0.4">
      <c r="B35" s="356"/>
      <c r="C35" s="353"/>
      <c r="D35" s="133"/>
      <c r="E35" s="134"/>
      <c r="F35" s="135"/>
      <c r="G35" s="136"/>
      <c r="H35" s="137"/>
      <c r="I35" s="138">
        <f>IF(E35&gt;0.0001,12.5,0)</f>
        <v>0</v>
      </c>
      <c r="J35" s="139"/>
      <c r="K35" s="140">
        <f t="shared" si="49"/>
        <v>0</v>
      </c>
      <c r="L35" s="141"/>
      <c r="M35" s="142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2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4"/>
      <c r="AN35" s="145">
        <f t="shared" si="2"/>
        <v>0</v>
      </c>
      <c r="AO35" s="146"/>
      <c r="AP35" s="147">
        <f t="shared" si="3"/>
        <v>0</v>
      </c>
      <c r="AQ35" s="221"/>
      <c r="AR35" s="149"/>
      <c r="AS35" s="149"/>
      <c r="AT35" s="222"/>
      <c r="AU35" s="223"/>
      <c r="AV35" s="224"/>
      <c r="AW35" s="224"/>
      <c r="AX35" s="224"/>
      <c r="AY35" s="224"/>
      <c r="AZ35" s="224"/>
      <c r="BA35" s="224"/>
      <c r="BB35" s="151"/>
      <c r="BC35" s="151"/>
      <c r="BD35" s="151"/>
      <c r="BE35" s="151"/>
      <c r="BF35" s="152"/>
      <c r="BG35" s="152"/>
      <c r="BH35" s="152"/>
      <c r="BI35" s="152"/>
      <c r="BJ35" s="225"/>
      <c r="BK35" s="225"/>
      <c r="BL35" s="225"/>
      <c r="BM35" s="152"/>
      <c r="BN35" s="152"/>
      <c r="BO35" s="225"/>
      <c r="BP35" s="225"/>
      <c r="BQ35" s="225"/>
      <c r="BR35" s="223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6"/>
      <c r="CD35" s="223"/>
      <c r="CE35" s="142"/>
      <c r="CF35" s="143"/>
      <c r="CG35" s="143"/>
      <c r="CH35" s="143"/>
      <c r="CI35" s="143"/>
      <c r="CJ35" s="143"/>
      <c r="CK35" s="143"/>
      <c r="CL35" s="143"/>
      <c r="CM35" s="143"/>
      <c r="CN35" s="143"/>
      <c r="CO35" s="349"/>
      <c r="CP35" s="224"/>
      <c r="CQ35" s="225"/>
      <c r="CR35" s="226"/>
      <c r="CS35" s="227">
        <f t="shared" si="48"/>
        <v>0</v>
      </c>
      <c r="CT35" s="146"/>
      <c r="CU35" s="147">
        <f t="shared" si="4"/>
        <v>0</v>
      </c>
      <c r="CV35" s="156"/>
      <c r="CW35" s="157" t="e">
        <f t="shared" si="5"/>
        <v>#DIV/0!</v>
      </c>
      <c r="CX35" s="157" t="e">
        <f t="shared" si="6"/>
        <v>#DIV/0!</v>
      </c>
      <c r="CY35" s="157" t="e">
        <f t="shared" si="7"/>
        <v>#DIV/0!</v>
      </c>
      <c r="CZ35" s="157" t="e">
        <f t="shared" si="8"/>
        <v>#DIV/0!</v>
      </c>
      <c r="DA35" s="157" t="e">
        <f t="shared" si="9"/>
        <v>#DIV/0!</v>
      </c>
      <c r="DB35" s="158" t="e">
        <f t="shared" si="10"/>
        <v>#DIV/0!</v>
      </c>
      <c r="DC35" s="131"/>
      <c r="DD35" s="159">
        <f t="shared" si="11"/>
        <v>0</v>
      </c>
      <c r="DE35" s="160">
        <f t="shared" si="12"/>
        <v>0</v>
      </c>
      <c r="DF35" s="161">
        <f t="shared" si="13"/>
        <v>0</v>
      </c>
      <c r="DG35" s="162" t="e">
        <f t="shared" si="14"/>
        <v>#DIV/0!</v>
      </c>
      <c r="DH35" s="163">
        <f t="shared" si="15"/>
        <v>0</v>
      </c>
      <c r="DI35" s="164"/>
      <c r="DJ35" s="165">
        <f t="shared" si="16"/>
        <v>0</v>
      </c>
      <c r="DK35" s="166">
        <f t="shared" si="16"/>
        <v>0</v>
      </c>
      <c r="DL35" s="167" t="e">
        <f t="shared" si="17"/>
        <v>#DIV/0!</v>
      </c>
      <c r="DM35" s="168" t="e">
        <f t="shared" si="18"/>
        <v>#DIV/0!</v>
      </c>
      <c r="DN35" s="163" t="e">
        <f t="shared" si="19"/>
        <v>#DIV/0!</v>
      </c>
      <c r="DO35" s="169"/>
      <c r="DP35" s="171"/>
      <c r="DQ35" s="171"/>
      <c r="DR35" s="172">
        <f t="shared" si="20"/>
        <v>0</v>
      </c>
      <c r="DS35" s="173" t="e">
        <f t="shared" si="21"/>
        <v>#DIV/0!</v>
      </c>
      <c r="DT35" s="163" t="e">
        <f t="shared" si="22"/>
        <v>#DIV/0!</v>
      </c>
      <c r="DU35" s="174"/>
      <c r="DV35" s="175" t="e">
        <f t="shared" si="23"/>
        <v>#DIV/0!</v>
      </c>
      <c r="DW35" s="163">
        <f t="shared" si="24"/>
        <v>0</v>
      </c>
      <c r="DX35" s="164"/>
      <c r="DY35" s="176">
        <f t="shared" si="25"/>
        <v>0</v>
      </c>
      <c r="DZ35" s="177">
        <f t="shared" si="26"/>
        <v>0</v>
      </c>
      <c r="EA35" s="178">
        <f t="shared" si="27"/>
        <v>0</v>
      </c>
      <c r="EB35" s="179">
        <f t="shared" si="28"/>
        <v>0</v>
      </c>
      <c r="EC35" s="180"/>
      <c r="ED35" s="175" t="e">
        <f t="shared" si="29"/>
        <v>#DIV/0!</v>
      </c>
      <c r="EE35" s="163">
        <f t="shared" si="30"/>
        <v>0</v>
      </c>
      <c r="EF35" s="164"/>
      <c r="EG35" s="181">
        <f t="shared" si="31"/>
        <v>0</v>
      </c>
      <c r="EH35" s="182">
        <f t="shared" si="32"/>
        <v>0</v>
      </c>
      <c r="EI35" s="182">
        <f t="shared" si="33"/>
        <v>0</v>
      </c>
      <c r="EJ35" s="182">
        <f t="shared" si="34"/>
        <v>0</v>
      </c>
      <c r="EK35" s="183">
        <f t="shared" si="35"/>
        <v>0</v>
      </c>
      <c r="EL35" s="184" t="e">
        <f t="shared" si="36"/>
        <v>#DIV/0!</v>
      </c>
      <c r="EM35" s="185">
        <f t="shared" si="37"/>
        <v>0</v>
      </c>
      <c r="EN35" s="164"/>
      <c r="EO35" s="181">
        <f t="shared" si="38"/>
        <v>0</v>
      </c>
      <c r="EP35" s="183">
        <f t="shared" si="39"/>
        <v>0</v>
      </c>
      <c r="EQ35" s="184" t="e">
        <f t="shared" si="40"/>
        <v>#DIV/0!</v>
      </c>
      <c r="ER35" s="185">
        <f t="shared" si="41"/>
        <v>0</v>
      </c>
      <c r="ES35" s="164"/>
      <c r="ET35" s="164"/>
      <c r="EU35" s="186">
        <f t="shared" si="42"/>
        <v>0</v>
      </c>
      <c r="EV35" s="186">
        <f t="shared" si="43"/>
        <v>0</v>
      </c>
      <c r="EW35" s="186">
        <f t="shared" si="44"/>
        <v>0</v>
      </c>
      <c r="EX35" s="186">
        <f t="shared" si="45"/>
        <v>0</v>
      </c>
      <c r="EY35" s="131"/>
      <c r="EZ35" s="187">
        <f t="shared" si="46"/>
        <v>0</v>
      </c>
      <c r="FA35" s="188" t="e">
        <f t="shared" si="47"/>
        <v>#DIV/0!</v>
      </c>
      <c r="FB35" s="189"/>
      <c r="FC35" s="219"/>
      <c r="FD35" s="219"/>
      <c r="FE35" s="219"/>
      <c r="FF35" s="219"/>
      <c r="FG35" s="219"/>
    </row>
    <row r="36" spans="2:163" ht="16" outlineLevel="1" thickBot="1" x14ac:dyDescent="0.4">
      <c r="B36" s="357"/>
      <c r="C36" s="354"/>
      <c r="D36" s="190"/>
      <c r="E36" s="191"/>
      <c r="F36" s="135"/>
      <c r="G36" s="192"/>
      <c r="H36" s="137"/>
      <c r="I36" s="138">
        <f t="shared" si="0"/>
        <v>0</v>
      </c>
      <c r="J36" s="139"/>
      <c r="K36" s="193">
        <f t="shared" si="49"/>
        <v>0</v>
      </c>
      <c r="L36" s="141"/>
      <c r="M36" s="194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4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6"/>
      <c r="AN36" s="197">
        <f t="shared" si="2"/>
        <v>0</v>
      </c>
      <c r="AO36" s="146"/>
      <c r="AP36" s="147">
        <f t="shared" si="3"/>
        <v>0</v>
      </c>
      <c r="AQ36" s="148"/>
      <c r="AR36" s="198"/>
      <c r="AS36" s="198"/>
      <c r="AT36" s="135"/>
      <c r="AU36" s="199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1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1"/>
      <c r="BR36" s="199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2"/>
      <c r="CD36" s="199"/>
      <c r="CE36" s="194"/>
      <c r="CF36" s="195"/>
      <c r="CG36" s="195"/>
      <c r="CH36" s="195"/>
      <c r="CI36" s="195"/>
      <c r="CJ36" s="195"/>
      <c r="CK36" s="195"/>
      <c r="CL36" s="195"/>
      <c r="CM36" s="195"/>
      <c r="CN36" s="195"/>
      <c r="CO36" s="347"/>
      <c r="CP36" s="200"/>
      <c r="CQ36" s="201"/>
      <c r="CR36" s="202"/>
      <c r="CS36" s="203">
        <f t="shared" si="48"/>
        <v>0</v>
      </c>
      <c r="CT36" s="146"/>
      <c r="CU36" s="147">
        <f t="shared" si="4"/>
        <v>0</v>
      </c>
      <c r="CV36" s="156"/>
      <c r="CW36" s="157" t="e">
        <f t="shared" si="5"/>
        <v>#DIV/0!</v>
      </c>
      <c r="CX36" s="157" t="e">
        <f t="shared" si="6"/>
        <v>#DIV/0!</v>
      </c>
      <c r="CY36" s="157" t="e">
        <f t="shared" si="7"/>
        <v>#DIV/0!</v>
      </c>
      <c r="CZ36" s="157" t="e">
        <f t="shared" si="8"/>
        <v>#DIV/0!</v>
      </c>
      <c r="DA36" s="157" t="e">
        <f t="shared" si="9"/>
        <v>#DIV/0!</v>
      </c>
      <c r="DB36" s="158" t="e">
        <f t="shared" si="10"/>
        <v>#DIV/0!</v>
      </c>
      <c r="DC36" s="131"/>
      <c r="DD36" s="159">
        <f t="shared" si="11"/>
        <v>0</v>
      </c>
      <c r="DE36" s="160">
        <f t="shared" si="12"/>
        <v>0</v>
      </c>
      <c r="DF36" s="161">
        <f t="shared" si="13"/>
        <v>0</v>
      </c>
      <c r="DG36" s="162" t="e">
        <f t="shared" si="14"/>
        <v>#DIV/0!</v>
      </c>
      <c r="DH36" s="163">
        <f t="shared" si="15"/>
        <v>0</v>
      </c>
      <c r="DI36" s="164"/>
      <c r="DJ36" s="165">
        <f t="shared" si="16"/>
        <v>0</v>
      </c>
      <c r="DK36" s="166">
        <v>0</v>
      </c>
      <c r="DL36" s="167" t="e">
        <f t="shared" si="17"/>
        <v>#DIV/0!</v>
      </c>
      <c r="DM36" s="168" t="e">
        <f t="shared" si="18"/>
        <v>#DIV/0!</v>
      </c>
      <c r="DN36" s="163" t="e">
        <f t="shared" si="19"/>
        <v>#DIV/0!</v>
      </c>
      <c r="DO36" s="169"/>
      <c r="DP36" s="170"/>
      <c r="DQ36" s="171"/>
      <c r="DR36" s="172">
        <f t="shared" si="20"/>
        <v>0</v>
      </c>
      <c r="DS36" s="173" t="e">
        <f t="shared" si="21"/>
        <v>#DIV/0!</v>
      </c>
      <c r="DT36" s="163" t="e">
        <f t="shared" si="22"/>
        <v>#DIV/0!</v>
      </c>
      <c r="DU36" s="174"/>
      <c r="DV36" s="175" t="e">
        <f t="shared" si="23"/>
        <v>#DIV/0!</v>
      </c>
      <c r="DW36" s="163">
        <f t="shared" si="24"/>
        <v>0</v>
      </c>
      <c r="DX36" s="164"/>
      <c r="DY36" s="176">
        <f t="shared" si="25"/>
        <v>0</v>
      </c>
      <c r="DZ36" s="177">
        <f t="shared" si="26"/>
        <v>0</v>
      </c>
      <c r="EA36" s="178">
        <f t="shared" si="27"/>
        <v>0</v>
      </c>
      <c r="EB36" s="179">
        <f t="shared" si="28"/>
        <v>0</v>
      </c>
      <c r="EC36" s="180"/>
      <c r="ED36" s="175" t="e">
        <f t="shared" si="29"/>
        <v>#DIV/0!</v>
      </c>
      <c r="EE36" s="163">
        <f t="shared" si="30"/>
        <v>0</v>
      </c>
      <c r="EF36" s="164"/>
      <c r="EG36" s="181">
        <f t="shared" si="31"/>
        <v>0</v>
      </c>
      <c r="EH36" s="182">
        <f t="shared" si="32"/>
        <v>0</v>
      </c>
      <c r="EI36" s="182">
        <f t="shared" si="33"/>
        <v>0</v>
      </c>
      <c r="EJ36" s="182">
        <f t="shared" si="34"/>
        <v>0</v>
      </c>
      <c r="EK36" s="183">
        <f t="shared" si="35"/>
        <v>0</v>
      </c>
      <c r="EL36" s="184" t="e">
        <f t="shared" si="36"/>
        <v>#DIV/0!</v>
      </c>
      <c r="EM36" s="185">
        <f t="shared" si="37"/>
        <v>0</v>
      </c>
      <c r="EN36" s="164"/>
      <c r="EO36" s="181">
        <f t="shared" si="38"/>
        <v>0</v>
      </c>
      <c r="EP36" s="183">
        <f t="shared" si="39"/>
        <v>0</v>
      </c>
      <c r="EQ36" s="184" t="e">
        <f t="shared" si="40"/>
        <v>#DIV/0!</v>
      </c>
      <c r="ER36" s="185">
        <f t="shared" si="41"/>
        <v>0</v>
      </c>
      <c r="ES36" s="164"/>
      <c r="ET36" s="164"/>
      <c r="EU36" s="186">
        <f t="shared" si="42"/>
        <v>0</v>
      </c>
      <c r="EV36" s="186">
        <f t="shared" si="43"/>
        <v>0</v>
      </c>
      <c r="EW36" s="186">
        <f t="shared" si="44"/>
        <v>0</v>
      </c>
      <c r="EX36" s="186">
        <f t="shared" si="45"/>
        <v>0</v>
      </c>
      <c r="EY36" s="131"/>
      <c r="EZ36" s="187">
        <f t="shared" si="46"/>
        <v>0</v>
      </c>
      <c r="FA36" s="188" t="e">
        <f t="shared" si="47"/>
        <v>#DIV/0!</v>
      </c>
      <c r="FB36" s="189"/>
      <c r="FC36" s="131"/>
      <c r="FD36" s="131"/>
      <c r="FE36" s="131"/>
      <c r="FF36" s="131"/>
      <c r="FG36" s="131"/>
    </row>
    <row r="37" spans="2:163" ht="16" outlineLevel="1" thickBot="1" x14ac:dyDescent="0.4">
      <c r="B37" s="358"/>
      <c r="C37" s="355"/>
      <c r="D37" s="190"/>
      <c r="E37" s="191"/>
      <c r="F37" s="135"/>
      <c r="G37" s="192"/>
      <c r="H37" s="137"/>
      <c r="I37" s="138">
        <f t="shared" si="0"/>
        <v>0</v>
      </c>
      <c r="J37" s="139"/>
      <c r="K37" s="193">
        <f t="shared" si="49"/>
        <v>0</v>
      </c>
      <c r="L37" s="141"/>
      <c r="M37" s="194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4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6"/>
      <c r="AN37" s="197">
        <f t="shared" si="2"/>
        <v>0</v>
      </c>
      <c r="AO37" s="146"/>
      <c r="AP37" s="147">
        <f t="shared" si="3"/>
        <v>0</v>
      </c>
      <c r="AQ37" s="148"/>
      <c r="AR37" s="198"/>
      <c r="AS37" s="198"/>
      <c r="AT37" s="135"/>
      <c r="AU37" s="199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1"/>
      <c r="BG37" s="201"/>
      <c r="BH37" s="201"/>
      <c r="BI37" s="201"/>
      <c r="BJ37" s="201"/>
      <c r="BK37" s="201"/>
      <c r="BL37" s="201"/>
      <c r="BM37" s="201"/>
      <c r="BN37" s="201"/>
      <c r="BO37" s="201"/>
      <c r="BP37" s="201"/>
      <c r="BQ37" s="201"/>
      <c r="BR37" s="199"/>
      <c r="BS37" s="200"/>
      <c r="BT37" s="200"/>
      <c r="BU37" s="200"/>
      <c r="BV37" s="200"/>
      <c r="BW37" s="200"/>
      <c r="BX37" s="200"/>
      <c r="BY37" s="200"/>
      <c r="BZ37" s="200"/>
      <c r="CA37" s="200"/>
      <c r="CB37" s="200"/>
      <c r="CC37" s="202"/>
      <c r="CD37" s="199"/>
      <c r="CE37" s="194"/>
      <c r="CF37" s="195"/>
      <c r="CG37" s="195"/>
      <c r="CH37" s="195"/>
      <c r="CI37" s="195"/>
      <c r="CJ37" s="195"/>
      <c r="CK37" s="195"/>
      <c r="CL37" s="195"/>
      <c r="CM37" s="195"/>
      <c r="CN37" s="195"/>
      <c r="CO37" s="347"/>
      <c r="CP37" s="200"/>
      <c r="CQ37" s="201"/>
      <c r="CR37" s="202"/>
      <c r="CS37" s="203">
        <f t="shared" si="48"/>
        <v>0</v>
      </c>
      <c r="CT37" s="146"/>
      <c r="CU37" s="147">
        <f t="shared" si="4"/>
        <v>0</v>
      </c>
      <c r="CV37" s="156"/>
      <c r="CW37" s="157" t="e">
        <f t="shared" si="5"/>
        <v>#DIV/0!</v>
      </c>
      <c r="CX37" s="157" t="e">
        <f t="shared" si="6"/>
        <v>#DIV/0!</v>
      </c>
      <c r="CY37" s="157" t="e">
        <f t="shared" si="7"/>
        <v>#DIV/0!</v>
      </c>
      <c r="CZ37" s="157" t="e">
        <f t="shared" si="8"/>
        <v>#DIV/0!</v>
      </c>
      <c r="DA37" s="157" t="e">
        <f t="shared" si="9"/>
        <v>#DIV/0!</v>
      </c>
      <c r="DB37" s="158" t="e">
        <f t="shared" si="10"/>
        <v>#DIV/0!</v>
      </c>
      <c r="DC37" s="131"/>
      <c r="DD37" s="159">
        <f t="shared" si="11"/>
        <v>0</v>
      </c>
      <c r="DE37" s="160">
        <f t="shared" si="12"/>
        <v>0</v>
      </c>
      <c r="DF37" s="161">
        <f t="shared" si="13"/>
        <v>0</v>
      </c>
      <c r="DG37" s="162" t="e">
        <f t="shared" si="14"/>
        <v>#DIV/0!</v>
      </c>
      <c r="DH37" s="163">
        <f t="shared" si="15"/>
        <v>0</v>
      </c>
      <c r="DI37" s="164"/>
      <c r="DJ37" s="165">
        <f t="shared" si="16"/>
        <v>0</v>
      </c>
      <c r="DK37" s="166">
        <v>0</v>
      </c>
      <c r="DL37" s="167" t="e">
        <f t="shared" si="17"/>
        <v>#DIV/0!</v>
      </c>
      <c r="DM37" s="168" t="e">
        <f t="shared" si="18"/>
        <v>#DIV/0!</v>
      </c>
      <c r="DN37" s="163" t="e">
        <f t="shared" si="19"/>
        <v>#DIV/0!</v>
      </c>
      <c r="DO37" s="169"/>
      <c r="DP37" s="170"/>
      <c r="DQ37" s="171"/>
      <c r="DR37" s="172">
        <f t="shared" si="20"/>
        <v>0</v>
      </c>
      <c r="DS37" s="173" t="e">
        <f t="shared" si="21"/>
        <v>#DIV/0!</v>
      </c>
      <c r="DT37" s="163" t="e">
        <f t="shared" si="22"/>
        <v>#DIV/0!</v>
      </c>
      <c r="DU37" s="174"/>
      <c r="DV37" s="175" t="e">
        <f t="shared" si="23"/>
        <v>#DIV/0!</v>
      </c>
      <c r="DW37" s="163">
        <f t="shared" si="24"/>
        <v>0</v>
      </c>
      <c r="DX37" s="164"/>
      <c r="DY37" s="176">
        <f t="shared" si="25"/>
        <v>0</v>
      </c>
      <c r="DZ37" s="177">
        <f t="shared" si="26"/>
        <v>0</v>
      </c>
      <c r="EA37" s="178">
        <f t="shared" si="27"/>
        <v>0</v>
      </c>
      <c r="EB37" s="179">
        <f t="shared" si="28"/>
        <v>0</v>
      </c>
      <c r="EC37" s="180"/>
      <c r="ED37" s="175" t="e">
        <f t="shared" si="29"/>
        <v>#DIV/0!</v>
      </c>
      <c r="EE37" s="163">
        <f t="shared" si="30"/>
        <v>0</v>
      </c>
      <c r="EF37" s="164"/>
      <c r="EG37" s="181">
        <f t="shared" si="31"/>
        <v>0</v>
      </c>
      <c r="EH37" s="182">
        <f t="shared" si="32"/>
        <v>0</v>
      </c>
      <c r="EI37" s="182">
        <f t="shared" si="33"/>
        <v>0</v>
      </c>
      <c r="EJ37" s="182">
        <f t="shared" si="34"/>
        <v>0</v>
      </c>
      <c r="EK37" s="183">
        <f t="shared" si="35"/>
        <v>0</v>
      </c>
      <c r="EL37" s="184" t="e">
        <f t="shared" si="36"/>
        <v>#DIV/0!</v>
      </c>
      <c r="EM37" s="185">
        <f t="shared" si="37"/>
        <v>0</v>
      </c>
      <c r="EN37" s="164"/>
      <c r="EO37" s="181">
        <f t="shared" si="38"/>
        <v>0</v>
      </c>
      <c r="EP37" s="183">
        <f t="shared" si="39"/>
        <v>0</v>
      </c>
      <c r="EQ37" s="184" t="e">
        <f t="shared" si="40"/>
        <v>#DIV/0!</v>
      </c>
      <c r="ER37" s="185">
        <f t="shared" si="41"/>
        <v>0</v>
      </c>
      <c r="ES37" s="164"/>
      <c r="ET37" s="164"/>
      <c r="EU37" s="186">
        <f t="shared" si="42"/>
        <v>0</v>
      </c>
      <c r="EV37" s="186">
        <f t="shared" si="43"/>
        <v>0</v>
      </c>
      <c r="EW37" s="186">
        <f t="shared" si="44"/>
        <v>0</v>
      </c>
      <c r="EX37" s="186">
        <f t="shared" si="45"/>
        <v>0</v>
      </c>
      <c r="EY37" s="131"/>
      <c r="EZ37" s="187">
        <f t="shared" si="46"/>
        <v>0</v>
      </c>
      <c r="FA37" s="188" t="e">
        <f t="shared" si="47"/>
        <v>#DIV/0!</v>
      </c>
      <c r="FB37" s="189"/>
      <c r="FC37" s="131"/>
      <c r="FD37" s="131"/>
      <c r="FE37" s="131"/>
      <c r="FF37" s="131"/>
      <c r="FG37" s="131"/>
    </row>
    <row r="38" spans="2:163" s="220" customFormat="1" ht="16" outlineLevel="1" thickBot="1" x14ac:dyDescent="0.4">
      <c r="B38" s="356"/>
      <c r="C38" s="353"/>
      <c r="D38" s="133"/>
      <c r="E38" s="134"/>
      <c r="F38" s="135"/>
      <c r="G38" s="136"/>
      <c r="H38" s="137"/>
      <c r="I38" s="138">
        <f t="shared" si="0"/>
        <v>0</v>
      </c>
      <c r="J38" s="139"/>
      <c r="K38" s="140">
        <f t="shared" si="49"/>
        <v>0</v>
      </c>
      <c r="L38" s="141"/>
      <c r="M38" s="142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2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4"/>
      <c r="AN38" s="145">
        <f t="shared" si="2"/>
        <v>0</v>
      </c>
      <c r="AO38" s="146"/>
      <c r="AP38" s="147">
        <f t="shared" si="3"/>
        <v>0</v>
      </c>
      <c r="AQ38" s="221"/>
      <c r="AR38" s="149"/>
      <c r="AS38" s="149"/>
      <c r="AT38" s="222"/>
      <c r="AU38" s="223"/>
      <c r="AV38" s="224"/>
      <c r="AW38" s="224"/>
      <c r="AX38" s="224"/>
      <c r="AY38" s="224"/>
      <c r="AZ38" s="224"/>
      <c r="BA38" s="224"/>
      <c r="BB38" s="151"/>
      <c r="BC38" s="151"/>
      <c r="BD38" s="151"/>
      <c r="BE38" s="151"/>
      <c r="BF38" s="152"/>
      <c r="BG38" s="152"/>
      <c r="BH38" s="152"/>
      <c r="BI38" s="152"/>
      <c r="BJ38" s="225"/>
      <c r="BK38" s="225"/>
      <c r="BL38" s="225"/>
      <c r="BM38" s="152"/>
      <c r="BN38" s="152"/>
      <c r="BO38" s="225"/>
      <c r="BP38" s="225"/>
      <c r="BQ38" s="225"/>
      <c r="BR38" s="223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6"/>
      <c r="CD38" s="223"/>
      <c r="CE38" s="142"/>
      <c r="CF38" s="143"/>
      <c r="CG38" s="143"/>
      <c r="CH38" s="143"/>
      <c r="CI38" s="143"/>
      <c r="CJ38" s="143"/>
      <c r="CK38" s="143"/>
      <c r="CL38" s="143"/>
      <c r="CM38" s="143"/>
      <c r="CN38" s="143"/>
      <c r="CO38" s="349"/>
      <c r="CP38" s="224"/>
      <c r="CQ38" s="225"/>
      <c r="CR38" s="226"/>
      <c r="CS38" s="227">
        <f t="shared" si="48"/>
        <v>0</v>
      </c>
      <c r="CT38" s="146"/>
      <c r="CU38" s="147">
        <f t="shared" si="4"/>
        <v>0</v>
      </c>
      <c r="CV38" s="156"/>
      <c r="CW38" s="157" t="e">
        <f t="shared" si="5"/>
        <v>#DIV/0!</v>
      </c>
      <c r="CX38" s="157" t="e">
        <f t="shared" si="6"/>
        <v>#DIV/0!</v>
      </c>
      <c r="CY38" s="157" t="e">
        <f t="shared" si="7"/>
        <v>#DIV/0!</v>
      </c>
      <c r="CZ38" s="157" t="e">
        <f t="shared" si="8"/>
        <v>#DIV/0!</v>
      </c>
      <c r="DA38" s="157" t="e">
        <f t="shared" si="9"/>
        <v>#DIV/0!</v>
      </c>
      <c r="DB38" s="158" t="e">
        <f t="shared" si="10"/>
        <v>#DIV/0!</v>
      </c>
      <c r="DC38" s="131"/>
      <c r="DD38" s="159">
        <f t="shared" si="11"/>
        <v>0</v>
      </c>
      <c r="DE38" s="160">
        <f t="shared" si="12"/>
        <v>0</v>
      </c>
      <c r="DF38" s="161">
        <f t="shared" si="13"/>
        <v>0</v>
      </c>
      <c r="DG38" s="162" t="e">
        <f t="shared" si="14"/>
        <v>#DIV/0!</v>
      </c>
      <c r="DH38" s="163">
        <f t="shared" si="15"/>
        <v>0</v>
      </c>
      <c r="DI38" s="164"/>
      <c r="DJ38" s="165">
        <f t="shared" ref="DJ38:DK67" si="50">H38</f>
        <v>0</v>
      </c>
      <c r="DK38" s="166">
        <f t="shared" si="50"/>
        <v>0</v>
      </c>
      <c r="DL38" s="167" t="e">
        <f t="shared" si="17"/>
        <v>#DIV/0!</v>
      </c>
      <c r="DM38" s="168" t="e">
        <f t="shared" si="18"/>
        <v>#DIV/0!</v>
      </c>
      <c r="DN38" s="163" t="e">
        <f t="shared" si="19"/>
        <v>#DIV/0!</v>
      </c>
      <c r="DO38" s="169"/>
      <c r="DP38" s="170"/>
      <c r="DQ38" s="171"/>
      <c r="DR38" s="172">
        <f t="shared" si="20"/>
        <v>0</v>
      </c>
      <c r="DS38" s="173" t="e">
        <f t="shared" si="21"/>
        <v>#DIV/0!</v>
      </c>
      <c r="DT38" s="163" t="e">
        <f t="shared" si="22"/>
        <v>#DIV/0!</v>
      </c>
      <c r="DU38" s="174"/>
      <c r="DV38" s="175" t="e">
        <f t="shared" si="23"/>
        <v>#DIV/0!</v>
      </c>
      <c r="DW38" s="163">
        <f t="shared" si="24"/>
        <v>0</v>
      </c>
      <c r="DX38" s="164"/>
      <c r="DY38" s="176">
        <f t="shared" si="25"/>
        <v>0</v>
      </c>
      <c r="DZ38" s="177">
        <f t="shared" si="26"/>
        <v>0</v>
      </c>
      <c r="EA38" s="178">
        <f t="shared" si="27"/>
        <v>0</v>
      </c>
      <c r="EB38" s="179">
        <f t="shared" si="28"/>
        <v>0</v>
      </c>
      <c r="EC38" s="180"/>
      <c r="ED38" s="175" t="e">
        <f t="shared" si="29"/>
        <v>#DIV/0!</v>
      </c>
      <c r="EE38" s="163">
        <f t="shared" si="30"/>
        <v>0</v>
      </c>
      <c r="EF38" s="164"/>
      <c r="EG38" s="181">
        <f t="shared" si="31"/>
        <v>0</v>
      </c>
      <c r="EH38" s="182">
        <f t="shared" si="32"/>
        <v>0</v>
      </c>
      <c r="EI38" s="182">
        <f t="shared" si="33"/>
        <v>0</v>
      </c>
      <c r="EJ38" s="182">
        <f t="shared" si="34"/>
        <v>0</v>
      </c>
      <c r="EK38" s="183">
        <f t="shared" si="35"/>
        <v>0</v>
      </c>
      <c r="EL38" s="184" t="e">
        <f t="shared" si="36"/>
        <v>#DIV/0!</v>
      </c>
      <c r="EM38" s="185">
        <f t="shared" si="37"/>
        <v>0</v>
      </c>
      <c r="EN38" s="164"/>
      <c r="EO38" s="181">
        <f t="shared" si="38"/>
        <v>0</v>
      </c>
      <c r="EP38" s="183">
        <f t="shared" si="39"/>
        <v>0</v>
      </c>
      <c r="EQ38" s="184" t="e">
        <f t="shared" si="40"/>
        <v>#DIV/0!</v>
      </c>
      <c r="ER38" s="185">
        <f t="shared" si="41"/>
        <v>0</v>
      </c>
      <c r="ES38" s="164"/>
      <c r="ET38" s="164"/>
      <c r="EU38" s="186">
        <f t="shared" si="42"/>
        <v>0</v>
      </c>
      <c r="EV38" s="186">
        <f t="shared" si="43"/>
        <v>0</v>
      </c>
      <c r="EW38" s="186">
        <f t="shared" si="44"/>
        <v>0</v>
      </c>
      <c r="EX38" s="186">
        <f t="shared" si="45"/>
        <v>0</v>
      </c>
      <c r="EY38" s="131"/>
      <c r="EZ38" s="187">
        <f t="shared" si="46"/>
        <v>0</v>
      </c>
      <c r="FA38" s="188" t="e">
        <f t="shared" si="47"/>
        <v>#DIV/0!</v>
      </c>
      <c r="FB38" s="189"/>
      <c r="FC38" s="219"/>
      <c r="FD38" s="219"/>
      <c r="FE38" s="219"/>
      <c r="FF38" s="219"/>
      <c r="FG38" s="219"/>
    </row>
    <row r="39" spans="2:163" ht="16" outlineLevel="1" thickBot="1" x14ac:dyDescent="0.4">
      <c r="B39" s="357"/>
      <c r="C39" s="354"/>
      <c r="D39" s="190"/>
      <c r="E39" s="191"/>
      <c r="F39" s="135"/>
      <c r="G39" s="192"/>
      <c r="H39" s="137"/>
      <c r="I39" s="138">
        <f t="shared" si="0"/>
        <v>0</v>
      </c>
      <c r="J39" s="139"/>
      <c r="K39" s="193">
        <f t="shared" si="49"/>
        <v>0</v>
      </c>
      <c r="L39" s="141"/>
      <c r="M39" s="194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4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6"/>
      <c r="AN39" s="197">
        <f t="shared" si="2"/>
        <v>0</v>
      </c>
      <c r="AO39" s="146"/>
      <c r="AP39" s="147">
        <f t="shared" si="3"/>
        <v>0</v>
      </c>
      <c r="AQ39" s="148"/>
      <c r="AR39" s="198"/>
      <c r="AS39" s="198"/>
      <c r="AT39" s="135"/>
      <c r="AU39" s="199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1"/>
      <c r="BG39" s="201"/>
      <c r="BH39" s="201"/>
      <c r="BI39" s="201"/>
      <c r="BJ39" s="201"/>
      <c r="BK39" s="201"/>
      <c r="BL39" s="201"/>
      <c r="BM39" s="201"/>
      <c r="BN39" s="201"/>
      <c r="BO39" s="201"/>
      <c r="BP39" s="201"/>
      <c r="BQ39" s="201"/>
      <c r="BR39" s="199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2"/>
      <c r="CD39" s="199"/>
      <c r="CE39" s="194"/>
      <c r="CF39" s="195"/>
      <c r="CG39" s="195"/>
      <c r="CH39" s="195"/>
      <c r="CI39" s="195"/>
      <c r="CJ39" s="195"/>
      <c r="CK39" s="195"/>
      <c r="CL39" s="195"/>
      <c r="CM39" s="195"/>
      <c r="CN39" s="195"/>
      <c r="CO39" s="347"/>
      <c r="CP39" s="200"/>
      <c r="CQ39" s="201"/>
      <c r="CR39" s="202"/>
      <c r="CS39" s="203">
        <f t="shared" si="48"/>
        <v>0</v>
      </c>
      <c r="CT39" s="146"/>
      <c r="CU39" s="147">
        <f t="shared" si="4"/>
        <v>0</v>
      </c>
      <c r="CV39" s="156"/>
      <c r="CW39" s="157" t="e">
        <f t="shared" si="5"/>
        <v>#DIV/0!</v>
      </c>
      <c r="CX39" s="157" t="e">
        <f t="shared" si="6"/>
        <v>#DIV/0!</v>
      </c>
      <c r="CY39" s="157" t="e">
        <f t="shared" si="7"/>
        <v>#DIV/0!</v>
      </c>
      <c r="CZ39" s="157" t="e">
        <f t="shared" si="8"/>
        <v>#DIV/0!</v>
      </c>
      <c r="DA39" s="157" t="e">
        <f t="shared" si="9"/>
        <v>#DIV/0!</v>
      </c>
      <c r="DB39" s="158" t="e">
        <f t="shared" si="10"/>
        <v>#DIV/0!</v>
      </c>
      <c r="DC39" s="131"/>
      <c r="DD39" s="159">
        <f t="shared" si="11"/>
        <v>0</v>
      </c>
      <c r="DE39" s="160">
        <f t="shared" si="12"/>
        <v>0</v>
      </c>
      <c r="DF39" s="161">
        <f t="shared" si="13"/>
        <v>0</v>
      </c>
      <c r="DG39" s="162" t="e">
        <f t="shared" si="14"/>
        <v>#DIV/0!</v>
      </c>
      <c r="DH39" s="163">
        <f t="shared" si="15"/>
        <v>0</v>
      </c>
      <c r="DI39" s="164"/>
      <c r="DJ39" s="165">
        <f t="shared" si="50"/>
        <v>0</v>
      </c>
      <c r="DK39" s="166">
        <v>0</v>
      </c>
      <c r="DL39" s="167" t="e">
        <f t="shared" si="17"/>
        <v>#DIV/0!</v>
      </c>
      <c r="DM39" s="168" t="e">
        <f t="shared" si="18"/>
        <v>#DIV/0!</v>
      </c>
      <c r="DN39" s="163" t="e">
        <f t="shared" si="19"/>
        <v>#DIV/0!</v>
      </c>
      <c r="DO39" s="169"/>
      <c r="DP39" s="170"/>
      <c r="DQ39" s="171"/>
      <c r="DR39" s="172">
        <f t="shared" si="20"/>
        <v>0</v>
      </c>
      <c r="DS39" s="173" t="e">
        <f t="shared" si="21"/>
        <v>#DIV/0!</v>
      </c>
      <c r="DT39" s="163" t="e">
        <f t="shared" si="22"/>
        <v>#DIV/0!</v>
      </c>
      <c r="DU39" s="174"/>
      <c r="DV39" s="175" t="e">
        <f t="shared" si="23"/>
        <v>#DIV/0!</v>
      </c>
      <c r="DW39" s="163">
        <f t="shared" si="24"/>
        <v>0</v>
      </c>
      <c r="DX39" s="164"/>
      <c r="DY39" s="176">
        <f t="shared" si="25"/>
        <v>0</v>
      </c>
      <c r="DZ39" s="177">
        <f t="shared" si="26"/>
        <v>0</v>
      </c>
      <c r="EA39" s="178">
        <f t="shared" si="27"/>
        <v>0</v>
      </c>
      <c r="EB39" s="179">
        <f t="shared" si="28"/>
        <v>0</v>
      </c>
      <c r="EC39" s="180"/>
      <c r="ED39" s="175" t="e">
        <f t="shared" si="29"/>
        <v>#DIV/0!</v>
      </c>
      <c r="EE39" s="163">
        <f t="shared" si="30"/>
        <v>0</v>
      </c>
      <c r="EF39" s="164"/>
      <c r="EG39" s="181">
        <f t="shared" si="31"/>
        <v>0</v>
      </c>
      <c r="EH39" s="182">
        <f t="shared" si="32"/>
        <v>0</v>
      </c>
      <c r="EI39" s="182">
        <f t="shared" si="33"/>
        <v>0</v>
      </c>
      <c r="EJ39" s="182">
        <f t="shared" si="34"/>
        <v>0</v>
      </c>
      <c r="EK39" s="183">
        <f t="shared" si="35"/>
        <v>0</v>
      </c>
      <c r="EL39" s="184" t="e">
        <f t="shared" si="36"/>
        <v>#DIV/0!</v>
      </c>
      <c r="EM39" s="185">
        <f t="shared" si="37"/>
        <v>0</v>
      </c>
      <c r="EN39" s="164"/>
      <c r="EO39" s="181">
        <f t="shared" si="38"/>
        <v>0</v>
      </c>
      <c r="EP39" s="183">
        <f t="shared" si="39"/>
        <v>0</v>
      </c>
      <c r="EQ39" s="184" t="e">
        <f t="shared" si="40"/>
        <v>#DIV/0!</v>
      </c>
      <c r="ER39" s="185">
        <f t="shared" si="41"/>
        <v>0</v>
      </c>
      <c r="ES39" s="164"/>
      <c r="ET39" s="164"/>
      <c r="EU39" s="186">
        <f t="shared" si="42"/>
        <v>0</v>
      </c>
      <c r="EV39" s="186">
        <f t="shared" si="43"/>
        <v>0</v>
      </c>
      <c r="EW39" s="186">
        <f t="shared" si="44"/>
        <v>0</v>
      </c>
      <c r="EX39" s="186">
        <f t="shared" si="45"/>
        <v>0</v>
      </c>
      <c r="EY39" s="131"/>
      <c r="EZ39" s="187">
        <f t="shared" si="46"/>
        <v>0</v>
      </c>
      <c r="FA39" s="188" t="e">
        <f t="shared" si="47"/>
        <v>#DIV/0!</v>
      </c>
      <c r="FB39" s="189"/>
      <c r="FC39" s="131"/>
      <c r="FD39" s="131"/>
      <c r="FE39" s="131"/>
      <c r="FF39" s="131"/>
      <c r="FG39" s="131"/>
    </row>
    <row r="40" spans="2:163" ht="16" outlineLevel="1" thickBot="1" x14ac:dyDescent="0.4">
      <c r="B40" s="358"/>
      <c r="C40" s="355"/>
      <c r="D40" s="190"/>
      <c r="E40" s="191"/>
      <c r="F40" s="135"/>
      <c r="G40" s="192"/>
      <c r="H40" s="137"/>
      <c r="I40" s="138">
        <f t="shared" si="0"/>
        <v>0</v>
      </c>
      <c r="J40" s="139"/>
      <c r="K40" s="193">
        <f t="shared" si="49"/>
        <v>0</v>
      </c>
      <c r="L40" s="141"/>
      <c r="M40" s="194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4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6"/>
      <c r="AN40" s="197">
        <f t="shared" si="2"/>
        <v>0</v>
      </c>
      <c r="AO40" s="146"/>
      <c r="AP40" s="147">
        <f t="shared" si="3"/>
        <v>0</v>
      </c>
      <c r="AQ40" s="148"/>
      <c r="AR40" s="198"/>
      <c r="AS40" s="198"/>
      <c r="AT40" s="135"/>
      <c r="AU40" s="199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1"/>
      <c r="BG40" s="201"/>
      <c r="BH40" s="201"/>
      <c r="BI40" s="201"/>
      <c r="BJ40" s="201"/>
      <c r="BK40" s="201"/>
      <c r="BL40" s="201"/>
      <c r="BM40" s="201"/>
      <c r="BN40" s="201"/>
      <c r="BO40" s="201"/>
      <c r="BP40" s="201"/>
      <c r="BQ40" s="201"/>
      <c r="BR40" s="199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2"/>
      <c r="CD40" s="199"/>
      <c r="CE40" s="194"/>
      <c r="CF40" s="195"/>
      <c r="CG40" s="195"/>
      <c r="CH40" s="195"/>
      <c r="CI40" s="195"/>
      <c r="CJ40" s="195"/>
      <c r="CK40" s="195"/>
      <c r="CL40" s="195"/>
      <c r="CM40" s="195"/>
      <c r="CN40" s="195"/>
      <c r="CO40" s="347"/>
      <c r="CP40" s="200"/>
      <c r="CQ40" s="201"/>
      <c r="CR40" s="202"/>
      <c r="CS40" s="203">
        <f t="shared" si="48"/>
        <v>0</v>
      </c>
      <c r="CT40" s="146"/>
      <c r="CU40" s="147">
        <f t="shared" si="4"/>
        <v>0</v>
      </c>
      <c r="CV40" s="156"/>
      <c r="CW40" s="157" t="e">
        <f t="shared" si="5"/>
        <v>#DIV/0!</v>
      </c>
      <c r="CX40" s="157" t="e">
        <f t="shared" si="6"/>
        <v>#DIV/0!</v>
      </c>
      <c r="CY40" s="157" t="e">
        <f t="shared" si="7"/>
        <v>#DIV/0!</v>
      </c>
      <c r="CZ40" s="157" t="e">
        <f t="shared" si="8"/>
        <v>#DIV/0!</v>
      </c>
      <c r="DA40" s="157" t="e">
        <f t="shared" si="9"/>
        <v>#DIV/0!</v>
      </c>
      <c r="DB40" s="158" t="e">
        <f t="shared" si="10"/>
        <v>#DIV/0!</v>
      </c>
      <c r="DC40" s="131"/>
      <c r="DD40" s="159">
        <f t="shared" si="11"/>
        <v>0</v>
      </c>
      <c r="DE40" s="160">
        <f t="shared" si="12"/>
        <v>0</v>
      </c>
      <c r="DF40" s="161">
        <f t="shared" si="13"/>
        <v>0</v>
      </c>
      <c r="DG40" s="162" t="e">
        <f t="shared" si="14"/>
        <v>#DIV/0!</v>
      </c>
      <c r="DH40" s="163">
        <f t="shared" si="15"/>
        <v>0</v>
      </c>
      <c r="DI40" s="164"/>
      <c r="DJ40" s="165">
        <f t="shared" si="50"/>
        <v>0</v>
      </c>
      <c r="DK40" s="166">
        <v>0</v>
      </c>
      <c r="DL40" s="167" t="e">
        <f t="shared" si="17"/>
        <v>#DIV/0!</v>
      </c>
      <c r="DM40" s="168" t="e">
        <f t="shared" si="18"/>
        <v>#DIV/0!</v>
      </c>
      <c r="DN40" s="163" t="e">
        <f t="shared" si="19"/>
        <v>#DIV/0!</v>
      </c>
      <c r="DO40" s="169"/>
      <c r="DP40" s="170"/>
      <c r="DQ40" s="171"/>
      <c r="DR40" s="172">
        <f t="shared" si="20"/>
        <v>0</v>
      </c>
      <c r="DS40" s="173" t="e">
        <f t="shared" si="21"/>
        <v>#DIV/0!</v>
      </c>
      <c r="DT40" s="163" t="e">
        <f t="shared" si="22"/>
        <v>#DIV/0!</v>
      </c>
      <c r="DU40" s="174"/>
      <c r="DV40" s="175" t="e">
        <f t="shared" si="23"/>
        <v>#DIV/0!</v>
      </c>
      <c r="DW40" s="163">
        <f t="shared" si="24"/>
        <v>0</v>
      </c>
      <c r="DX40" s="164"/>
      <c r="DY40" s="176">
        <f t="shared" si="25"/>
        <v>0</v>
      </c>
      <c r="DZ40" s="177">
        <f t="shared" si="26"/>
        <v>0</v>
      </c>
      <c r="EA40" s="178">
        <f t="shared" si="27"/>
        <v>0</v>
      </c>
      <c r="EB40" s="179">
        <f t="shared" si="28"/>
        <v>0</v>
      </c>
      <c r="EC40" s="180"/>
      <c r="ED40" s="175" t="e">
        <f t="shared" si="29"/>
        <v>#DIV/0!</v>
      </c>
      <c r="EE40" s="163">
        <f t="shared" si="30"/>
        <v>0</v>
      </c>
      <c r="EF40" s="164"/>
      <c r="EG40" s="181">
        <f t="shared" si="31"/>
        <v>0</v>
      </c>
      <c r="EH40" s="182">
        <f t="shared" si="32"/>
        <v>0</v>
      </c>
      <c r="EI40" s="182">
        <f t="shared" si="33"/>
        <v>0</v>
      </c>
      <c r="EJ40" s="182">
        <f t="shared" si="34"/>
        <v>0</v>
      </c>
      <c r="EK40" s="183">
        <f t="shared" si="35"/>
        <v>0</v>
      </c>
      <c r="EL40" s="184" t="e">
        <f t="shared" si="36"/>
        <v>#DIV/0!</v>
      </c>
      <c r="EM40" s="185">
        <f t="shared" si="37"/>
        <v>0</v>
      </c>
      <c r="EN40" s="164"/>
      <c r="EO40" s="181">
        <f t="shared" si="38"/>
        <v>0</v>
      </c>
      <c r="EP40" s="183">
        <f t="shared" si="39"/>
        <v>0</v>
      </c>
      <c r="EQ40" s="184" t="e">
        <f t="shared" si="40"/>
        <v>#DIV/0!</v>
      </c>
      <c r="ER40" s="185">
        <f t="shared" si="41"/>
        <v>0</v>
      </c>
      <c r="ES40" s="164"/>
      <c r="ET40" s="164"/>
      <c r="EU40" s="186">
        <f t="shared" si="42"/>
        <v>0</v>
      </c>
      <c r="EV40" s="186">
        <f t="shared" si="43"/>
        <v>0</v>
      </c>
      <c r="EW40" s="186">
        <f t="shared" si="44"/>
        <v>0</v>
      </c>
      <c r="EX40" s="186">
        <f t="shared" si="45"/>
        <v>0</v>
      </c>
      <c r="EY40" s="131"/>
      <c r="EZ40" s="187">
        <f t="shared" si="46"/>
        <v>0</v>
      </c>
      <c r="FA40" s="188" t="e">
        <f t="shared" si="47"/>
        <v>#DIV/0!</v>
      </c>
      <c r="FB40" s="189"/>
      <c r="FC40" s="131"/>
      <c r="FD40" s="131"/>
      <c r="FE40" s="131"/>
      <c r="FF40" s="131"/>
      <c r="FG40" s="131"/>
    </row>
    <row r="41" spans="2:163" ht="16" outlineLevel="1" thickBot="1" x14ac:dyDescent="0.4">
      <c r="B41" s="356"/>
      <c r="C41" s="353"/>
      <c r="D41" s="133"/>
      <c r="E41" s="134"/>
      <c r="F41" s="135"/>
      <c r="G41" s="136"/>
      <c r="H41" s="137"/>
      <c r="I41" s="138">
        <f t="shared" si="0"/>
        <v>0</v>
      </c>
      <c r="J41" s="139"/>
      <c r="K41" s="140">
        <f t="shared" si="49"/>
        <v>0</v>
      </c>
      <c r="L41" s="141"/>
      <c r="M41" s="142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2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4"/>
      <c r="AN41" s="145">
        <f t="shared" si="2"/>
        <v>0</v>
      </c>
      <c r="AO41" s="146"/>
      <c r="AP41" s="147">
        <f t="shared" si="3"/>
        <v>0</v>
      </c>
      <c r="AQ41" s="148"/>
      <c r="AR41" s="149"/>
      <c r="AS41" s="149"/>
      <c r="AT41" s="135"/>
      <c r="AU41" s="150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0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4"/>
      <c r="CD41" s="150"/>
      <c r="CE41" s="142"/>
      <c r="CF41" s="143"/>
      <c r="CG41" s="143"/>
      <c r="CH41" s="143"/>
      <c r="CI41" s="143"/>
      <c r="CJ41" s="143"/>
      <c r="CK41" s="143"/>
      <c r="CL41" s="143"/>
      <c r="CM41" s="143"/>
      <c r="CN41" s="143"/>
      <c r="CO41" s="346"/>
      <c r="CP41" s="151"/>
      <c r="CQ41" s="152"/>
      <c r="CR41" s="154"/>
      <c r="CS41" s="155">
        <f t="shared" si="48"/>
        <v>0</v>
      </c>
      <c r="CT41" s="146"/>
      <c r="CU41" s="147">
        <f t="shared" si="4"/>
        <v>0</v>
      </c>
      <c r="CV41" s="156"/>
      <c r="CW41" s="157" t="e">
        <f t="shared" si="5"/>
        <v>#DIV/0!</v>
      </c>
      <c r="CX41" s="157" t="e">
        <f t="shared" si="6"/>
        <v>#DIV/0!</v>
      </c>
      <c r="CY41" s="157" t="e">
        <f t="shared" si="7"/>
        <v>#DIV/0!</v>
      </c>
      <c r="CZ41" s="157" t="e">
        <f t="shared" si="8"/>
        <v>#DIV/0!</v>
      </c>
      <c r="DA41" s="157" t="e">
        <f t="shared" si="9"/>
        <v>#DIV/0!</v>
      </c>
      <c r="DB41" s="158" t="e">
        <f t="shared" si="10"/>
        <v>#DIV/0!</v>
      </c>
      <c r="DC41" s="131"/>
      <c r="DD41" s="159">
        <f t="shared" si="11"/>
        <v>0</v>
      </c>
      <c r="DE41" s="160">
        <f t="shared" si="12"/>
        <v>0</v>
      </c>
      <c r="DF41" s="161">
        <f t="shared" si="13"/>
        <v>0</v>
      </c>
      <c r="DG41" s="162" t="e">
        <f t="shared" si="14"/>
        <v>#DIV/0!</v>
      </c>
      <c r="DH41" s="163">
        <f t="shared" si="15"/>
        <v>0</v>
      </c>
      <c r="DI41" s="164"/>
      <c r="DJ41" s="165">
        <f t="shared" si="50"/>
        <v>0</v>
      </c>
      <c r="DK41" s="166">
        <f t="shared" si="50"/>
        <v>0</v>
      </c>
      <c r="DL41" s="167" t="e">
        <f t="shared" si="17"/>
        <v>#DIV/0!</v>
      </c>
      <c r="DM41" s="168" t="e">
        <f t="shared" si="18"/>
        <v>#DIV/0!</v>
      </c>
      <c r="DN41" s="163" t="e">
        <f t="shared" si="19"/>
        <v>#DIV/0!</v>
      </c>
      <c r="DO41" s="169"/>
      <c r="DP41" s="170"/>
      <c r="DQ41" s="171"/>
      <c r="DR41" s="172">
        <f t="shared" si="20"/>
        <v>0</v>
      </c>
      <c r="DS41" s="173" t="e">
        <f t="shared" si="21"/>
        <v>#DIV/0!</v>
      </c>
      <c r="DT41" s="163" t="e">
        <f t="shared" si="22"/>
        <v>#DIV/0!</v>
      </c>
      <c r="DU41" s="174"/>
      <c r="DV41" s="175" t="e">
        <f t="shared" si="23"/>
        <v>#DIV/0!</v>
      </c>
      <c r="DW41" s="163">
        <f t="shared" si="24"/>
        <v>0</v>
      </c>
      <c r="DX41" s="164"/>
      <c r="DY41" s="176">
        <f t="shared" si="25"/>
        <v>0</v>
      </c>
      <c r="DZ41" s="177">
        <f t="shared" si="26"/>
        <v>0</v>
      </c>
      <c r="EA41" s="178">
        <f t="shared" si="27"/>
        <v>0</v>
      </c>
      <c r="EB41" s="179">
        <f t="shared" si="28"/>
        <v>0</v>
      </c>
      <c r="EC41" s="180"/>
      <c r="ED41" s="175" t="e">
        <f t="shared" si="29"/>
        <v>#DIV/0!</v>
      </c>
      <c r="EE41" s="163">
        <f t="shared" si="30"/>
        <v>0</v>
      </c>
      <c r="EF41" s="164"/>
      <c r="EG41" s="181">
        <f t="shared" si="31"/>
        <v>0</v>
      </c>
      <c r="EH41" s="182">
        <f t="shared" si="32"/>
        <v>0</v>
      </c>
      <c r="EI41" s="182">
        <f t="shared" si="33"/>
        <v>0</v>
      </c>
      <c r="EJ41" s="182">
        <f t="shared" si="34"/>
        <v>0</v>
      </c>
      <c r="EK41" s="183">
        <f t="shared" si="35"/>
        <v>0</v>
      </c>
      <c r="EL41" s="184" t="e">
        <f t="shared" si="36"/>
        <v>#DIV/0!</v>
      </c>
      <c r="EM41" s="185">
        <f t="shared" si="37"/>
        <v>0</v>
      </c>
      <c r="EN41" s="164"/>
      <c r="EO41" s="181">
        <f t="shared" si="38"/>
        <v>0</v>
      </c>
      <c r="EP41" s="183">
        <f t="shared" si="39"/>
        <v>0</v>
      </c>
      <c r="EQ41" s="184" t="e">
        <f t="shared" si="40"/>
        <v>#DIV/0!</v>
      </c>
      <c r="ER41" s="185">
        <f t="shared" si="41"/>
        <v>0</v>
      </c>
      <c r="ES41" s="164"/>
      <c r="ET41" s="164"/>
      <c r="EU41" s="186">
        <f t="shared" si="42"/>
        <v>0</v>
      </c>
      <c r="EV41" s="186">
        <f t="shared" si="43"/>
        <v>0</v>
      </c>
      <c r="EW41" s="186">
        <f t="shared" si="44"/>
        <v>0</v>
      </c>
      <c r="EX41" s="186">
        <f t="shared" si="45"/>
        <v>0</v>
      </c>
      <c r="EY41" s="131"/>
      <c r="EZ41" s="187">
        <f t="shared" si="46"/>
        <v>0</v>
      </c>
      <c r="FA41" s="188" t="e">
        <f t="shared" si="47"/>
        <v>#DIV/0!</v>
      </c>
      <c r="FB41" s="189"/>
      <c r="FC41" s="131"/>
      <c r="FD41" s="131"/>
      <c r="FE41" s="131"/>
      <c r="FF41" s="131"/>
      <c r="FG41" s="131"/>
    </row>
    <row r="42" spans="2:163" ht="16" outlineLevel="1" thickBot="1" x14ac:dyDescent="0.4">
      <c r="B42" s="357"/>
      <c r="C42" s="354"/>
      <c r="D42" s="190"/>
      <c r="E42" s="191"/>
      <c r="F42" s="135"/>
      <c r="G42" s="192"/>
      <c r="H42" s="137"/>
      <c r="I42" s="138">
        <f t="shared" si="0"/>
        <v>0</v>
      </c>
      <c r="J42" s="139"/>
      <c r="K42" s="193">
        <f t="shared" si="49"/>
        <v>0</v>
      </c>
      <c r="L42" s="141"/>
      <c r="M42" s="194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4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6"/>
      <c r="AN42" s="197">
        <f t="shared" si="2"/>
        <v>0</v>
      </c>
      <c r="AO42" s="146"/>
      <c r="AP42" s="147">
        <f t="shared" si="3"/>
        <v>0</v>
      </c>
      <c r="AQ42" s="148"/>
      <c r="AR42" s="198"/>
      <c r="AS42" s="198"/>
      <c r="AT42" s="135"/>
      <c r="AU42" s="199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1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199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2"/>
      <c r="CD42" s="199"/>
      <c r="CE42" s="194"/>
      <c r="CF42" s="195"/>
      <c r="CG42" s="195"/>
      <c r="CH42" s="195"/>
      <c r="CI42" s="195"/>
      <c r="CJ42" s="195"/>
      <c r="CK42" s="195"/>
      <c r="CL42" s="195"/>
      <c r="CM42" s="195"/>
      <c r="CN42" s="195"/>
      <c r="CO42" s="347"/>
      <c r="CP42" s="200"/>
      <c r="CQ42" s="201"/>
      <c r="CR42" s="202"/>
      <c r="CS42" s="203">
        <f t="shared" si="48"/>
        <v>0</v>
      </c>
      <c r="CT42" s="146"/>
      <c r="CU42" s="147">
        <f t="shared" si="4"/>
        <v>0</v>
      </c>
      <c r="CV42" s="156"/>
      <c r="CW42" s="157" t="e">
        <f t="shared" si="5"/>
        <v>#DIV/0!</v>
      </c>
      <c r="CX42" s="157" t="e">
        <f t="shared" si="6"/>
        <v>#DIV/0!</v>
      </c>
      <c r="CY42" s="157" t="e">
        <f t="shared" si="7"/>
        <v>#DIV/0!</v>
      </c>
      <c r="CZ42" s="157" t="e">
        <f t="shared" si="8"/>
        <v>#DIV/0!</v>
      </c>
      <c r="DA42" s="157" t="e">
        <f t="shared" si="9"/>
        <v>#DIV/0!</v>
      </c>
      <c r="DB42" s="158" t="e">
        <f t="shared" si="10"/>
        <v>#DIV/0!</v>
      </c>
      <c r="DC42" s="131"/>
      <c r="DD42" s="159">
        <f t="shared" si="11"/>
        <v>0</v>
      </c>
      <c r="DE42" s="160">
        <f t="shared" si="12"/>
        <v>0</v>
      </c>
      <c r="DF42" s="161">
        <f t="shared" si="13"/>
        <v>0</v>
      </c>
      <c r="DG42" s="162" t="e">
        <f t="shared" si="14"/>
        <v>#DIV/0!</v>
      </c>
      <c r="DH42" s="163">
        <f t="shared" si="15"/>
        <v>0</v>
      </c>
      <c r="DI42" s="164"/>
      <c r="DJ42" s="165">
        <f t="shared" si="50"/>
        <v>0</v>
      </c>
      <c r="DK42" s="166">
        <f t="shared" si="50"/>
        <v>0</v>
      </c>
      <c r="DL42" s="167" t="e">
        <f t="shared" si="17"/>
        <v>#DIV/0!</v>
      </c>
      <c r="DM42" s="168" t="e">
        <f t="shared" si="18"/>
        <v>#DIV/0!</v>
      </c>
      <c r="DN42" s="163" t="e">
        <f t="shared" si="19"/>
        <v>#DIV/0!</v>
      </c>
      <c r="DO42" s="169"/>
      <c r="DP42" s="170"/>
      <c r="DQ42" s="171"/>
      <c r="DR42" s="172">
        <f t="shared" si="20"/>
        <v>0</v>
      </c>
      <c r="DS42" s="173" t="e">
        <f t="shared" si="21"/>
        <v>#DIV/0!</v>
      </c>
      <c r="DT42" s="163" t="e">
        <f t="shared" si="22"/>
        <v>#DIV/0!</v>
      </c>
      <c r="DU42" s="174"/>
      <c r="DV42" s="175" t="e">
        <f t="shared" si="23"/>
        <v>#DIV/0!</v>
      </c>
      <c r="DW42" s="163">
        <f t="shared" si="24"/>
        <v>0</v>
      </c>
      <c r="DX42" s="164"/>
      <c r="DY42" s="176">
        <f t="shared" si="25"/>
        <v>0</v>
      </c>
      <c r="DZ42" s="177">
        <f t="shared" si="26"/>
        <v>0</v>
      </c>
      <c r="EA42" s="178">
        <f t="shared" si="27"/>
        <v>0</v>
      </c>
      <c r="EB42" s="179">
        <f t="shared" si="28"/>
        <v>0</v>
      </c>
      <c r="EC42" s="180"/>
      <c r="ED42" s="175" t="e">
        <f t="shared" si="29"/>
        <v>#DIV/0!</v>
      </c>
      <c r="EE42" s="163">
        <f t="shared" si="30"/>
        <v>0</v>
      </c>
      <c r="EF42" s="164"/>
      <c r="EG42" s="181">
        <f t="shared" si="31"/>
        <v>0</v>
      </c>
      <c r="EH42" s="182">
        <f t="shared" si="32"/>
        <v>0</v>
      </c>
      <c r="EI42" s="182">
        <f t="shared" si="33"/>
        <v>0</v>
      </c>
      <c r="EJ42" s="182">
        <f t="shared" si="34"/>
        <v>0</v>
      </c>
      <c r="EK42" s="183">
        <f t="shared" si="35"/>
        <v>0</v>
      </c>
      <c r="EL42" s="184" t="e">
        <f t="shared" si="36"/>
        <v>#DIV/0!</v>
      </c>
      <c r="EM42" s="185">
        <f t="shared" si="37"/>
        <v>0</v>
      </c>
      <c r="EN42" s="164"/>
      <c r="EO42" s="181">
        <f t="shared" si="38"/>
        <v>0</v>
      </c>
      <c r="EP42" s="183">
        <f t="shared" si="39"/>
        <v>0</v>
      </c>
      <c r="EQ42" s="184" t="e">
        <f t="shared" si="40"/>
        <v>#DIV/0!</v>
      </c>
      <c r="ER42" s="185">
        <f t="shared" si="41"/>
        <v>0</v>
      </c>
      <c r="ES42" s="164"/>
      <c r="ET42" s="164"/>
      <c r="EU42" s="186">
        <f t="shared" si="42"/>
        <v>0</v>
      </c>
      <c r="EV42" s="186">
        <f t="shared" si="43"/>
        <v>0</v>
      </c>
      <c r="EW42" s="186">
        <f t="shared" si="44"/>
        <v>0</v>
      </c>
      <c r="EX42" s="186">
        <f t="shared" si="45"/>
        <v>0</v>
      </c>
      <c r="EY42" s="131"/>
      <c r="EZ42" s="187">
        <f t="shared" si="46"/>
        <v>0</v>
      </c>
      <c r="FA42" s="188" t="e">
        <f t="shared" si="47"/>
        <v>#DIV/0!</v>
      </c>
      <c r="FB42" s="189"/>
      <c r="FC42" s="131"/>
      <c r="FD42" s="131"/>
      <c r="FE42" s="131"/>
      <c r="FF42" s="131"/>
      <c r="FG42" s="131"/>
    </row>
    <row r="43" spans="2:163" ht="16" outlineLevel="1" thickBot="1" x14ac:dyDescent="0.4">
      <c r="B43" s="358"/>
      <c r="C43" s="355"/>
      <c r="D43" s="204"/>
      <c r="E43" s="205"/>
      <c r="F43" s="135"/>
      <c r="G43" s="206"/>
      <c r="H43" s="207"/>
      <c r="I43" s="138">
        <f t="shared" si="0"/>
        <v>0</v>
      </c>
      <c r="J43" s="139"/>
      <c r="K43" s="208">
        <f t="shared" si="49"/>
        <v>0</v>
      </c>
      <c r="L43" s="141"/>
      <c r="M43" s="209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09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1"/>
      <c r="AN43" s="212">
        <f t="shared" si="2"/>
        <v>0</v>
      </c>
      <c r="AO43" s="146"/>
      <c r="AP43" s="147">
        <f t="shared" si="3"/>
        <v>0</v>
      </c>
      <c r="AQ43" s="148"/>
      <c r="AR43" s="213"/>
      <c r="AS43" s="213"/>
      <c r="AT43" s="135"/>
      <c r="AU43" s="214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4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7"/>
      <c r="CD43" s="214"/>
      <c r="CE43" s="209"/>
      <c r="CF43" s="210"/>
      <c r="CG43" s="210"/>
      <c r="CH43" s="210"/>
      <c r="CI43" s="210"/>
      <c r="CJ43" s="210"/>
      <c r="CK43" s="210"/>
      <c r="CL43" s="210"/>
      <c r="CM43" s="210"/>
      <c r="CN43" s="210"/>
      <c r="CO43" s="348"/>
      <c r="CP43" s="215"/>
      <c r="CQ43" s="216"/>
      <c r="CR43" s="217"/>
      <c r="CS43" s="218">
        <f t="shared" si="48"/>
        <v>0</v>
      </c>
      <c r="CT43" s="146"/>
      <c r="CU43" s="147">
        <f t="shared" si="4"/>
        <v>0</v>
      </c>
      <c r="CV43" s="156"/>
      <c r="CW43" s="157" t="e">
        <f t="shared" si="5"/>
        <v>#DIV/0!</v>
      </c>
      <c r="CX43" s="157" t="e">
        <f t="shared" si="6"/>
        <v>#DIV/0!</v>
      </c>
      <c r="CY43" s="157" t="e">
        <f t="shared" si="7"/>
        <v>#DIV/0!</v>
      </c>
      <c r="CZ43" s="157" t="e">
        <f t="shared" si="8"/>
        <v>#DIV/0!</v>
      </c>
      <c r="DA43" s="157" t="e">
        <f t="shared" si="9"/>
        <v>#DIV/0!</v>
      </c>
      <c r="DB43" s="158" t="e">
        <f t="shared" si="10"/>
        <v>#DIV/0!</v>
      </c>
      <c r="DC43" s="131"/>
      <c r="DD43" s="159">
        <f t="shared" si="11"/>
        <v>0</v>
      </c>
      <c r="DE43" s="160">
        <f t="shared" si="12"/>
        <v>0</v>
      </c>
      <c r="DF43" s="161">
        <f t="shared" si="13"/>
        <v>0</v>
      </c>
      <c r="DG43" s="162" t="e">
        <f t="shared" si="14"/>
        <v>#DIV/0!</v>
      </c>
      <c r="DH43" s="163">
        <f t="shared" si="15"/>
        <v>0</v>
      </c>
      <c r="DI43" s="164"/>
      <c r="DJ43" s="165">
        <f t="shared" si="50"/>
        <v>0</v>
      </c>
      <c r="DK43" s="166">
        <f t="shared" si="50"/>
        <v>0</v>
      </c>
      <c r="DL43" s="167" t="e">
        <f t="shared" si="17"/>
        <v>#DIV/0!</v>
      </c>
      <c r="DM43" s="168" t="e">
        <f t="shared" si="18"/>
        <v>#DIV/0!</v>
      </c>
      <c r="DN43" s="163" t="e">
        <f t="shared" si="19"/>
        <v>#DIV/0!</v>
      </c>
      <c r="DO43" s="169"/>
      <c r="DP43" s="170"/>
      <c r="DQ43" s="171"/>
      <c r="DR43" s="172">
        <f t="shared" si="20"/>
        <v>0</v>
      </c>
      <c r="DS43" s="173" t="e">
        <f t="shared" si="21"/>
        <v>#DIV/0!</v>
      </c>
      <c r="DT43" s="163" t="e">
        <f t="shared" si="22"/>
        <v>#DIV/0!</v>
      </c>
      <c r="DU43" s="174"/>
      <c r="DV43" s="175" t="e">
        <f t="shared" si="23"/>
        <v>#DIV/0!</v>
      </c>
      <c r="DW43" s="163">
        <f t="shared" si="24"/>
        <v>0</v>
      </c>
      <c r="DX43" s="164"/>
      <c r="DY43" s="176">
        <f t="shared" si="25"/>
        <v>0</v>
      </c>
      <c r="DZ43" s="177">
        <f t="shared" si="26"/>
        <v>0</v>
      </c>
      <c r="EA43" s="178">
        <f t="shared" si="27"/>
        <v>0</v>
      </c>
      <c r="EB43" s="179">
        <f t="shared" si="28"/>
        <v>0</v>
      </c>
      <c r="EC43" s="180"/>
      <c r="ED43" s="175" t="e">
        <f t="shared" si="29"/>
        <v>#DIV/0!</v>
      </c>
      <c r="EE43" s="163">
        <f t="shared" si="30"/>
        <v>0</v>
      </c>
      <c r="EF43" s="164"/>
      <c r="EG43" s="181">
        <f t="shared" si="31"/>
        <v>0</v>
      </c>
      <c r="EH43" s="182">
        <f t="shared" si="32"/>
        <v>0</v>
      </c>
      <c r="EI43" s="182">
        <f t="shared" si="33"/>
        <v>0</v>
      </c>
      <c r="EJ43" s="182">
        <f t="shared" si="34"/>
        <v>0</v>
      </c>
      <c r="EK43" s="183">
        <f t="shared" si="35"/>
        <v>0</v>
      </c>
      <c r="EL43" s="184" t="e">
        <f t="shared" si="36"/>
        <v>#DIV/0!</v>
      </c>
      <c r="EM43" s="185">
        <f t="shared" si="37"/>
        <v>0</v>
      </c>
      <c r="EN43" s="164"/>
      <c r="EO43" s="181">
        <f t="shared" si="38"/>
        <v>0</v>
      </c>
      <c r="EP43" s="183">
        <f t="shared" si="39"/>
        <v>0</v>
      </c>
      <c r="EQ43" s="184" t="e">
        <f t="shared" si="40"/>
        <v>#DIV/0!</v>
      </c>
      <c r="ER43" s="185">
        <f t="shared" si="41"/>
        <v>0</v>
      </c>
      <c r="ES43" s="164"/>
      <c r="ET43" s="164"/>
      <c r="EU43" s="186">
        <f t="shared" si="42"/>
        <v>0</v>
      </c>
      <c r="EV43" s="186">
        <f t="shared" si="43"/>
        <v>0</v>
      </c>
      <c r="EW43" s="186">
        <f t="shared" si="44"/>
        <v>0</v>
      </c>
      <c r="EX43" s="186">
        <f t="shared" si="45"/>
        <v>0</v>
      </c>
      <c r="EY43" s="131"/>
      <c r="EZ43" s="187">
        <f t="shared" si="46"/>
        <v>0</v>
      </c>
      <c r="FA43" s="188" t="e">
        <f t="shared" si="47"/>
        <v>#DIV/0!</v>
      </c>
      <c r="FB43" s="189"/>
      <c r="FC43" s="131"/>
      <c r="FD43" s="131"/>
      <c r="FE43" s="131"/>
      <c r="FF43" s="131"/>
      <c r="FG43" s="131"/>
    </row>
    <row r="44" spans="2:163" s="169" customFormat="1" ht="18" customHeight="1" outlineLevel="1" thickBot="1" x14ac:dyDescent="0.4">
      <c r="B44" s="356"/>
      <c r="C44" s="353"/>
      <c r="D44" s="133"/>
      <c r="E44" s="134"/>
      <c r="F44" s="135"/>
      <c r="G44" s="136"/>
      <c r="H44" s="137"/>
      <c r="I44" s="138">
        <f t="shared" si="0"/>
        <v>0</v>
      </c>
      <c r="J44" s="139"/>
      <c r="K44" s="140">
        <f t="shared" si="49"/>
        <v>0</v>
      </c>
      <c r="L44" s="141"/>
      <c r="M44" s="142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2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5">
        <f t="shared" si="2"/>
        <v>0</v>
      </c>
      <c r="AO44" s="146"/>
      <c r="AP44" s="147">
        <f t="shared" si="3"/>
        <v>0</v>
      </c>
      <c r="AQ44" s="148"/>
      <c r="AR44" s="149"/>
      <c r="AS44" s="149"/>
      <c r="AT44" s="135"/>
      <c r="AU44" s="150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0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4"/>
      <c r="CD44" s="150"/>
      <c r="CE44" s="142"/>
      <c r="CF44" s="143"/>
      <c r="CG44" s="143"/>
      <c r="CH44" s="143"/>
      <c r="CI44" s="143"/>
      <c r="CJ44" s="143"/>
      <c r="CK44" s="143"/>
      <c r="CL44" s="143"/>
      <c r="CM44" s="143"/>
      <c r="CN44" s="143"/>
      <c r="CO44" s="346"/>
      <c r="CP44" s="151"/>
      <c r="CQ44" s="152"/>
      <c r="CR44" s="154"/>
      <c r="CS44" s="155">
        <f t="shared" si="48"/>
        <v>0</v>
      </c>
      <c r="CT44" s="146"/>
      <c r="CU44" s="147">
        <f t="shared" si="4"/>
        <v>0</v>
      </c>
      <c r="CV44" s="156"/>
      <c r="CW44" s="157" t="e">
        <f t="shared" si="5"/>
        <v>#DIV/0!</v>
      </c>
      <c r="CX44" s="157" t="e">
        <f t="shared" si="6"/>
        <v>#DIV/0!</v>
      </c>
      <c r="CY44" s="157" t="e">
        <f t="shared" si="7"/>
        <v>#DIV/0!</v>
      </c>
      <c r="CZ44" s="157" t="e">
        <f t="shared" si="8"/>
        <v>#DIV/0!</v>
      </c>
      <c r="DA44" s="157" t="e">
        <f t="shared" si="9"/>
        <v>#DIV/0!</v>
      </c>
      <c r="DB44" s="158" t="e">
        <f t="shared" si="10"/>
        <v>#DIV/0!</v>
      </c>
      <c r="DC44" s="131"/>
      <c r="DD44" s="159">
        <f t="shared" si="11"/>
        <v>0</v>
      </c>
      <c r="DE44" s="160">
        <f t="shared" si="12"/>
        <v>0</v>
      </c>
      <c r="DF44" s="161">
        <f t="shared" si="13"/>
        <v>0</v>
      </c>
      <c r="DG44" s="162" t="e">
        <f t="shared" si="14"/>
        <v>#DIV/0!</v>
      </c>
      <c r="DH44" s="163">
        <f t="shared" si="15"/>
        <v>0</v>
      </c>
      <c r="DI44" s="164"/>
      <c r="DJ44" s="165">
        <f t="shared" si="50"/>
        <v>0</v>
      </c>
      <c r="DK44" s="166">
        <f t="shared" si="50"/>
        <v>0</v>
      </c>
      <c r="DL44" s="167" t="e">
        <f t="shared" si="17"/>
        <v>#DIV/0!</v>
      </c>
      <c r="DM44" s="168" t="e">
        <f t="shared" si="18"/>
        <v>#DIV/0!</v>
      </c>
      <c r="DN44" s="163" t="e">
        <f t="shared" si="19"/>
        <v>#DIV/0!</v>
      </c>
      <c r="DP44" s="170"/>
      <c r="DQ44" s="171"/>
      <c r="DR44" s="172">
        <f t="shared" si="20"/>
        <v>0</v>
      </c>
      <c r="DS44" s="173" t="e">
        <f t="shared" si="21"/>
        <v>#DIV/0!</v>
      </c>
      <c r="DT44" s="163" t="e">
        <f t="shared" si="22"/>
        <v>#DIV/0!</v>
      </c>
      <c r="DU44" s="174"/>
      <c r="DV44" s="175" t="e">
        <f t="shared" si="23"/>
        <v>#DIV/0!</v>
      </c>
      <c r="DW44" s="163">
        <f t="shared" si="24"/>
        <v>0</v>
      </c>
      <c r="DX44" s="164"/>
      <c r="DY44" s="176">
        <f t="shared" si="25"/>
        <v>0</v>
      </c>
      <c r="DZ44" s="177">
        <f t="shared" si="26"/>
        <v>0</v>
      </c>
      <c r="EA44" s="178">
        <f t="shared" si="27"/>
        <v>0</v>
      </c>
      <c r="EB44" s="179">
        <f t="shared" si="28"/>
        <v>0</v>
      </c>
      <c r="EC44" s="180"/>
      <c r="ED44" s="175" t="e">
        <f t="shared" si="29"/>
        <v>#DIV/0!</v>
      </c>
      <c r="EE44" s="163">
        <f t="shared" si="30"/>
        <v>0</v>
      </c>
      <c r="EF44" s="164"/>
      <c r="EG44" s="181">
        <f t="shared" si="31"/>
        <v>0</v>
      </c>
      <c r="EH44" s="182">
        <f t="shared" si="32"/>
        <v>0</v>
      </c>
      <c r="EI44" s="182">
        <f t="shared" si="33"/>
        <v>0</v>
      </c>
      <c r="EJ44" s="182">
        <f t="shared" si="34"/>
        <v>0</v>
      </c>
      <c r="EK44" s="183">
        <f t="shared" si="35"/>
        <v>0</v>
      </c>
      <c r="EL44" s="184" t="e">
        <f t="shared" si="36"/>
        <v>#DIV/0!</v>
      </c>
      <c r="EM44" s="185">
        <f t="shared" si="37"/>
        <v>0</v>
      </c>
      <c r="EN44" s="164"/>
      <c r="EO44" s="181">
        <f t="shared" si="38"/>
        <v>0</v>
      </c>
      <c r="EP44" s="183">
        <f t="shared" si="39"/>
        <v>0</v>
      </c>
      <c r="EQ44" s="184" t="e">
        <f t="shared" si="40"/>
        <v>#DIV/0!</v>
      </c>
      <c r="ER44" s="185">
        <f t="shared" si="41"/>
        <v>0</v>
      </c>
      <c r="ES44" s="164"/>
      <c r="ET44" s="164"/>
      <c r="EU44" s="186">
        <f t="shared" si="42"/>
        <v>0</v>
      </c>
      <c r="EV44" s="186">
        <f t="shared" si="43"/>
        <v>0</v>
      </c>
      <c r="EW44" s="186">
        <f t="shared" si="44"/>
        <v>0</v>
      </c>
      <c r="EX44" s="186">
        <f t="shared" si="45"/>
        <v>0</v>
      </c>
      <c r="EY44" s="131"/>
      <c r="EZ44" s="187">
        <f t="shared" si="46"/>
        <v>0</v>
      </c>
      <c r="FA44" s="188" t="e">
        <f t="shared" si="47"/>
        <v>#DIV/0!</v>
      </c>
      <c r="FB44" s="189"/>
      <c r="FC44" s="131"/>
      <c r="FD44" s="131"/>
      <c r="FE44" s="131"/>
      <c r="FF44" s="131"/>
      <c r="FG44" s="131"/>
    </row>
    <row r="45" spans="2:163" s="169" customFormat="1" ht="16" outlineLevel="1" thickBot="1" x14ac:dyDescent="0.4">
      <c r="B45" s="357"/>
      <c r="C45" s="354"/>
      <c r="D45" s="190"/>
      <c r="E45" s="191"/>
      <c r="F45" s="135"/>
      <c r="G45" s="192"/>
      <c r="H45" s="137"/>
      <c r="I45" s="138">
        <f t="shared" si="0"/>
        <v>0</v>
      </c>
      <c r="J45" s="139"/>
      <c r="K45" s="193">
        <f t="shared" si="49"/>
        <v>0</v>
      </c>
      <c r="L45" s="141"/>
      <c r="M45" s="194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4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6"/>
      <c r="AN45" s="197">
        <f t="shared" si="2"/>
        <v>0</v>
      </c>
      <c r="AO45" s="146"/>
      <c r="AP45" s="147">
        <f t="shared" si="3"/>
        <v>0</v>
      </c>
      <c r="AQ45" s="148"/>
      <c r="AR45" s="198"/>
      <c r="AS45" s="198"/>
      <c r="AT45" s="135"/>
      <c r="AU45" s="199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1"/>
      <c r="BG45" s="201"/>
      <c r="BH45" s="201"/>
      <c r="BI45" s="201"/>
      <c r="BJ45" s="201"/>
      <c r="BK45" s="201"/>
      <c r="BL45" s="201"/>
      <c r="BM45" s="201"/>
      <c r="BN45" s="201"/>
      <c r="BO45" s="201"/>
      <c r="BP45" s="201"/>
      <c r="BQ45" s="201"/>
      <c r="BR45" s="199"/>
      <c r="BS45" s="200"/>
      <c r="BT45" s="200"/>
      <c r="BU45" s="200"/>
      <c r="BV45" s="200"/>
      <c r="BW45" s="200"/>
      <c r="BX45" s="200"/>
      <c r="BY45" s="200"/>
      <c r="BZ45" s="200"/>
      <c r="CA45" s="200"/>
      <c r="CB45" s="200"/>
      <c r="CC45" s="202"/>
      <c r="CD45" s="199"/>
      <c r="CE45" s="194"/>
      <c r="CF45" s="195"/>
      <c r="CG45" s="195"/>
      <c r="CH45" s="195"/>
      <c r="CI45" s="195"/>
      <c r="CJ45" s="195"/>
      <c r="CK45" s="195"/>
      <c r="CL45" s="195"/>
      <c r="CM45" s="195"/>
      <c r="CN45" s="195"/>
      <c r="CO45" s="347"/>
      <c r="CP45" s="200"/>
      <c r="CQ45" s="201"/>
      <c r="CR45" s="202"/>
      <c r="CS45" s="203">
        <f t="shared" si="48"/>
        <v>0</v>
      </c>
      <c r="CT45" s="146"/>
      <c r="CU45" s="147">
        <f t="shared" si="4"/>
        <v>0</v>
      </c>
      <c r="CV45" s="156"/>
      <c r="CW45" s="157" t="e">
        <f t="shared" si="5"/>
        <v>#DIV/0!</v>
      </c>
      <c r="CX45" s="157" t="e">
        <f t="shared" si="6"/>
        <v>#DIV/0!</v>
      </c>
      <c r="CY45" s="157" t="e">
        <f t="shared" si="7"/>
        <v>#DIV/0!</v>
      </c>
      <c r="CZ45" s="157" t="e">
        <f t="shared" si="8"/>
        <v>#DIV/0!</v>
      </c>
      <c r="DA45" s="157" t="e">
        <f t="shared" si="9"/>
        <v>#DIV/0!</v>
      </c>
      <c r="DB45" s="158" t="e">
        <f t="shared" si="10"/>
        <v>#DIV/0!</v>
      </c>
      <c r="DC45" s="131"/>
      <c r="DD45" s="159">
        <f t="shared" si="11"/>
        <v>0</v>
      </c>
      <c r="DE45" s="160">
        <f t="shared" si="12"/>
        <v>0</v>
      </c>
      <c r="DF45" s="161">
        <f t="shared" si="13"/>
        <v>0</v>
      </c>
      <c r="DG45" s="162" t="e">
        <f t="shared" si="14"/>
        <v>#DIV/0!</v>
      </c>
      <c r="DH45" s="163">
        <f t="shared" si="15"/>
        <v>0</v>
      </c>
      <c r="DI45" s="164"/>
      <c r="DJ45" s="165">
        <f t="shared" si="50"/>
        <v>0</v>
      </c>
      <c r="DK45" s="166">
        <f t="shared" si="50"/>
        <v>0</v>
      </c>
      <c r="DL45" s="167" t="e">
        <f t="shared" si="17"/>
        <v>#DIV/0!</v>
      </c>
      <c r="DM45" s="168" t="e">
        <f t="shared" si="18"/>
        <v>#DIV/0!</v>
      </c>
      <c r="DN45" s="163" t="e">
        <f t="shared" si="19"/>
        <v>#DIV/0!</v>
      </c>
      <c r="DP45" s="170"/>
      <c r="DQ45" s="171"/>
      <c r="DR45" s="172">
        <f t="shared" si="20"/>
        <v>0</v>
      </c>
      <c r="DS45" s="173" t="e">
        <f t="shared" si="21"/>
        <v>#DIV/0!</v>
      </c>
      <c r="DT45" s="163" t="e">
        <f t="shared" si="22"/>
        <v>#DIV/0!</v>
      </c>
      <c r="DU45" s="174"/>
      <c r="DV45" s="175" t="e">
        <f t="shared" si="23"/>
        <v>#DIV/0!</v>
      </c>
      <c r="DW45" s="163">
        <f t="shared" si="24"/>
        <v>0</v>
      </c>
      <c r="DX45" s="164"/>
      <c r="DY45" s="176">
        <f t="shared" si="25"/>
        <v>0</v>
      </c>
      <c r="DZ45" s="177">
        <f t="shared" si="26"/>
        <v>0</v>
      </c>
      <c r="EA45" s="178">
        <f t="shared" si="27"/>
        <v>0</v>
      </c>
      <c r="EB45" s="179">
        <f t="shared" si="28"/>
        <v>0</v>
      </c>
      <c r="EC45" s="180"/>
      <c r="ED45" s="175" t="e">
        <f t="shared" si="29"/>
        <v>#DIV/0!</v>
      </c>
      <c r="EE45" s="163">
        <f t="shared" si="30"/>
        <v>0</v>
      </c>
      <c r="EF45" s="164"/>
      <c r="EG45" s="181">
        <f t="shared" si="31"/>
        <v>0</v>
      </c>
      <c r="EH45" s="182">
        <f t="shared" si="32"/>
        <v>0</v>
      </c>
      <c r="EI45" s="182">
        <f t="shared" si="33"/>
        <v>0</v>
      </c>
      <c r="EJ45" s="182">
        <f t="shared" si="34"/>
        <v>0</v>
      </c>
      <c r="EK45" s="183">
        <f t="shared" si="35"/>
        <v>0</v>
      </c>
      <c r="EL45" s="184" t="e">
        <f t="shared" si="36"/>
        <v>#DIV/0!</v>
      </c>
      <c r="EM45" s="185">
        <f t="shared" si="37"/>
        <v>0</v>
      </c>
      <c r="EN45" s="164"/>
      <c r="EO45" s="181">
        <f t="shared" si="38"/>
        <v>0</v>
      </c>
      <c r="EP45" s="183">
        <f t="shared" si="39"/>
        <v>0</v>
      </c>
      <c r="EQ45" s="184" t="e">
        <f t="shared" si="40"/>
        <v>#DIV/0!</v>
      </c>
      <c r="ER45" s="185">
        <f t="shared" si="41"/>
        <v>0</v>
      </c>
      <c r="ES45" s="164"/>
      <c r="ET45" s="164"/>
      <c r="EU45" s="186">
        <f t="shared" si="42"/>
        <v>0</v>
      </c>
      <c r="EV45" s="186">
        <f t="shared" si="43"/>
        <v>0</v>
      </c>
      <c r="EW45" s="186">
        <f t="shared" si="44"/>
        <v>0</v>
      </c>
      <c r="EX45" s="186">
        <f t="shared" si="45"/>
        <v>0</v>
      </c>
      <c r="EY45" s="131"/>
      <c r="EZ45" s="187">
        <f t="shared" si="46"/>
        <v>0</v>
      </c>
      <c r="FA45" s="188" t="e">
        <f t="shared" si="47"/>
        <v>#DIV/0!</v>
      </c>
      <c r="FB45" s="189"/>
      <c r="FC45" s="131"/>
      <c r="FD45" s="131"/>
      <c r="FE45" s="131"/>
      <c r="FF45" s="131"/>
      <c r="FG45" s="131"/>
    </row>
    <row r="46" spans="2:163" s="169" customFormat="1" ht="16" outlineLevel="1" thickBot="1" x14ac:dyDescent="0.4">
      <c r="B46" s="358"/>
      <c r="C46" s="355"/>
      <c r="D46" s="204"/>
      <c r="E46" s="205"/>
      <c r="F46" s="135"/>
      <c r="G46" s="206"/>
      <c r="H46" s="207"/>
      <c r="I46" s="138">
        <f t="shared" si="0"/>
        <v>0</v>
      </c>
      <c r="J46" s="139"/>
      <c r="K46" s="208">
        <f t="shared" si="49"/>
        <v>0</v>
      </c>
      <c r="L46" s="141"/>
      <c r="M46" s="209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09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1"/>
      <c r="AN46" s="212">
        <f t="shared" si="2"/>
        <v>0</v>
      </c>
      <c r="AO46" s="146"/>
      <c r="AP46" s="147">
        <f t="shared" si="3"/>
        <v>0</v>
      </c>
      <c r="AQ46" s="148"/>
      <c r="AR46" s="213"/>
      <c r="AS46" s="213"/>
      <c r="AT46" s="135"/>
      <c r="AU46" s="214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6"/>
      <c r="BG46" s="216"/>
      <c r="BH46" s="216"/>
      <c r="BI46" s="216"/>
      <c r="BJ46" s="216"/>
      <c r="BK46" s="216"/>
      <c r="BL46" s="216"/>
      <c r="BM46" s="216"/>
      <c r="BN46" s="216"/>
      <c r="BO46" s="216"/>
      <c r="BP46" s="216"/>
      <c r="BQ46" s="216"/>
      <c r="BR46" s="214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7"/>
      <c r="CD46" s="214"/>
      <c r="CE46" s="209"/>
      <c r="CF46" s="210"/>
      <c r="CG46" s="210"/>
      <c r="CH46" s="210"/>
      <c r="CI46" s="210"/>
      <c r="CJ46" s="210"/>
      <c r="CK46" s="210"/>
      <c r="CL46" s="210"/>
      <c r="CM46" s="210"/>
      <c r="CN46" s="210"/>
      <c r="CO46" s="348"/>
      <c r="CP46" s="215"/>
      <c r="CQ46" s="216"/>
      <c r="CR46" s="217"/>
      <c r="CS46" s="218">
        <f t="shared" si="48"/>
        <v>0</v>
      </c>
      <c r="CT46" s="146"/>
      <c r="CU46" s="147">
        <f t="shared" si="4"/>
        <v>0</v>
      </c>
      <c r="CV46" s="156"/>
      <c r="CW46" s="157" t="e">
        <f t="shared" si="5"/>
        <v>#DIV/0!</v>
      </c>
      <c r="CX46" s="157" t="e">
        <f t="shared" si="6"/>
        <v>#DIV/0!</v>
      </c>
      <c r="CY46" s="157" t="e">
        <f t="shared" si="7"/>
        <v>#DIV/0!</v>
      </c>
      <c r="CZ46" s="157" t="e">
        <f t="shared" si="8"/>
        <v>#DIV/0!</v>
      </c>
      <c r="DA46" s="157" t="e">
        <f t="shared" si="9"/>
        <v>#DIV/0!</v>
      </c>
      <c r="DB46" s="158" t="e">
        <f t="shared" si="10"/>
        <v>#DIV/0!</v>
      </c>
      <c r="DC46" s="131"/>
      <c r="DD46" s="159">
        <f t="shared" si="11"/>
        <v>0</v>
      </c>
      <c r="DE46" s="160">
        <f t="shared" si="12"/>
        <v>0</v>
      </c>
      <c r="DF46" s="161">
        <f t="shared" si="13"/>
        <v>0</v>
      </c>
      <c r="DG46" s="162" t="e">
        <f t="shared" si="14"/>
        <v>#DIV/0!</v>
      </c>
      <c r="DH46" s="163">
        <f t="shared" si="15"/>
        <v>0</v>
      </c>
      <c r="DI46" s="164"/>
      <c r="DJ46" s="165">
        <f t="shared" si="50"/>
        <v>0</v>
      </c>
      <c r="DK46" s="166">
        <f t="shared" si="50"/>
        <v>0</v>
      </c>
      <c r="DL46" s="167" t="e">
        <f t="shared" si="17"/>
        <v>#DIV/0!</v>
      </c>
      <c r="DM46" s="168" t="e">
        <f t="shared" si="18"/>
        <v>#DIV/0!</v>
      </c>
      <c r="DN46" s="163" t="e">
        <f t="shared" si="19"/>
        <v>#DIV/0!</v>
      </c>
      <c r="DP46" s="170"/>
      <c r="DQ46" s="171"/>
      <c r="DR46" s="172">
        <f t="shared" si="20"/>
        <v>0</v>
      </c>
      <c r="DS46" s="173" t="e">
        <f t="shared" si="21"/>
        <v>#DIV/0!</v>
      </c>
      <c r="DT46" s="163" t="e">
        <f t="shared" si="22"/>
        <v>#DIV/0!</v>
      </c>
      <c r="DU46" s="174"/>
      <c r="DV46" s="175" t="e">
        <f t="shared" si="23"/>
        <v>#DIV/0!</v>
      </c>
      <c r="DW46" s="163">
        <f t="shared" si="24"/>
        <v>0</v>
      </c>
      <c r="DX46" s="164"/>
      <c r="DY46" s="176">
        <f t="shared" si="25"/>
        <v>0</v>
      </c>
      <c r="DZ46" s="177">
        <f t="shared" si="26"/>
        <v>0</v>
      </c>
      <c r="EA46" s="178">
        <f t="shared" si="27"/>
        <v>0</v>
      </c>
      <c r="EB46" s="179">
        <f t="shared" si="28"/>
        <v>0</v>
      </c>
      <c r="EC46" s="180"/>
      <c r="ED46" s="175" t="e">
        <f t="shared" si="29"/>
        <v>#DIV/0!</v>
      </c>
      <c r="EE46" s="163">
        <f t="shared" si="30"/>
        <v>0</v>
      </c>
      <c r="EF46" s="164"/>
      <c r="EG46" s="181">
        <f t="shared" si="31"/>
        <v>0</v>
      </c>
      <c r="EH46" s="182">
        <f t="shared" si="32"/>
        <v>0</v>
      </c>
      <c r="EI46" s="182">
        <f t="shared" si="33"/>
        <v>0</v>
      </c>
      <c r="EJ46" s="182">
        <f t="shared" si="34"/>
        <v>0</v>
      </c>
      <c r="EK46" s="183">
        <f t="shared" si="35"/>
        <v>0</v>
      </c>
      <c r="EL46" s="184" t="e">
        <f t="shared" si="36"/>
        <v>#DIV/0!</v>
      </c>
      <c r="EM46" s="185">
        <f t="shared" si="37"/>
        <v>0</v>
      </c>
      <c r="EN46" s="164"/>
      <c r="EO46" s="181">
        <f t="shared" si="38"/>
        <v>0</v>
      </c>
      <c r="EP46" s="183">
        <f t="shared" si="39"/>
        <v>0</v>
      </c>
      <c r="EQ46" s="184" t="e">
        <f t="shared" si="40"/>
        <v>#DIV/0!</v>
      </c>
      <c r="ER46" s="185">
        <f t="shared" si="41"/>
        <v>0</v>
      </c>
      <c r="ES46" s="164"/>
      <c r="ET46" s="164"/>
      <c r="EU46" s="186">
        <f t="shared" si="42"/>
        <v>0</v>
      </c>
      <c r="EV46" s="186">
        <f t="shared" si="43"/>
        <v>0</v>
      </c>
      <c r="EW46" s="186">
        <f t="shared" si="44"/>
        <v>0</v>
      </c>
      <c r="EX46" s="186">
        <f t="shared" si="45"/>
        <v>0</v>
      </c>
      <c r="EY46" s="131"/>
      <c r="EZ46" s="187">
        <f t="shared" si="46"/>
        <v>0</v>
      </c>
      <c r="FA46" s="188" t="e">
        <f t="shared" si="47"/>
        <v>#DIV/0!</v>
      </c>
      <c r="FB46" s="189"/>
      <c r="FC46" s="131"/>
      <c r="FD46" s="131"/>
      <c r="FE46" s="131"/>
      <c r="FF46" s="131"/>
      <c r="FG46" s="131"/>
    </row>
    <row r="47" spans="2:163" ht="16" outlineLevel="1" thickBot="1" x14ac:dyDescent="0.4">
      <c r="B47" s="356"/>
      <c r="C47" s="353"/>
      <c r="D47" s="133"/>
      <c r="E47" s="134"/>
      <c r="F47" s="135"/>
      <c r="G47" s="136"/>
      <c r="H47" s="137"/>
      <c r="I47" s="138">
        <f>IF(E47&gt;0.0001,11,0)</f>
        <v>0</v>
      </c>
      <c r="J47" s="139"/>
      <c r="K47" s="140">
        <f t="shared" si="49"/>
        <v>0</v>
      </c>
      <c r="L47" s="141"/>
      <c r="M47" s="142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2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4"/>
      <c r="AN47" s="145">
        <f t="shared" si="2"/>
        <v>0</v>
      </c>
      <c r="AO47" s="146"/>
      <c r="AP47" s="147">
        <f t="shared" si="3"/>
        <v>0</v>
      </c>
      <c r="AQ47" s="148"/>
      <c r="AR47" s="149"/>
      <c r="AS47" s="149"/>
      <c r="AT47" s="135"/>
      <c r="AU47" s="150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0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4"/>
      <c r="CD47" s="150"/>
      <c r="CE47" s="142"/>
      <c r="CF47" s="143"/>
      <c r="CG47" s="143"/>
      <c r="CH47" s="143"/>
      <c r="CI47" s="143"/>
      <c r="CJ47" s="143"/>
      <c r="CK47" s="143"/>
      <c r="CL47" s="143"/>
      <c r="CM47" s="143"/>
      <c r="CN47" s="143"/>
      <c r="CO47" s="346"/>
      <c r="CP47" s="151"/>
      <c r="CQ47" s="152"/>
      <c r="CR47" s="154"/>
      <c r="CS47" s="155">
        <f t="shared" si="48"/>
        <v>0</v>
      </c>
      <c r="CT47" s="146"/>
      <c r="CU47" s="147">
        <f t="shared" si="4"/>
        <v>0</v>
      </c>
      <c r="CV47" s="156"/>
      <c r="CW47" s="157" t="e">
        <f t="shared" si="5"/>
        <v>#DIV/0!</v>
      </c>
      <c r="CX47" s="157" t="e">
        <f t="shared" si="6"/>
        <v>#DIV/0!</v>
      </c>
      <c r="CY47" s="157" t="e">
        <f t="shared" si="7"/>
        <v>#DIV/0!</v>
      </c>
      <c r="CZ47" s="157" t="e">
        <f t="shared" si="8"/>
        <v>#DIV/0!</v>
      </c>
      <c r="DA47" s="157" t="e">
        <f t="shared" si="9"/>
        <v>#DIV/0!</v>
      </c>
      <c r="DB47" s="158" t="e">
        <f t="shared" si="10"/>
        <v>#DIV/0!</v>
      </c>
      <c r="DC47" s="131"/>
      <c r="DD47" s="159">
        <f t="shared" si="11"/>
        <v>0</v>
      </c>
      <c r="DE47" s="160">
        <f t="shared" si="12"/>
        <v>0</v>
      </c>
      <c r="DF47" s="161">
        <f t="shared" si="13"/>
        <v>0</v>
      </c>
      <c r="DG47" s="162" t="e">
        <f t="shared" si="14"/>
        <v>#DIV/0!</v>
      </c>
      <c r="DH47" s="163">
        <f t="shared" si="15"/>
        <v>0</v>
      </c>
      <c r="DI47" s="164"/>
      <c r="DJ47" s="165">
        <f t="shared" si="50"/>
        <v>0</v>
      </c>
      <c r="DK47" s="166">
        <f t="shared" si="50"/>
        <v>0</v>
      </c>
      <c r="DL47" s="167" t="e">
        <f t="shared" si="17"/>
        <v>#DIV/0!</v>
      </c>
      <c r="DM47" s="168" t="e">
        <f t="shared" si="18"/>
        <v>#DIV/0!</v>
      </c>
      <c r="DN47" s="163" t="e">
        <f t="shared" si="19"/>
        <v>#DIV/0!</v>
      </c>
      <c r="DO47" s="169"/>
      <c r="DP47" s="170"/>
      <c r="DQ47" s="171"/>
      <c r="DR47" s="172">
        <f t="shared" si="20"/>
        <v>0</v>
      </c>
      <c r="DS47" s="173" t="e">
        <f t="shared" si="21"/>
        <v>#DIV/0!</v>
      </c>
      <c r="DT47" s="163" t="e">
        <f t="shared" si="22"/>
        <v>#DIV/0!</v>
      </c>
      <c r="DU47" s="174"/>
      <c r="DV47" s="175" t="e">
        <f t="shared" si="23"/>
        <v>#DIV/0!</v>
      </c>
      <c r="DW47" s="163">
        <f t="shared" si="24"/>
        <v>0</v>
      </c>
      <c r="DX47" s="164"/>
      <c r="DY47" s="176">
        <f t="shared" si="25"/>
        <v>0</v>
      </c>
      <c r="DZ47" s="177">
        <f t="shared" si="26"/>
        <v>0</v>
      </c>
      <c r="EA47" s="178">
        <f t="shared" si="27"/>
        <v>0</v>
      </c>
      <c r="EB47" s="179">
        <f t="shared" si="28"/>
        <v>0</v>
      </c>
      <c r="EC47" s="180"/>
      <c r="ED47" s="175" t="e">
        <f t="shared" si="29"/>
        <v>#DIV/0!</v>
      </c>
      <c r="EE47" s="163">
        <f t="shared" si="30"/>
        <v>0</v>
      </c>
      <c r="EF47" s="164"/>
      <c r="EG47" s="181">
        <f t="shared" si="31"/>
        <v>0</v>
      </c>
      <c r="EH47" s="182">
        <f t="shared" si="32"/>
        <v>0</v>
      </c>
      <c r="EI47" s="182">
        <f t="shared" si="33"/>
        <v>0</v>
      </c>
      <c r="EJ47" s="182">
        <f t="shared" si="34"/>
        <v>0</v>
      </c>
      <c r="EK47" s="183">
        <f t="shared" si="35"/>
        <v>0</v>
      </c>
      <c r="EL47" s="184" t="e">
        <f t="shared" si="36"/>
        <v>#DIV/0!</v>
      </c>
      <c r="EM47" s="185">
        <f t="shared" si="37"/>
        <v>0</v>
      </c>
      <c r="EN47" s="164"/>
      <c r="EO47" s="181">
        <f t="shared" si="38"/>
        <v>0</v>
      </c>
      <c r="EP47" s="183">
        <f t="shared" si="39"/>
        <v>0</v>
      </c>
      <c r="EQ47" s="184" t="e">
        <f t="shared" si="40"/>
        <v>#DIV/0!</v>
      </c>
      <c r="ER47" s="185">
        <f t="shared" si="41"/>
        <v>0</v>
      </c>
      <c r="ES47" s="164"/>
      <c r="ET47" s="164"/>
      <c r="EU47" s="186">
        <f t="shared" si="42"/>
        <v>0</v>
      </c>
      <c r="EV47" s="186">
        <f t="shared" si="43"/>
        <v>0</v>
      </c>
      <c r="EW47" s="186">
        <f t="shared" si="44"/>
        <v>0</v>
      </c>
      <c r="EX47" s="186">
        <f t="shared" si="45"/>
        <v>0</v>
      </c>
      <c r="EY47" s="131"/>
      <c r="EZ47" s="187">
        <f t="shared" si="46"/>
        <v>0</v>
      </c>
      <c r="FA47" s="188" t="e">
        <f t="shared" si="47"/>
        <v>#DIV/0!</v>
      </c>
      <c r="FB47" s="189"/>
      <c r="FC47" s="131"/>
      <c r="FD47" s="131"/>
      <c r="FE47" s="131"/>
      <c r="FF47" s="131"/>
      <c r="FG47" s="131"/>
    </row>
    <row r="48" spans="2:163" ht="16" outlineLevel="1" thickBot="1" x14ac:dyDescent="0.4">
      <c r="B48" s="357"/>
      <c r="C48" s="354"/>
      <c r="D48" s="190"/>
      <c r="E48" s="191"/>
      <c r="F48" s="135"/>
      <c r="G48" s="192"/>
      <c r="H48" s="137"/>
      <c r="I48" s="138">
        <f t="shared" si="0"/>
        <v>0</v>
      </c>
      <c r="J48" s="139"/>
      <c r="K48" s="193">
        <f t="shared" si="49"/>
        <v>0</v>
      </c>
      <c r="L48" s="141"/>
      <c r="M48" s="194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4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6"/>
      <c r="AN48" s="197">
        <f t="shared" si="2"/>
        <v>0</v>
      </c>
      <c r="AO48" s="146"/>
      <c r="AP48" s="147">
        <f t="shared" si="3"/>
        <v>0</v>
      </c>
      <c r="AQ48" s="148"/>
      <c r="AR48" s="198"/>
      <c r="AS48" s="198"/>
      <c r="AT48" s="135"/>
      <c r="AU48" s="199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199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2"/>
      <c r="CD48" s="199"/>
      <c r="CE48" s="194"/>
      <c r="CF48" s="195"/>
      <c r="CG48" s="195"/>
      <c r="CH48" s="195"/>
      <c r="CI48" s="195"/>
      <c r="CJ48" s="195"/>
      <c r="CK48" s="195"/>
      <c r="CL48" s="195"/>
      <c r="CM48" s="195"/>
      <c r="CN48" s="195"/>
      <c r="CO48" s="347"/>
      <c r="CP48" s="200"/>
      <c r="CQ48" s="201"/>
      <c r="CR48" s="202"/>
      <c r="CS48" s="203">
        <f t="shared" si="48"/>
        <v>0</v>
      </c>
      <c r="CT48" s="146"/>
      <c r="CU48" s="147">
        <f t="shared" si="4"/>
        <v>0</v>
      </c>
      <c r="CV48" s="156"/>
      <c r="CW48" s="157" t="e">
        <f t="shared" si="5"/>
        <v>#DIV/0!</v>
      </c>
      <c r="CX48" s="157" t="e">
        <f t="shared" si="6"/>
        <v>#DIV/0!</v>
      </c>
      <c r="CY48" s="157" t="e">
        <f t="shared" si="7"/>
        <v>#DIV/0!</v>
      </c>
      <c r="CZ48" s="157" t="e">
        <f t="shared" si="8"/>
        <v>#DIV/0!</v>
      </c>
      <c r="DA48" s="157" t="e">
        <f t="shared" si="9"/>
        <v>#DIV/0!</v>
      </c>
      <c r="DB48" s="158" t="e">
        <f t="shared" si="10"/>
        <v>#DIV/0!</v>
      </c>
      <c r="DC48" s="131"/>
      <c r="DD48" s="159">
        <f t="shared" si="11"/>
        <v>0</v>
      </c>
      <c r="DE48" s="160">
        <f t="shared" si="12"/>
        <v>0</v>
      </c>
      <c r="DF48" s="161">
        <f t="shared" si="13"/>
        <v>0</v>
      </c>
      <c r="DG48" s="162" t="e">
        <f t="shared" si="14"/>
        <v>#DIV/0!</v>
      </c>
      <c r="DH48" s="163">
        <f t="shared" si="15"/>
        <v>0</v>
      </c>
      <c r="DI48" s="164"/>
      <c r="DJ48" s="165">
        <f t="shared" si="50"/>
        <v>0</v>
      </c>
      <c r="DK48" s="166">
        <f t="shared" si="50"/>
        <v>0</v>
      </c>
      <c r="DL48" s="167" t="e">
        <f t="shared" si="17"/>
        <v>#DIV/0!</v>
      </c>
      <c r="DM48" s="168" t="e">
        <f t="shared" si="18"/>
        <v>#DIV/0!</v>
      </c>
      <c r="DN48" s="163" t="e">
        <f t="shared" si="19"/>
        <v>#DIV/0!</v>
      </c>
      <c r="DO48" s="169"/>
      <c r="DP48" s="170"/>
      <c r="DQ48" s="171"/>
      <c r="DR48" s="172">
        <f t="shared" si="20"/>
        <v>0</v>
      </c>
      <c r="DS48" s="173" t="e">
        <f t="shared" si="21"/>
        <v>#DIV/0!</v>
      </c>
      <c r="DT48" s="163" t="e">
        <f t="shared" si="22"/>
        <v>#DIV/0!</v>
      </c>
      <c r="DU48" s="174"/>
      <c r="DV48" s="175" t="e">
        <f t="shared" si="23"/>
        <v>#DIV/0!</v>
      </c>
      <c r="DW48" s="163">
        <f t="shared" si="24"/>
        <v>0</v>
      </c>
      <c r="DX48" s="164"/>
      <c r="DY48" s="176">
        <f t="shared" si="25"/>
        <v>0</v>
      </c>
      <c r="DZ48" s="177">
        <f t="shared" si="26"/>
        <v>0</v>
      </c>
      <c r="EA48" s="178">
        <f t="shared" si="27"/>
        <v>0</v>
      </c>
      <c r="EB48" s="179">
        <f t="shared" si="28"/>
        <v>0</v>
      </c>
      <c r="EC48" s="180"/>
      <c r="ED48" s="175" t="e">
        <f t="shared" si="29"/>
        <v>#DIV/0!</v>
      </c>
      <c r="EE48" s="163">
        <f t="shared" si="30"/>
        <v>0</v>
      </c>
      <c r="EF48" s="164"/>
      <c r="EG48" s="181">
        <f t="shared" si="31"/>
        <v>0</v>
      </c>
      <c r="EH48" s="182">
        <f t="shared" si="32"/>
        <v>0</v>
      </c>
      <c r="EI48" s="182">
        <f t="shared" si="33"/>
        <v>0</v>
      </c>
      <c r="EJ48" s="182">
        <f t="shared" si="34"/>
        <v>0</v>
      </c>
      <c r="EK48" s="183">
        <f t="shared" si="35"/>
        <v>0</v>
      </c>
      <c r="EL48" s="184" t="e">
        <f t="shared" si="36"/>
        <v>#DIV/0!</v>
      </c>
      <c r="EM48" s="185">
        <f t="shared" si="37"/>
        <v>0</v>
      </c>
      <c r="EN48" s="164"/>
      <c r="EO48" s="181">
        <f t="shared" si="38"/>
        <v>0</v>
      </c>
      <c r="EP48" s="183">
        <f t="shared" si="39"/>
        <v>0</v>
      </c>
      <c r="EQ48" s="184" t="e">
        <f t="shared" si="40"/>
        <v>#DIV/0!</v>
      </c>
      <c r="ER48" s="185">
        <f t="shared" si="41"/>
        <v>0</v>
      </c>
      <c r="ES48" s="164"/>
      <c r="ET48" s="164"/>
      <c r="EU48" s="186">
        <f t="shared" si="42"/>
        <v>0</v>
      </c>
      <c r="EV48" s="186">
        <f t="shared" si="43"/>
        <v>0</v>
      </c>
      <c r="EW48" s="186">
        <f t="shared" si="44"/>
        <v>0</v>
      </c>
      <c r="EX48" s="186">
        <f t="shared" si="45"/>
        <v>0</v>
      </c>
      <c r="EY48" s="131"/>
      <c r="EZ48" s="187">
        <f t="shared" si="46"/>
        <v>0</v>
      </c>
      <c r="FA48" s="188" t="e">
        <f t="shared" si="47"/>
        <v>#DIV/0!</v>
      </c>
      <c r="FB48" s="189"/>
      <c r="FC48" s="131"/>
      <c r="FD48" s="131"/>
      <c r="FE48" s="131"/>
      <c r="FF48" s="131"/>
      <c r="FG48" s="131"/>
    </row>
    <row r="49" spans="2:163" ht="16" outlineLevel="1" thickBot="1" x14ac:dyDescent="0.4">
      <c r="B49" s="358"/>
      <c r="C49" s="355"/>
      <c r="D49" s="238"/>
      <c r="E49" s="239"/>
      <c r="F49" s="135"/>
      <c r="G49" s="192"/>
      <c r="H49" s="207"/>
      <c r="I49" s="138">
        <f t="shared" si="0"/>
        <v>0</v>
      </c>
      <c r="J49" s="139"/>
      <c r="K49" s="208">
        <f t="shared" si="49"/>
        <v>0</v>
      </c>
      <c r="L49" s="141"/>
      <c r="M49" s="209"/>
      <c r="N49" s="210"/>
      <c r="O49" s="210"/>
      <c r="P49" s="210"/>
      <c r="Q49" s="195"/>
      <c r="R49" s="210"/>
      <c r="S49" s="210"/>
      <c r="T49" s="210"/>
      <c r="U49" s="210"/>
      <c r="V49" s="210"/>
      <c r="W49" s="210"/>
      <c r="X49" s="210"/>
      <c r="Y49" s="210"/>
      <c r="Z49" s="210"/>
      <c r="AA49" s="209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1"/>
      <c r="AN49" s="212">
        <f t="shared" si="2"/>
        <v>0</v>
      </c>
      <c r="AO49" s="146"/>
      <c r="AP49" s="147">
        <f t="shared" si="3"/>
        <v>0</v>
      </c>
      <c r="AQ49" s="148"/>
      <c r="AR49" s="213"/>
      <c r="AS49" s="213"/>
      <c r="AT49" s="135"/>
      <c r="AU49" s="214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4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7"/>
      <c r="CD49" s="214"/>
      <c r="CE49" s="209"/>
      <c r="CF49" s="210"/>
      <c r="CG49" s="210"/>
      <c r="CH49" s="210"/>
      <c r="CI49" s="210"/>
      <c r="CJ49" s="210"/>
      <c r="CK49" s="210"/>
      <c r="CL49" s="210"/>
      <c r="CM49" s="210"/>
      <c r="CN49" s="210"/>
      <c r="CO49" s="348"/>
      <c r="CP49" s="215"/>
      <c r="CQ49" s="216"/>
      <c r="CR49" s="217"/>
      <c r="CS49" s="218">
        <f t="shared" si="48"/>
        <v>0</v>
      </c>
      <c r="CT49" s="146"/>
      <c r="CU49" s="147">
        <f t="shared" si="4"/>
        <v>0</v>
      </c>
      <c r="CV49" s="156"/>
      <c r="CW49" s="157" t="e">
        <f t="shared" si="5"/>
        <v>#DIV/0!</v>
      </c>
      <c r="CX49" s="157" t="e">
        <f t="shared" si="6"/>
        <v>#DIV/0!</v>
      </c>
      <c r="CY49" s="157" t="e">
        <f t="shared" si="7"/>
        <v>#DIV/0!</v>
      </c>
      <c r="CZ49" s="157" t="e">
        <f t="shared" si="8"/>
        <v>#DIV/0!</v>
      </c>
      <c r="DA49" s="157" t="e">
        <f t="shared" si="9"/>
        <v>#DIV/0!</v>
      </c>
      <c r="DB49" s="158" t="e">
        <f t="shared" si="10"/>
        <v>#DIV/0!</v>
      </c>
      <c r="DC49" s="131"/>
      <c r="DD49" s="159">
        <f t="shared" si="11"/>
        <v>0</v>
      </c>
      <c r="DE49" s="160">
        <f t="shared" si="12"/>
        <v>0</v>
      </c>
      <c r="DF49" s="161">
        <f t="shared" si="13"/>
        <v>0</v>
      </c>
      <c r="DG49" s="162" t="e">
        <f t="shared" si="14"/>
        <v>#DIV/0!</v>
      </c>
      <c r="DH49" s="163">
        <f t="shared" si="15"/>
        <v>0</v>
      </c>
      <c r="DI49" s="164"/>
      <c r="DJ49" s="165">
        <f t="shared" si="50"/>
        <v>0</v>
      </c>
      <c r="DK49" s="166">
        <f t="shared" si="50"/>
        <v>0</v>
      </c>
      <c r="DL49" s="167" t="e">
        <f t="shared" si="17"/>
        <v>#DIV/0!</v>
      </c>
      <c r="DM49" s="168" t="e">
        <f t="shared" si="18"/>
        <v>#DIV/0!</v>
      </c>
      <c r="DN49" s="163" t="e">
        <f t="shared" si="19"/>
        <v>#DIV/0!</v>
      </c>
      <c r="DO49" s="169"/>
      <c r="DP49" s="170"/>
      <c r="DQ49" s="171"/>
      <c r="DR49" s="172">
        <f t="shared" si="20"/>
        <v>0</v>
      </c>
      <c r="DS49" s="173" t="e">
        <f t="shared" si="21"/>
        <v>#DIV/0!</v>
      </c>
      <c r="DT49" s="163" t="e">
        <f t="shared" si="22"/>
        <v>#DIV/0!</v>
      </c>
      <c r="DU49" s="174"/>
      <c r="DV49" s="175" t="e">
        <f t="shared" si="23"/>
        <v>#DIV/0!</v>
      </c>
      <c r="DW49" s="163">
        <f t="shared" si="24"/>
        <v>0</v>
      </c>
      <c r="DX49" s="164"/>
      <c r="DY49" s="176">
        <f t="shared" si="25"/>
        <v>0</v>
      </c>
      <c r="DZ49" s="177">
        <f t="shared" si="26"/>
        <v>0</v>
      </c>
      <c r="EA49" s="178">
        <f t="shared" si="27"/>
        <v>0</v>
      </c>
      <c r="EB49" s="179">
        <f t="shared" si="28"/>
        <v>0</v>
      </c>
      <c r="EC49" s="180"/>
      <c r="ED49" s="175" t="e">
        <f t="shared" si="29"/>
        <v>#DIV/0!</v>
      </c>
      <c r="EE49" s="163">
        <f t="shared" si="30"/>
        <v>0</v>
      </c>
      <c r="EF49" s="164"/>
      <c r="EG49" s="181">
        <f t="shared" si="31"/>
        <v>0</v>
      </c>
      <c r="EH49" s="182">
        <f t="shared" si="32"/>
        <v>0</v>
      </c>
      <c r="EI49" s="182">
        <f t="shared" si="33"/>
        <v>0</v>
      </c>
      <c r="EJ49" s="182">
        <f t="shared" si="34"/>
        <v>0</v>
      </c>
      <c r="EK49" s="183">
        <f t="shared" si="35"/>
        <v>0</v>
      </c>
      <c r="EL49" s="184" t="e">
        <f t="shared" si="36"/>
        <v>#DIV/0!</v>
      </c>
      <c r="EM49" s="185">
        <f t="shared" si="37"/>
        <v>0</v>
      </c>
      <c r="EN49" s="164"/>
      <c r="EO49" s="181">
        <f t="shared" si="38"/>
        <v>0</v>
      </c>
      <c r="EP49" s="183">
        <f t="shared" si="39"/>
        <v>0</v>
      </c>
      <c r="EQ49" s="184" t="e">
        <f t="shared" si="40"/>
        <v>#DIV/0!</v>
      </c>
      <c r="ER49" s="185">
        <f t="shared" si="41"/>
        <v>0</v>
      </c>
      <c r="ES49" s="164"/>
      <c r="ET49" s="164"/>
      <c r="EU49" s="186">
        <f t="shared" si="42"/>
        <v>0</v>
      </c>
      <c r="EV49" s="186">
        <f t="shared" si="43"/>
        <v>0</v>
      </c>
      <c r="EW49" s="186">
        <f t="shared" si="44"/>
        <v>0</v>
      </c>
      <c r="EX49" s="186">
        <f t="shared" si="45"/>
        <v>0</v>
      </c>
      <c r="EY49" s="131"/>
      <c r="EZ49" s="187">
        <f t="shared" si="46"/>
        <v>0</v>
      </c>
      <c r="FA49" s="188" t="e">
        <f t="shared" si="47"/>
        <v>#DIV/0!</v>
      </c>
      <c r="FB49" s="189"/>
      <c r="FC49" s="131"/>
      <c r="FD49" s="131"/>
      <c r="FE49" s="131"/>
      <c r="FF49" s="131"/>
      <c r="FG49" s="131"/>
    </row>
    <row r="50" spans="2:163" ht="16" outlineLevel="1" thickBot="1" x14ac:dyDescent="0.4">
      <c r="B50" s="356"/>
      <c r="C50" s="353"/>
      <c r="D50" s="133"/>
      <c r="E50" s="134"/>
      <c r="F50" s="135"/>
      <c r="G50" s="136"/>
      <c r="H50" s="137"/>
      <c r="I50" s="138">
        <f t="shared" si="0"/>
        <v>0</v>
      </c>
      <c r="J50" s="139"/>
      <c r="K50" s="140">
        <f t="shared" si="49"/>
        <v>0</v>
      </c>
      <c r="L50" s="141"/>
      <c r="M50" s="142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2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4"/>
      <c r="AN50" s="145">
        <f t="shared" si="2"/>
        <v>0</v>
      </c>
      <c r="AO50" s="146"/>
      <c r="AP50" s="147">
        <f t="shared" si="3"/>
        <v>0</v>
      </c>
      <c r="AQ50" s="148"/>
      <c r="AR50" s="149"/>
      <c r="AS50" s="149"/>
      <c r="AT50" s="135"/>
      <c r="AU50" s="150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0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4"/>
      <c r="CD50" s="150"/>
      <c r="CE50" s="194"/>
      <c r="CF50" s="195"/>
      <c r="CG50" s="195"/>
      <c r="CH50" s="195"/>
      <c r="CI50" s="195"/>
      <c r="CJ50" s="195"/>
      <c r="CK50" s="195"/>
      <c r="CL50" s="195"/>
      <c r="CM50" s="195"/>
      <c r="CN50" s="143"/>
      <c r="CO50" s="346"/>
      <c r="CP50" s="151"/>
      <c r="CQ50" s="152"/>
      <c r="CR50" s="154"/>
      <c r="CS50" s="155">
        <f t="shared" si="48"/>
        <v>0</v>
      </c>
      <c r="CT50" s="146"/>
      <c r="CU50" s="147">
        <f t="shared" si="4"/>
        <v>0</v>
      </c>
      <c r="CV50" s="156"/>
      <c r="CW50" s="157" t="e">
        <f t="shared" si="5"/>
        <v>#DIV/0!</v>
      </c>
      <c r="CX50" s="157" t="e">
        <f t="shared" si="6"/>
        <v>#DIV/0!</v>
      </c>
      <c r="CY50" s="157" t="e">
        <f t="shared" si="7"/>
        <v>#DIV/0!</v>
      </c>
      <c r="CZ50" s="157" t="e">
        <f t="shared" si="8"/>
        <v>#DIV/0!</v>
      </c>
      <c r="DA50" s="157" t="e">
        <f t="shared" si="9"/>
        <v>#DIV/0!</v>
      </c>
      <c r="DB50" s="158" t="e">
        <f t="shared" si="10"/>
        <v>#DIV/0!</v>
      </c>
      <c r="DC50" s="131"/>
      <c r="DD50" s="159">
        <f t="shared" si="11"/>
        <v>0</v>
      </c>
      <c r="DE50" s="160">
        <f t="shared" si="12"/>
        <v>0</v>
      </c>
      <c r="DF50" s="161">
        <f t="shared" si="13"/>
        <v>0</v>
      </c>
      <c r="DG50" s="162" t="e">
        <f t="shared" si="14"/>
        <v>#DIV/0!</v>
      </c>
      <c r="DH50" s="163">
        <f t="shared" si="15"/>
        <v>0</v>
      </c>
      <c r="DI50" s="164"/>
      <c r="DJ50" s="165">
        <f t="shared" si="50"/>
        <v>0</v>
      </c>
      <c r="DK50" s="166">
        <f t="shared" si="50"/>
        <v>0</v>
      </c>
      <c r="DL50" s="167" t="e">
        <f t="shared" si="17"/>
        <v>#DIV/0!</v>
      </c>
      <c r="DM50" s="168" t="e">
        <f t="shared" si="18"/>
        <v>#DIV/0!</v>
      </c>
      <c r="DN50" s="163" t="e">
        <f t="shared" si="19"/>
        <v>#DIV/0!</v>
      </c>
      <c r="DO50" s="169"/>
      <c r="DP50" s="170"/>
      <c r="DQ50" s="171"/>
      <c r="DR50" s="172">
        <f t="shared" si="20"/>
        <v>0</v>
      </c>
      <c r="DS50" s="173" t="e">
        <f t="shared" si="21"/>
        <v>#DIV/0!</v>
      </c>
      <c r="DT50" s="163" t="e">
        <f t="shared" si="22"/>
        <v>#DIV/0!</v>
      </c>
      <c r="DU50" s="174"/>
      <c r="DV50" s="175" t="e">
        <f t="shared" si="23"/>
        <v>#DIV/0!</v>
      </c>
      <c r="DW50" s="163">
        <f t="shared" si="24"/>
        <v>0</v>
      </c>
      <c r="DX50" s="164"/>
      <c r="DY50" s="176">
        <f t="shared" si="25"/>
        <v>0</v>
      </c>
      <c r="DZ50" s="177">
        <f t="shared" si="26"/>
        <v>0</v>
      </c>
      <c r="EA50" s="178">
        <f t="shared" si="27"/>
        <v>0</v>
      </c>
      <c r="EB50" s="179">
        <f t="shared" si="28"/>
        <v>0</v>
      </c>
      <c r="EC50" s="180"/>
      <c r="ED50" s="175" t="e">
        <f t="shared" si="29"/>
        <v>#DIV/0!</v>
      </c>
      <c r="EE50" s="163">
        <f t="shared" si="30"/>
        <v>0</v>
      </c>
      <c r="EF50" s="164"/>
      <c r="EG50" s="181">
        <f t="shared" si="31"/>
        <v>0</v>
      </c>
      <c r="EH50" s="182">
        <f t="shared" si="32"/>
        <v>0</v>
      </c>
      <c r="EI50" s="182">
        <f t="shared" si="33"/>
        <v>0</v>
      </c>
      <c r="EJ50" s="182">
        <f t="shared" si="34"/>
        <v>0</v>
      </c>
      <c r="EK50" s="183">
        <f t="shared" si="35"/>
        <v>0</v>
      </c>
      <c r="EL50" s="184" t="e">
        <f t="shared" si="36"/>
        <v>#DIV/0!</v>
      </c>
      <c r="EM50" s="185">
        <f t="shared" si="37"/>
        <v>0</v>
      </c>
      <c r="EN50" s="164"/>
      <c r="EO50" s="181">
        <f t="shared" si="38"/>
        <v>0</v>
      </c>
      <c r="EP50" s="183">
        <f t="shared" si="39"/>
        <v>0</v>
      </c>
      <c r="EQ50" s="184" t="e">
        <f t="shared" si="40"/>
        <v>#DIV/0!</v>
      </c>
      <c r="ER50" s="185">
        <f t="shared" si="41"/>
        <v>0</v>
      </c>
      <c r="ES50" s="164"/>
      <c r="ET50" s="164"/>
      <c r="EU50" s="186">
        <f t="shared" si="42"/>
        <v>0</v>
      </c>
      <c r="EV50" s="186">
        <f t="shared" si="43"/>
        <v>0</v>
      </c>
      <c r="EW50" s="186">
        <f t="shared" si="44"/>
        <v>0</v>
      </c>
      <c r="EX50" s="186">
        <f t="shared" si="45"/>
        <v>0</v>
      </c>
      <c r="EY50" s="131"/>
      <c r="EZ50" s="187">
        <f t="shared" si="46"/>
        <v>0</v>
      </c>
      <c r="FA50" s="188" t="e">
        <f t="shared" si="47"/>
        <v>#DIV/0!</v>
      </c>
      <c r="FB50" s="189"/>
      <c r="FC50" s="131"/>
      <c r="FD50" s="131"/>
      <c r="FE50" s="131"/>
      <c r="FF50" s="131"/>
      <c r="FG50" s="131"/>
    </row>
    <row r="51" spans="2:163" ht="16" outlineLevel="1" thickBot="1" x14ac:dyDescent="0.4">
      <c r="B51" s="357"/>
      <c r="C51" s="354"/>
      <c r="D51" s="190"/>
      <c r="E51" s="191"/>
      <c r="F51" s="135"/>
      <c r="G51" s="192"/>
      <c r="H51" s="137"/>
      <c r="I51" s="138">
        <f t="shared" si="0"/>
        <v>0</v>
      </c>
      <c r="J51" s="139"/>
      <c r="K51" s="193">
        <f t="shared" si="49"/>
        <v>0</v>
      </c>
      <c r="L51" s="141"/>
      <c r="M51" s="194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4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6"/>
      <c r="AN51" s="197">
        <f t="shared" si="2"/>
        <v>0</v>
      </c>
      <c r="AO51" s="146"/>
      <c r="AP51" s="147">
        <f t="shared" si="3"/>
        <v>0</v>
      </c>
      <c r="AQ51" s="148"/>
      <c r="AR51" s="198"/>
      <c r="AS51" s="198"/>
      <c r="AT51" s="135"/>
      <c r="AU51" s="199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199"/>
      <c r="BS51" s="200"/>
      <c r="BT51" s="200"/>
      <c r="BU51" s="200"/>
      <c r="BV51" s="200"/>
      <c r="BW51" s="200"/>
      <c r="BX51" s="200"/>
      <c r="BY51" s="200"/>
      <c r="BZ51" s="200"/>
      <c r="CA51" s="200"/>
      <c r="CB51" s="200"/>
      <c r="CC51" s="202"/>
      <c r="CD51" s="199"/>
      <c r="CE51" s="194"/>
      <c r="CF51" s="195"/>
      <c r="CG51" s="195"/>
      <c r="CH51" s="195"/>
      <c r="CI51" s="195"/>
      <c r="CJ51" s="195"/>
      <c r="CK51" s="195"/>
      <c r="CL51" s="195"/>
      <c r="CM51" s="195"/>
      <c r="CN51" s="195"/>
      <c r="CO51" s="347"/>
      <c r="CP51" s="200"/>
      <c r="CQ51" s="201"/>
      <c r="CR51" s="202"/>
      <c r="CS51" s="203">
        <f t="shared" si="48"/>
        <v>0</v>
      </c>
      <c r="CT51" s="146"/>
      <c r="CU51" s="147">
        <f t="shared" si="4"/>
        <v>0</v>
      </c>
      <c r="CV51" s="156"/>
      <c r="CW51" s="157" t="e">
        <f t="shared" si="5"/>
        <v>#DIV/0!</v>
      </c>
      <c r="CX51" s="157" t="e">
        <f t="shared" si="6"/>
        <v>#DIV/0!</v>
      </c>
      <c r="CY51" s="157" t="e">
        <f t="shared" si="7"/>
        <v>#DIV/0!</v>
      </c>
      <c r="CZ51" s="157" t="e">
        <f t="shared" si="8"/>
        <v>#DIV/0!</v>
      </c>
      <c r="DA51" s="157" t="e">
        <f t="shared" si="9"/>
        <v>#DIV/0!</v>
      </c>
      <c r="DB51" s="158" t="e">
        <f t="shared" si="10"/>
        <v>#DIV/0!</v>
      </c>
      <c r="DC51" s="131"/>
      <c r="DD51" s="159">
        <f t="shared" si="11"/>
        <v>0</v>
      </c>
      <c r="DE51" s="160">
        <f t="shared" si="12"/>
        <v>0</v>
      </c>
      <c r="DF51" s="161">
        <f t="shared" si="13"/>
        <v>0</v>
      </c>
      <c r="DG51" s="162" t="e">
        <f t="shared" si="14"/>
        <v>#DIV/0!</v>
      </c>
      <c r="DH51" s="163">
        <f t="shared" si="15"/>
        <v>0</v>
      </c>
      <c r="DI51" s="164"/>
      <c r="DJ51" s="165">
        <f t="shared" si="50"/>
        <v>0</v>
      </c>
      <c r="DK51" s="166">
        <f t="shared" si="50"/>
        <v>0</v>
      </c>
      <c r="DL51" s="167" t="e">
        <f t="shared" si="17"/>
        <v>#DIV/0!</v>
      </c>
      <c r="DM51" s="168" t="e">
        <f t="shared" si="18"/>
        <v>#DIV/0!</v>
      </c>
      <c r="DN51" s="163" t="e">
        <f t="shared" si="19"/>
        <v>#DIV/0!</v>
      </c>
      <c r="DO51" s="169"/>
      <c r="DP51" s="170"/>
      <c r="DQ51" s="171"/>
      <c r="DR51" s="172">
        <f t="shared" si="20"/>
        <v>0</v>
      </c>
      <c r="DS51" s="173" t="e">
        <f t="shared" si="21"/>
        <v>#DIV/0!</v>
      </c>
      <c r="DT51" s="163" t="e">
        <f t="shared" si="22"/>
        <v>#DIV/0!</v>
      </c>
      <c r="DU51" s="174"/>
      <c r="DV51" s="175" t="e">
        <f t="shared" si="23"/>
        <v>#DIV/0!</v>
      </c>
      <c r="DW51" s="163">
        <f t="shared" si="24"/>
        <v>0</v>
      </c>
      <c r="DX51" s="164"/>
      <c r="DY51" s="176">
        <f t="shared" si="25"/>
        <v>0</v>
      </c>
      <c r="DZ51" s="177">
        <f t="shared" si="26"/>
        <v>0</v>
      </c>
      <c r="EA51" s="178">
        <f t="shared" si="27"/>
        <v>0</v>
      </c>
      <c r="EB51" s="179">
        <f t="shared" si="28"/>
        <v>0</v>
      </c>
      <c r="EC51" s="180"/>
      <c r="ED51" s="175" t="e">
        <f t="shared" si="29"/>
        <v>#DIV/0!</v>
      </c>
      <c r="EE51" s="163">
        <f t="shared" si="30"/>
        <v>0</v>
      </c>
      <c r="EF51" s="164"/>
      <c r="EG51" s="181">
        <f t="shared" si="31"/>
        <v>0</v>
      </c>
      <c r="EH51" s="182">
        <f t="shared" si="32"/>
        <v>0</v>
      </c>
      <c r="EI51" s="182">
        <f t="shared" si="33"/>
        <v>0</v>
      </c>
      <c r="EJ51" s="182">
        <f t="shared" si="34"/>
        <v>0</v>
      </c>
      <c r="EK51" s="183">
        <f t="shared" si="35"/>
        <v>0</v>
      </c>
      <c r="EL51" s="184" t="e">
        <f t="shared" si="36"/>
        <v>#DIV/0!</v>
      </c>
      <c r="EM51" s="185">
        <f t="shared" si="37"/>
        <v>0</v>
      </c>
      <c r="EN51" s="164"/>
      <c r="EO51" s="181">
        <f t="shared" si="38"/>
        <v>0</v>
      </c>
      <c r="EP51" s="183">
        <f t="shared" si="39"/>
        <v>0</v>
      </c>
      <c r="EQ51" s="184" t="e">
        <f t="shared" si="40"/>
        <v>#DIV/0!</v>
      </c>
      <c r="ER51" s="185">
        <f t="shared" si="41"/>
        <v>0</v>
      </c>
      <c r="ES51" s="164"/>
      <c r="ET51" s="164"/>
      <c r="EU51" s="186">
        <f t="shared" si="42"/>
        <v>0</v>
      </c>
      <c r="EV51" s="186">
        <f t="shared" si="43"/>
        <v>0</v>
      </c>
      <c r="EW51" s="186">
        <f t="shared" si="44"/>
        <v>0</v>
      </c>
      <c r="EX51" s="186">
        <f t="shared" si="45"/>
        <v>0</v>
      </c>
      <c r="EY51" s="131"/>
      <c r="EZ51" s="187">
        <f t="shared" si="46"/>
        <v>0</v>
      </c>
      <c r="FA51" s="188" t="e">
        <f t="shared" si="47"/>
        <v>#DIV/0!</v>
      </c>
      <c r="FB51" s="189"/>
      <c r="FC51" s="131"/>
      <c r="FD51" s="131"/>
      <c r="FE51" s="131"/>
      <c r="FF51" s="131"/>
      <c r="FG51" s="131"/>
    </row>
    <row r="52" spans="2:163" ht="16" outlineLevel="1" thickBot="1" x14ac:dyDescent="0.4">
      <c r="B52" s="358"/>
      <c r="C52" s="355"/>
      <c r="D52" s="238"/>
      <c r="E52" s="239"/>
      <c r="F52" s="135"/>
      <c r="G52" s="192"/>
      <c r="H52" s="207"/>
      <c r="I52" s="138">
        <f t="shared" si="0"/>
        <v>0</v>
      </c>
      <c r="J52" s="139"/>
      <c r="K52" s="208">
        <f t="shared" si="49"/>
        <v>0</v>
      </c>
      <c r="L52" s="141"/>
      <c r="M52" s="209"/>
      <c r="N52" s="210"/>
      <c r="O52" s="210"/>
      <c r="P52" s="210"/>
      <c r="Q52" s="195"/>
      <c r="R52" s="210"/>
      <c r="S52" s="210"/>
      <c r="T52" s="210"/>
      <c r="U52" s="210"/>
      <c r="V52" s="210"/>
      <c r="W52" s="210"/>
      <c r="X52" s="210"/>
      <c r="Y52" s="210"/>
      <c r="Z52" s="210"/>
      <c r="AA52" s="209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1"/>
      <c r="AN52" s="212">
        <f t="shared" si="2"/>
        <v>0</v>
      </c>
      <c r="AO52" s="146"/>
      <c r="AP52" s="147">
        <f t="shared" si="3"/>
        <v>0</v>
      </c>
      <c r="AQ52" s="148"/>
      <c r="AR52" s="213"/>
      <c r="AS52" s="213"/>
      <c r="AT52" s="135"/>
      <c r="AU52" s="214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6"/>
      <c r="BG52" s="216"/>
      <c r="BH52" s="216"/>
      <c r="BI52" s="216"/>
      <c r="BJ52" s="216"/>
      <c r="BK52" s="216"/>
      <c r="BL52" s="216"/>
      <c r="BM52" s="216"/>
      <c r="BN52" s="216"/>
      <c r="BO52" s="216"/>
      <c r="BP52" s="216"/>
      <c r="BQ52" s="216"/>
      <c r="BR52" s="214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7"/>
      <c r="CD52" s="214"/>
      <c r="CE52" s="194"/>
      <c r="CF52" s="195"/>
      <c r="CG52" s="195"/>
      <c r="CH52" s="195"/>
      <c r="CI52" s="195"/>
      <c r="CJ52" s="195"/>
      <c r="CK52" s="195"/>
      <c r="CL52" s="195"/>
      <c r="CM52" s="195"/>
      <c r="CN52" s="210"/>
      <c r="CO52" s="348"/>
      <c r="CP52" s="215"/>
      <c r="CQ52" s="216"/>
      <c r="CR52" s="217"/>
      <c r="CS52" s="218">
        <f t="shared" si="48"/>
        <v>0</v>
      </c>
      <c r="CT52" s="146"/>
      <c r="CU52" s="147">
        <f t="shared" si="4"/>
        <v>0</v>
      </c>
      <c r="CV52" s="156"/>
      <c r="CW52" s="157" t="e">
        <f t="shared" si="5"/>
        <v>#DIV/0!</v>
      </c>
      <c r="CX52" s="157" t="e">
        <f t="shared" si="6"/>
        <v>#DIV/0!</v>
      </c>
      <c r="CY52" s="157" t="e">
        <f t="shared" si="7"/>
        <v>#DIV/0!</v>
      </c>
      <c r="CZ52" s="157" t="e">
        <f t="shared" si="8"/>
        <v>#DIV/0!</v>
      </c>
      <c r="DA52" s="157" t="e">
        <f t="shared" si="9"/>
        <v>#DIV/0!</v>
      </c>
      <c r="DB52" s="158" t="e">
        <f t="shared" si="10"/>
        <v>#DIV/0!</v>
      </c>
      <c r="DC52" s="131"/>
      <c r="DD52" s="159">
        <f t="shared" si="11"/>
        <v>0</v>
      </c>
      <c r="DE52" s="160">
        <f t="shared" si="12"/>
        <v>0</v>
      </c>
      <c r="DF52" s="161">
        <f t="shared" si="13"/>
        <v>0</v>
      </c>
      <c r="DG52" s="162" t="e">
        <f t="shared" si="14"/>
        <v>#DIV/0!</v>
      </c>
      <c r="DH52" s="163">
        <f t="shared" si="15"/>
        <v>0</v>
      </c>
      <c r="DI52" s="164"/>
      <c r="DJ52" s="165">
        <f t="shared" si="50"/>
        <v>0</v>
      </c>
      <c r="DK52" s="166">
        <f t="shared" si="50"/>
        <v>0</v>
      </c>
      <c r="DL52" s="167" t="e">
        <f t="shared" si="17"/>
        <v>#DIV/0!</v>
      </c>
      <c r="DM52" s="168" t="e">
        <f t="shared" si="18"/>
        <v>#DIV/0!</v>
      </c>
      <c r="DN52" s="163" t="e">
        <f t="shared" si="19"/>
        <v>#DIV/0!</v>
      </c>
      <c r="DO52" s="169"/>
      <c r="DP52" s="170"/>
      <c r="DQ52" s="171"/>
      <c r="DR52" s="172">
        <f t="shared" si="20"/>
        <v>0</v>
      </c>
      <c r="DS52" s="173" t="e">
        <f t="shared" si="21"/>
        <v>#DIV/0!</v>
      </c>
      <c r="DT52" s="163" t="e">
        <f t="shared" si="22"/>
        <v>#DIV/0!</v>
      </c>
      <c r="DU52" s="174"/>
      <c r="DV52" s="175" t="e">
        <f t="shared" si="23"/>
        <v>#DIV/0!</v>
      </c>
      <c r="DW52" s="163">
        <f t="shared" si="24"/>
        <v>0</v>
      </c>
      <c r="DX52" s="164"/>
      <c r="DY52" s="176">
        <f t="shared" si="25"/>
        <v>0</v>
      </c>
      <c r="DZ52" s="177">
        <f t="shared" si="26"/>
        <v>0</v>
      </c>
      <c r="EA52" s="178">
        <f t="shared" si="27"/>
        <v>0</v>
      </c>
      <c r="EB52" s="179">
        <f t="shared" si="28"/>
        <v>0</v>
      </c>
      <c r="EC52" s="180"/>
      <c r="ED52" s="175" t="e">
        <f t="shared" si="29"/>
        <v>#DIV/0!</v>
      </c>
      <c r="EE52" s="163">
        <f t="shared" si="30"/>
        <v>0</v>
      </c>
      <c r="EF52" s="164"/>
      <c r="EG52" s="181">
        <f t="shared" si="31"/>
        <v>0</v>
      </c>
      <c r="EH52" s="182">
        <f t="shared" si="32"/>
        <v>0</v>
      </c>
      <c r="EI52" s="182">
        <f t="shared" si="33"/>
        <v>0</v>
      </c>
      <c r="EJ52" s="182">
        <f t="shared" si="34"/>
        <v>0</v>
      </c>
      <c r="EK52" s="183">
        <f t="shared" si="35"/>
        <v>0</v>
      </c>
      <c r="EL52" s="184" t="e">
        <f t="shared" si="36"/>
        <v>#DIV/0!</v>
      </c>
      <c r="EM52" s="185">
        <f t="shared" si="37"/>
        <v>0</v>
      </c>
      <c r="EN52" s="164"/>
      <c r="EO52" s="181">
        <f t="shared" si="38"/>
        <v>0</v>
      </c>
      <c r="EP52" s="183">
        <f t="shared" si="39"/>
        <v>0</v>
      </c>
      <c r="EQ52" s="184" t="e">
        <f t="shared" si="40"/>
        <v>#DIV/0!</v>
      </c>
      <c r="ER52" s="185">
        <f t="shared" si="41"/>
        <v>0</v>
      </c>
      <c r="ES52" s="164"/>
      <c r="ET52" s="164"/>
      <c r="EU52" s="186">
        <f t="shared" si="42"/>
        <v>0</v>
      </c>
      <c r="EV52" s="186">
        <f t="shared" si="43"/>
        <v>0</v>
      </c>
      <c r="EW52" s="186">
        <f t="shared" si="44"/>
        <v>0</v>
      </c>
      <c r="EX52" s="186">
        <f t="shared" si="45"/>
        <v>0</v>
      </c>
      <c r="EY52" s="131"/>
      <c r="EZ52" s="187">
        <f t="shared" si="46"/>
        <v>0</v>
      </c>
      <c r="FA52" s="188" t="e">
        <f t="shared" si="47"/>
        <v>#DIV/0!</v>
      </c>
      <c r="FB52" s="189"/>
      <c r="FC52" s="131"/>
      <c r="FD52" s="131"/>
      <c r="FE52" s="131"/>
      <c r="FF52" s="131"/>
      <c r="FG52" s="131"/>
    </row>
    <row r="53" spans="2:163" ht="16" outlineLevel="1" thickBot="1" x14ac:dyDescent="0.4">
      <c r="B53" s="356"/>
      <c r="C53" s="353"/>
      <c r="D53" s="133"/>
      <c r="E53" s="134"/>
      <c r="F53" s="135"/>
      <c r="G53" s="136"/>
      <c r="H53" s="137"/>
      <c r="I53" s="138">
        <f>IF(E53&gt;0.0001,11,0)</f>
        <v>0</v>
      </c>
      <c r="J53" s="139"/>
      <c r="K53" s="140">
        <f t="shared" si="49"/>
        <v>0</v>
      </c>
      <c r="L53" s="141"/>
      <c r="M53" s="142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2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4"/>
      <c r="AN53" s="145">
        <f t="shared" si="2"/>
        <v>0</v>
      </c>
      <c r="AO53" s="146"/>
      <c r="AP53" s="147">
        <f t="shared" si="3"/>
        <v>0</v>
      </c>
      <c r="AQ53" s="148"/>
      <c r="AR53" s="149"/>
      <c r="AS53" s="149"/>
      <c r="AT53" s="135"/>
      <c r="AU53" s="150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0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4"/>
      <c r="CD53" s="150"/>
      <c r="CE53" s="142"/>
      <c r="CF53" s="143"/>
      <c r="CG53" s="143"/>
      <c r="CH53" s="143"/>
      <c r="CI53" s="143"/>
      <c r="CJ53" s="143"/>
      <c r="CK53" s="143"/>
      <c r="CL53" s="143"/>
      <c r="CM53" s="143"/>
      <c r="CN53" s="143"/>
      <c r="CO53" s="346"/>
      <c r="CP53" s="151"/>
      <c r="CQ53" s="152"/>
      <c r="CR53" s="154"/>
      <c r="CS53" s="155">
        <f t="shared" si="48"/>
        <v>0</v>
      </c>
      <c r="CT53" s="146"/>
      <c r="CU53" s="147">
        <f t="shared" si="4"/>
        <v>0</v>
      </c>
      <c r="CV53" s="156"/>
      <c r="CW53" s="157" t="e">
        <f t="shared" si="5"/>
        <v>#DIV/0!</v>
      </c>
      <c r="CX53" s="157" t="e">
        <f t="shared" si="6"/>
        <v>#DIV/0!</v>
      </c>
      <c r="CY53" s="157" t="e">
        <f t="shared" si="7"/>
        <v>#DIV/0!</v>
      </c>
      <c r="CZ53" s="157" t="e">
        <f t="shared" si="8"/>
        <v>#DIV/0!</v>
      </c>
      <c r="DA53" s="157" t="e">
        <f t="shared" si="9"/>
        <v>#DIV/0!</v>
      </c>
      <c r="DB53" s="158" t="e">
        <f t="shared" si="10"/>
        <v>#DIV/0!</v>
      </c>
      <c r="DC53" s="131"/>
      <c r="DD53" s="159">
        <f t="shared" si="11"/>
        <v>0</v>
      </c>
      <c r="DE53" s="160">
        <f t="shared" si="12"/>
        <v>0</v>
      </c>
      <c r="DF53" s="161">
        <f t="shared" si="13"/>
        <v>0</v>
      </c>
      <c r="DG53" s="162" t="e">
        <f t="shared" si="14"/>
        <v>#DIV/0!</v>
      </c>
      <c r="DH53" s="163">
        <f t="shared" si="15"/>
        <v>0</v>
      </c>
      <c r="DI53" s="164"/>
      <c r="DJ53" s="165">
        <f t="shared" si="50"/>
        <v>0</v>
      </c>
      <c r="DK53" s="166">
        <f t="shared" si="50"/>
        <v>0</v>
      </c>
      <c r="DL53" s="167" t="e">
        <f t="shared" si="17"/>
        <v>#DIV/0!</v>
      </c>
      <c r="DM53" s="168" t="e">
        <f t="shared" si="18"/>
        <v>#DIV/0!</v>
      </c>
      <c r="DN53" s="163" t="e">
        <f t="shared" si="19"/>
        <v>#DIV/0!</v>
      </c>
      <c r="DO53" s="169"/>
      <c r="DP53" s="170"/>
      <c r="DQ53" s="171"/>
      <c r="DR53" s="172">
        <f t="shared" si="20"/>
        <v>0</v>
      </c>
      <c r="DS53" s="173" t="e">
        <f t="shared" si="21"/>
        <v>#DIV/0!</v>
      </c>
      <c r="DT53" s="163" t="e">
        <f t="shared" si="22"/>
        <v>#DIV/0!</v>
      </c>
      <c r="DU53" s="174"/>
      <c r="DV53" s="175" t="e">
        <f t="shared" si="23"/>
        <v>#DIV/0!</v>
      </c>
      <c r="DW53" s="163">
        <f t="shared" si="24"/>
        <v>0</v>
      </c>
      <c r="DX53" s="164"/>
      <c r="DY53" s="176">
        <f t="shared" si="25"/>
        <v>0</v>
      </c>
      <c r="DZ53" s="177">
        <f t="shared" si="26"/>
        <v>0</v>
      </c>
      <c r="EA53" s="178">
        <f t="shared" si="27"/>
        <v>0</v>
      </c>
      <c r="EB53" s="179">
        <f t="shared" si="28"/>
        <v>0</v>
      </c>
      <c r="EC53" s="180"/>
      <c r="ED53" s="175" t="e">
        <f t="shared" si="29"/>
        <v>#DIV/0!</v>
      </c>
      <c r="EE53" s="163">
        <f t="shared" si="30"/>
        <v>0</v>
      </c>
      <c r="EF53" s="164"/>
      <c r="EG53" s="181">
        <f t="shared" si="31"/>
        <v>0</v>
      </c>
      <c r="EH53" s="182">
        <f t="shared" si="32"/>
        <v>0</v>
      </c>
      <c r="EI53" s="182">
        <f t="shared" si="33"/>
        <v>0</v>
      </c>
      <c r="EJ53" s="182">
        <f t="shared" si="34"/>
        <v>0</v>
      </c>
      <c r="EK53" s="183">
        <f t="shared" si="35"/>
        <v>0</v>
      </c>
      <c r="EL53" s="184" t="e">
        <f t="shared" si="36"/>
        <v>#DIV/0!</v>
      </c>
      <c r="EM53" s="185">
        <f t="shared" si="37"/>
        <v>0</v>
      </c>
      <c r="EN53" s="164"/>
      <c r="EO53" s="181">
        <f t="shared" si="38"/>
        <v>0</v>
      </c>
      <c r="EP53" s="183">
        <f t="shared" si="39"/>
        <v>0</v>
      </c>
      <c r="EQ53" s="184" t="e">
        <f t="shared" si="40"/>
        <v>#DIV/0!</v>
      </c>
      <c r="ER53" s="185">
        <f t="shared" si="41"/>
        <v>0</v>
      </c>
      <c r="ES53" s="164"/>
      <c r="ET53" s="164"/>
      <c r="EU53" s="186">
        <f t="shared" si="42"/>
        <v>0</v>
      </c>
      <c r="EV53" s="186">
        <f t="shared" si="43"/>
        <v>0</v>
      </c>
      <c r="EW53" s="186">
        <f t="shared" si="44"/>
        <v>0</v>
      </c>
      <c r="EX53" s="186">
        <f t="shared" si="45"/>
        <v>0</v>
      </c>
      <c r="EY53" s="131"/>
      <c r="EZ53" s="187">
        <f t="shared" si="46"/>
        <v>0</v>
      </c>
      <c r="FA53" s="188" t="e">
        <f t="shared" si="47"/>
        <v>#DIV/0!</v>
      </c>
      <c r="FB53" s="189"/>
      <c r="FC53" s="131"/>
      <c r="FD53" s="131"/>
      <c r="FE53" s="131"/>
      <c r="FF53" s="131"/>
      <c r="FG53" s="131"/>
    </row>
    <row r="54" spans="2:163" ht="16" outlineLevel="1" thickBot="1" x14ac:dyDescent="0.4">
      <c r="B54" s="357"/>
      <c r="C54" s="354"/>
      <c r="D54" s="190"/>
      <c r="E54" s="191"/>
      <c r="F54" s="135"/>
      <c r="G54" s="192"/>
      <c r="H54" s="137"/>
      <c r="I54" s="138">
        <f>IF(E54&gt;0.0001,11,0)</f>
        <v>0</v>
      </c>
      <c r="J54" s="139"/>
      <c r="K54" s="193">
        <f t="shared" si="49"/>
        <v>0</v>
      </c>
      <c r="L54" s="141"/>
      <c r="M54" s="194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4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6"/>
      <c r="AN54" s="197">
        <f t="shared" si="2"/>
        <v>0</v>
      </c>
      <c r="AO54" s="146"/>
      <c r="AP54" s="147">
        <f t="shared" si="3"/>
        <v>0</v>
      </c>
      <c r="AQ54" s="148"/>
      <c r="AR54" s="198"/>
      <c r="AS54" s="198"/>
      <c r="AT54" s="135"/>
      <c r="AU54" s="199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1"/>
      <c r="BG54" s="201"/>
      <c r="BH54" s="201"/>
      <c r="BI54" s="201"/>
      <c r="BJ54" s="201"/>
      <c r="BK54" s="201"/>
      <c r="BL54" s="201"/>
      <c r="BM54" s="201"/>
      <c r="BN54" s="201"/>
      <c r="BO54" s="201"/>
      <c r="BP54" s="201"/>
      <c r="BQ54" s="201"/>
      <c r="BR54" s="199"/>
      <c r="BS54" s="200"/>
      <c r="BT54" s="200"/>
      <c r="BU54" s="200"/>
      <c r="BV54" s="200"/>
      <c r="BW54" s="200"/>
      <c r="BX54" s="200"/>
      <c r="BY54" s="200"/>
      <c r="BZ54" s="200"/>
      <c r="CA54" s="200"/>
      <c r="CB54" s="200"/>
      <c r="CC54" s="202"/>
      <c r="CD54" s="199"/>
      <c r="CE54" s="194"/>
      <c r="CF54" s="195"/>
      <c r="CG54" s="195"/>
      <c r="CH54" s="195"/>
      <c r="CI54" s="195"/>
      <c r="CJ54" s="195"/>
      <c r="CK54" s="195"/>
      <c r="CL54" s="195"/>
      <c r="CM54" s="195"/>
      <c r="CN54" s="195"/>
      <c r="CO54" s="347"/>
      <c r="CP54" s="200"/>
      <c r="CQ54" s="201"/>
      <c r="CR54" s="202"/>
      <c r="CS54" s="203">
        <f t="shared" si="48"/>
        <v>0</v>
      </c>
      <c r="CT54" s="146"/>
      <c r="CU54" s="147">
        <f t="shared" si="4"/>
        <v>0</v>
      </c>
      <c r="CV54" s="156"/>
      <c r="CW54" s="157" t="e">
        <f t="shared" si="5"/>
        <v>#DIV/0!</v>
      </c>
      <c r="CX54" s="157" t="e">
        <f t="shared" si="6"/>
        <v>#DIV/0!</v>
      </c>
      <c r="CY54" s="157" t="e">
        <f t="shared" si="7"/>
        <v>#DIV/0!</v>
      </c>
      <c r="CZ54" s="157" t="e">
        <f t="shared" si="8"/>
        <v>#DIV/0!</v>
      </c>
      <c r="DA54" s="157" t="e">
        <f t="shared" si="9"/>
        <v>#DIV/0!</v>
      </c>
      <c r="DB54" s="158" t="e">
        <f t="shared" si="10"/>
        <v>#DIV/0!</v>
      </c>
      <c r="DC54" s="131"/>
      <c r="DD54" s="159">
        <f t="shared" si="11"/>
        <v>0</v>
      </c>
      <c r="DE54" s="160">
        <f t="shared" si="12"/>
        <v>0</v>
      </c>
      <c r="DF54" s="161">
        <f t="shared" si="13"/>
        <v>0</v>
      </c>
      <c r="DG54" s="162" t="e">
        <f t="shared" si="14"/>
        <v>#DIV/0!</v>
      </c>
      <c r="DH54" s="163">
        <f t="shared" si="15"/>
        <v>0</v>
      </c>
      <c r="DI54" s="164"/>
      <c r="DJ54" s="165">
        <f t="shared" si="50"/>
        <v>0</v>
      </c>
      <c r="DK54" s="166">
        <f t="shared" si="50"/>
        <v>0</v>
      </c>
      <c r="DL54" s="167" t="e">
        <f t="shared" si="17"/>
        <v>#DIV/0!</v>
      </c>
      <c r="DM54" s="168" t="e">
        <f t="shared" si="18"/>
        <v>#DIV/0!</v>
      </c>
      <c r="DN54" s="163" t="e">
        <f t="shared" si="19"/>
        <v>#DIV/0!</v>
      </c>
      <c r="DO54" s="169"/>
      <c r="DP54" s="170"/>
      <c r="DQ54" s="171"/>
      <c r="DR54" s="172">
        <f t="shared" si="20"/>
        <v>0</v>
      </c>
      <c r="DS54" s="173" t="e">
        <f t="shared" si="21"/>
        <v>#DIV/0!</v>
      </c>
      <c r="DT54" s="163" t="e">
        <f t="shared" si="22"/>
        <v>#DIV/0!</v>
      </c>
      <c r="DU54" s="174"/>
      <c r="DV54" s="175" t="e">
        <f t="shared" si="23"/>
        <v>#DIV/0!</v>
      </c>
      <c r="DW54" s="163">
        <f t="shared" si="24"/>
        <v>0</v>
      </c>
      <c r="DX54" s="164"/>
      <c r="DY54" s="176">
        <f t="shared" si="25"/>
        <v>0</v>
      </c>
      <c r="DZ54" s="177">
        <f t="shared" si="26"/>
        <v>0</v>
      </c>
      <c r="EA54" s="178">
        <f t="shared" si="27"/>
        <v>0</v>
      </c>
      <c r="EB54" s="179">
        <f t="shared" si="28"/>
        <v>0</v>
      </c>
      <c r="EC54" s="180"/>
      <c r="ED54" s="175" t="e">
        <f t="shared" si="29"/>
        <v>#DIV/0!</v>
      </c>
      <c r="EE54" s="163">
        <f t="shared" si="30"/>
        <v>0</v>
      </c>
      <c r="EF54" s="164"/>
      <c r="EG54" s="181">
        <f t="shared" si="31"/>
        <v>0</v>
      </c>
      <c r="EH54" s="182">
        <f t="shared" si="32"/>
        <v>0</v>
      </c>
      <c r="EI54" s="182">
        <f t="shared" si="33"/>
        <v>0</v>
      </c>
      <c r="EJ54" s="182">
        <f t="shared" si="34"/>
        <v>0</v>
      </c>
      <c r="EK54" s="183">
        <f t="shared" si="35"/>
        <v>0</v>
      </c>
      <c r="EL54" s="184" t="e">
        <f t="shared" si="36"/>
        <v>#DIV/0!</v>
      </c>
      <c r="EM54" s="185">
        <f t="shared" si="37"/>
        <v>0</v>
      </c>
      <c r="EN54" s="164"/>
      <c r="EO54" s="181">
        <f t="shared" si="38"/>
        <v>0</v>
      </c>
      <c r="EP54" s="183">
        <f t="shared" si="39"/>
        <v>0</v>
      </c>
      <c r="EQ54" s="184" t="e">
        <f t="shared" si="40"/>
        <v>#DIV/0!</v>
      </c>
      <c r="ER54" s="185">
        <f t="shared" si="41"/>
        <v>0</v>
      </c>
      <c r="ES54" s="164"/>
      <c r="ET54" s="164"/>
      <c r="EU54" s="186">
        <f t="shared" si="42"/>
        <v>0</v>
      </c>
      <c r="EV54" s="186">
        <f t="shared" si="43"/>
        <v>0</v>
      </c>
      <c r="EW54" s="186">
        <f t="shared" si="44"/>
        <v>0</v>
      </c>
      <c r="EX54" s="186">
        <f t="shared" si="45"/>
        <v>0</v>
      </c>
      <c r="EY54" s="131"/>
      <c r="EZ54" s="187">
        <f t="shared" si="46"/>
        <v>0</v>
      </c>
      <c r="FA54" s="188" t="e">
        <f t="shared" si="47"/>
        <v>#DIV/0!</v>
      </c>
      <c r="FB54" s="189"/>
      <c r="FC54" s="131"/>
      <c r="FD54" s="131"/>
      <c r="FE54" s="131"/>
      <c r="FF54" s="131"/>
      <c r="FG54" s="131"/>
    </row>
    <row r="55" spans="2:163" ht="16" outlineLevel="1" thickBot="1" x14ac:dyDescent="0.4">
      <c r="B55" s="358"/>
      <c r="C55" s="355"/>
      <c r="D55" s="204"/>
      <c r="E55" s="205"/>
      <c r="F55" s="135"/>
      <c r="G55" s="206"/>
      <c r="H55" s="137"/>
      <c r="I55" s="138">
        <f t="shared" si="0"/>
        <v>0</v>
      </c>
      <c r="J55" s="139"/>
      <c r="K55" s="208">
        <f t="shared" si="49"/>
        <v>0</v>
      </c>
      <c r="L55" s="141"/>
      <c r="M55" s="209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09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1"/>
      <c r="AN55" s="197">
        <f t="shared" si="2"/>
        <v>0</v>
      </c>
      <c r="AO55" s="146"/>
      <c r="AP55" s="147">
        <f t="shared" si="3"/>
        <v>0</v>
      </c>
      <c r="AQ55" s="148"/>
      <c r="AR55" s="198"/>
      <c r="AS55" s="198"/>
      <c r="AT55" s="135"/>
      <c r="AU55" s="199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1"/>
      <c r="BG55" s="201"/>
      <c r="BH55" s="201"/>
      <c r="BI55" s="201"/>
      <c r="BJ55" s="201"/>
      <c r="BK55" s="201"/>
      <c r="BL55" s="201"/>
      <c r="BM55" s="201"/>
      <c r="BN55" s="201"/>
      <c r="BO55" s="201"/>
      <c r="BP55" s="201"/>
      <c r="BQ55" s="201"/>
      <c r="BR55" s="199"/>
      <c r="BS55" s="200"/>
      <c r="BT55" s="200"/>
      <c r="BU55" s="200"/>
      <c r="BV55" s="200"/>
      <c r="BW55" s="200"/>
      <c r="BX55" s="200"/>
      <c r="BY55" s="200"/>
      <c r="BZ55" s="200"/>
      <c r="CA55" s="200"/>
      <c r="CB55" s="200"/>
      <c r="CC55" s="202"/>
      <c r="CD55" s="199"/>
      <c r="CE55" s="194"/>
      <c r="CF55" s="195"/>
      <c r="CG55" s="195"/>
      <c r="CH55" s="195"/>
      <c r="CI55" s="195"/>
      <c r="CJ55" s="195"/>
      <c r="CK55" s="195"/>
      <c r="CL55" s="195"/>
      <c r="CM55" s="195"/>
      <c r="CN55" s="195"/>
      <c r="CO55" s="347"/>
      <c r="CP55" s="200"/>
      <c r="CQ55" s="201"/>
      <c r="CR55" s="202"/>
      <c r="CS55" s="203">
        <f>SUM(AU55:CR55)</f>
        <v>0</v>
      </c>
      <c r="CT55" s="146"/>
      <c r="CU55" s="147">
        <f t="shared" si="4"/>
        <v>0</v>
      </c>
      <c r="CV55" s="156"/>
      <c r="CW55" s="157" t="e">
        <f t="shared" si="5"/>
        <v>#DIV/0!</v>
      </c>
      <c r="CX55" s="157" t="e">
        <f t="shared" si="6"/>
        <v>#DIV/0!</v>
      </c>
      <c r="CY55" s="157" t="e">
        <f>(SUM(AU55:BQ55))/$K55</f>
        <v>#DIV/0!</v>
      </c>
      <c r="CZ55" s="157" t="e">
        <f t="shared" si="8"/>
        <v>#DIV/0!</v>
      </c>
      <c r="DA55" s="157" t="e">
        <f t="shared" si="9"/>
        <v>#DIV/0!</v>
      </c>
      <c r="DB55" s="158" t="e">
        <f t="shared" si="10"/>
        <v>#DIV/0!</v>
      </c>
      <c r="DC55" s="131"/>
      <c r="DD55" s="159">
        <f>AP55</f>
        <v>0</v>
      </c>
      <c r="DE55" s="160">
        <f>CS55</f>
        <v>0</v>
      </c>
      <c r="DF55" s="161">
        <f>$DD55-DE55</f>
        <v>0</v>
      </c>
      <c r="DG55" s="162" t="e">
        <f>DF55/$DD55</f>
        <v>#DIV/0!</v>
      </c>
      <c r="DH55" s="163">
        <f>IF(AP55&gt;0.01,1,0)</f>
        <v>0</v>
      </c>
      <c r="DI55" s="164"/>
      <c r="DJ55" s="165">
        <f t="shared" si="50"/>
        <v>0</v>
      </c>
      <c r="DK55" s="166">
        <f t="shared" si="50"/>
        <v>0</v>
      </c>
      <c r="DL55" s="167" t="e">
        <f>DR55/DF55</f>
        <v>#DIV/0!</v>
      </c>
      <c r="DM55" s="168" t="e">
        <f>DL55/DK55</f>
        <v>#DIV/0!</v>
      </c>
      <c r="DN55" s="163" t="e">
        <f>IF(DM55&gt;0.01,1,0)</f>
        <v>#DIV/0!</v>
      </c>
      <c r="DO55" s="169"/>
      <c r="DP55" s="170"/>
      <c r="DQ55" s="171"/>
      <c r="DR55" s="172">
        <f>DP55+DQ55</f>
        <v>0</v>
      </c>
      <c r="DS55" s="173" t="e">
        <f>IF(DL55=0,0,DP55/DR55)</f>
        <v>#DIV/0!</v>
      </c>
      <c r="DT55" s="163" t="e">
        <f>IF(DS55&gt;0.01,1,0)</f>
        <v>#DIV/0!</v>
      </c>
      <c r="DU55" s="174"/>
      <c r="DV55" s="175" t="e">
        <f>DG55*DM55*DS55</f>
        <v>#DIV/0!</v>
      </c>
      <c r="DW55" s="163">
        <f t="shared" si="24"/>
        <v>0</v>
      </c>
      <c r="DX55" s="164"/>
      <c r="DY55" s="176">
        <f>DP55</f>
        <v>0</v>
      </c>
      <c r="DZ55" s="177">
        <f>DK55</f>
        <v>0</v>
      </c>
      <c r="EA55" s="178">
        <f>+AP55</f>
        <v>0</v>
      </c>
      <c r="EB55" s="179">
        <f>DZ55*EA55</f>
        <v>0</v>
      </c>
      <c r="EC55" s="180"/>
      <c r="ED55" s="175" t="e">
        <f>DY55/EB55</f>
        <v>#DIV/0!</v>
      </c>
      <c r="EE55" s="163">
        <f t="shared" si="30"/>
        <v>0</v>
      </c>
      <c r="EF55" s="164"/>
      <c r="EG55" s="181">
        <f>DP55</f>
        <v>0</v>
      </c>
      <c r="EH55" s="182">
        <f t="shared" si="32"/>
        <v>0</v>
      </c>
      <c r="EI55" s="182">
        <f t="shared" si="33"/>
        <v>0</v>
      </c>
      <c r="EJ55" s="182">
        <f t="shared" si="34"/>
        <v>0</v>
      </c>
      <c r="EK55" s="183">
        <f>(EH55-EI55)*EJ55</f>
        <v>0</v>
      </c>
      <c r="EL55" s="184" t="e">
        <f>EG55/EK55</f>
        <v>#DIV/0!</v>
      </c>
      <c r="EM55" s="185">
        <f>IF(EK55&gt;0.01,1,0)</f>
        <v>0</v>
      </c>
      <c r="EN55" s="164"/>
      <c r="EO55" s="181">
        <f>EG55</f>
        <v>0</v>
      </c>
      <c r="EP55" s="183">
        <f>EJ55</f>
        <v>0</v>
      </c>
      <c r="EQ55" s="184" t="e">
        <f t="shared" si="40"/>
        <v>#DIV/0!</v>
      </c>
      <c r="ER55" s="185">
        <f t="shared" si="41"/>
        <v>0</v>
      </c>
      <c r="ES55" s="164"/>
      <c r="ET55" s="164"/>
      <c r="EU55" s="186">
        <f>DK55</f>
        <v>0</v>
      </c>
      <c r="EV55" s="186">
        <f>CU55</f>
        <v>0</v>
      </c>
      <c r="EW55" s="186">
        <f t="shared" si="44"/>
        <v>0</v>
      </c>
      <c r="EX55" s="186">
        <f>DR55</f>
        <v>0</v>
      </c>
      <c r="EY55" s="131"/>
      <c r="EZ55" s="187">
        <f>EW55-EX55</f>
        <v>0</v>
      </c>
      <c r="FA55" s="188" t="e">
        <f t="shared" si="47"/>
        <v>#DIV/0!</v>
      </c>
      <c r="FB55" s="189"/>
      <c r="FC55" s="131"/>
      <c r="FD55" s="131"/>
      <c r="FE55" s="131"/>
      <c r="FF55" s="131"/>
      <c r="FG55" s="131"/>
    </row>
    <row r="56" spans="2:163" ht="16" outlineLevel="1" thickBot="1" x14ac:dyDescent="0.4">
      <c r="B56" s="356"/>
      <c r="C56" s="353"/>
      <c r="D56" s="133"/>
      <c r="E56" s="134"/>
      <c r="F56" s="135"/>
      <c r="G56" s="136"/>
      <c r="H56" s="137"/>
      <c r="I56" s="138">
        <f>IF(E56&gt;0.0001,11,0)</f>
        <v>0</v>
      </c>
      <c r="J56" s="139"/>
      <c r="K56" s="140">
        <f>E56*60</f>
        <v>0</v>
      </c>
      <c r="L56" s="141"/>
      <c r="M56" s="142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2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4"/>
      <c r="AN56" s="145">
        <f t="shared" si="2"/>
        <v>0</v>
      </c>
      <c r="AO56" s="146"/>
      <c r="AP56" s="147">
        <f t="shared" si="3"/>
        <v>0</v>
      </c>
      <c r="AQ56" s="148"/>
      <c r="AR56" s="149"/>
      <c r="AS56" s="149"/>
      <c r="AT56" s="135"/>
      <c r="AU56" s="150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0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4"/>
      <c r="CD56" s="150"/>
      <c r="CE56" s="142"/>
      <c r="CF56" s="143"/>
      <c r="CG56" s="143"/>
      <c r="CH56" s="143"/>
      <c r="CI56" s="143"/>
      <c r="CJ56" s="143"/>
      <c r="CK56" s="143"/>
      <c r="CL56" s="143"/>
      <c r="CM56" s="143"/>
      <c r="CN56" s="143"/>
      <c r="CO56" s="346"/>
      <c r="CP56" s="151"/>
      <c r="CQ56" s="152"/>
      <c r="CR56" s="154"/>
      <c r="CS56" s="155">
        <f t="shared" si="48"/>
        <v>0</v>
      </c>
      <c r="CT56" s="146"/>
      <c r="CU56" s="147">
        <f t="shared" si="4"/>
        <v>0</v>
      </c>
      <c r="CV56" s="156"/>
      <c r="CW56" s="157" t="e">
        <f t="shared" si="5"/>
        <v>#DIV/0!</v>
      </c>
      <c r="CX56" s="157" t="e">
        <f t="shared" si="6"/>
        <v>#DIV/0!</v>
      </c>
      <c r="CY56" s="157" t="e">
        <f t="shared" si="7"/>
        <v>#DIV/0!</v>
      </c>
      <c r="CZ56" s="157" t="e">
        <f t="shared" si="8"/>
        <v>#DIV/0!</v>
      </c>
      <c r="DA56" s="157" t="e">
        <f t="shared" si="9"/>
        <v>#DIV/0!</v>
      </c>
      <c r="DB56" s="158" t="e">
        <f t="shared" si="10"/>
        <v>#DIV/0!</v>
      </c>
      <c r="DC56" s="131"/>
      <c r="DD56" s="159">
        <f t="shared" si="11"/>
        <v>0</v>
      </c>
      <c r="DE56" s="160">
        <f t="shared" si="12"/>
        <v>0</v>
      </c>
      <c r="DF56" s="161">
        <f t="shared" si="13"/>
        <v>0</v>
      </c>
      <c r="DG56" s="162" t="e">
        <f t="shared" si="14"/>
        <v>#DIV/0!</v>
      </c>
      <c r="DH56" s="163">
        <f t="shared" si="15"/>
        <v>0</v>
      </c>
      <c r="DI56" s="164"/>
      <c r="DJ56" s="165">
        <f t="shared" si="50"/>
        <v>0</v>
      </c>
      <c r="DK56" s="166">
        <f t="shared" si="50"/>
        <v>0</v>
      </c>
      <c r="DL56" s="167" t="e">
        <f t="shared" si="17"/>
        <v>#DIV/0!</v>
      </c>
      <c r="DM56" s="168" t="e">
        <f t="shared" si="18"/>
        <v>#DIV/0!</v>
      </c>
      <c r="DN56" s="163" t="e">
        <f t="shared" si="19"/>
        <v>#DIV/0!</v>
      </c>
      <c r="DO56" s="169"/>
      <c r="DP56" s="170"/>
      <c r="DQ56" s="171"/>
      <c r="DR56" s="172">
        <f t="shared" si="20"/>
        <v>0</v>
      </c>
      <c r="DS56" s="173" t="e">
        <f t="shared" si="21"/>
        <v>#DIV/0!</v>
      </c>
      <c r="DT56" s="163" t="e">
        <f t="shared" si="22"/>
        <v>#DIV/0!</v>
      </c>
      <c r="DU56" s="174"/>
      <c r="DV56" s="175" t="e">
        <f t="shared" si="23"/>
        <v>#DIV/0!</v>
      </c>
      <c r="DW56" s="163">
        <f t="shared" si="24"/>
        <v>0</v>
      </c>
      <c r="DX56" s="164"/>
      <c r="DY56" s="176">
        <f t="shared" si="25"/>
        <v>0</v>
      </c>
      <c r="DZ56" s="177">
        <f t="shared" si="26"/>
        <v>0</v>
      </c>
      <c r="EA56" s="178">
        <f t="shared" si="27"/>
        <v>0</v>
      </c>
      <c r="EB56" s="179">
        <f t="shared" si="28"/>
        <v>0</v>
      </c>
      <c r="EC56" s="180"/>
      <c r="ED56" s="175" t="e">
        <f t="shared" si="29"/>
        <v>#DIV/0!</v>
      </c>
      <c r="EE56" s="163">
        <f t="shared" si="30"/>
        <v>0</v>
      </c>
      <c r="EF56" s="164"/>
      <c r="EG56" s="181">
        <f t="shared" si="31"/>
        <v>0</v>
      </c>
      <c r="EH56" s="182">
        <f t="shared" si="32"/>
        <v>0</v>
      </c>
      <c r="EI56" s="182">
        <f t="shared" si="33"/>
        <v>0</v>
      </c>
      <c r="EJ56" s="182">
        <f t="shared" si="34"/>
        <v>0</v>
      </c>
      <c r="EK56" s="183">
        <f t="shared" si="35"/>
        <v>0</v>
      </c>
      <c r="EL56" s="184" t="e">
        <f t="shared" si="36"/>
        <v>#DIV/0!</v>
      </c>
      <c r="EM56" s="185">
        <f t="shared" si="37"/>
        <v>0</v>
      </c>
      <c r="EN56" s="164"/>
      <c r="EO56" s="181">
        <f t="shared" si="38"/>
        <v>0</v>
      </c>
      <c r="EP56" s="183">
        <f t="shared" si="39"/>
        <v>0</v>
      </c>
      <c r="EQ56" s="184" t="e">
        <f t="shared" si="40"/>
        <v>#DIV/0!</v>
      </c>
      <c r="ER56" s="185">
        <f t="shared" si="41"/>
        <v>0</v>
      </c>
      <c r="ES56" s="164"/>
      <c r="ET56" s="164"/>
      <c r="EU56" s="186">
        <f t="shared" si="42"/>
        <v>0</v>
      </c>
      <c r="EV56" s="186">
        <f t="shared" si="43"/>
        <v>0</v>
      </c>
      <c r="EW56" s="186">
        <f t="shared" si="44"/>
        <v>0</v>
      </c>
      <c r="EX56" s="186">
        <f t="shared" si="45"/>
        <v>0</v>
      </c>
      <c r="EY56" s="131"/>
      <c r="EZ56" s="187">
        <f t="shared" si="46"/>
        <v>0</v>
      </c>
      <c r="FA56" s="188" t="e">
        <f t="shared" si="47"/>
        <v>#DIV/0!</v>
      </c>
      <c r="FB56" s="189"/>
      <c r="FC56" s="131"/>
      <c r="FD56" s="131"/>
      <c r="FE56" s="131"/>
      <c r="FF56" s="131"/>
      <c r="FG56" s="131"/>
    </row>
    <row r="57" spans="2:163" s="220" customFormat="1" ht="16" outlineLevel="1" thickBot="1" x14ac:dyDescent="0.4">
      <c r="B57" s="357"/>
      <c r="C57" s="354"/>
      <c r="D57" s="240"/>
      <c r="E57" s="191"/>
      <c r="F57" s="135"/>
      <c r="G57" s="192"/>
      <c r="H57" s="137"/>
      <c r="I57" s="138">
        <f>IF(E57&gt;0.0001,11,0)</f>
        <v>0</v>
      </c>
      <c r="J57" s="139"/>
      <c r="K57" s="193">
        <f t="shared" ref="K57:K58" si="51">E57*60</f>
        <v>0</v>
      </c>
      <c r="L57" s="141"/>
      <c r="M57" s="194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4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6"/>
      <c r="AN57" s="197">
        <f t="shared" si="2"/>
        <v>0</v>
      </c>
      <c r="AO57" s="146"/>
      <c r="AP57" s="147">
        <f t="shared" si="3"/>
        <v>0</v>
      </c>
      <c r="AQ57" s="221"/>
      <c r="AR57" s="198"/>
      <c r="AS57" s="198"/>
      <c r="AT57" s="222"/>
      <c r="AU57" s="228"/>
      <c r="AV57" s="229"/>
      <c r="AW57" s="229"/>
      <c r="AX57" s="229"/>
      <c r="AY57" s="229"/>
      <c r="AZ57" s="229"/>
      <c r="BA57" s="229"/>
      <c r="BB57" s="229"/>
      <c r="BC57" s="229"/>
      <c r="BD57" s="229"/>
      <c r="BE57" s="229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28"/>
      <c r="BS57" s="229"/>
      <c r="BT57" s="229"/>
      <c r="BU57" s="229"/>
      <c r="BV57" s="229"/>
      <c r="BW57" s="229"/>
      <c r="BX57" s="229"/>
      <c r="BY57" s="229"/>
      <c r="BZ57" s="229"/>
      <c r="CA57" s="229"/>
      <c r="CB57" s="229"/>
      <c r="CC57" s="231"/>
      <c r="CD57" s="228"/>
      <c r="CE57" s="194"/>
      <c r="CF57" s="195"/>
      <c r="CG57" s="195"/>
      <c r="CH57" s="195"/>
      <c r="CI57" s="195"/>
      <c r="CJ57" s="195"/>
      <c r="CK57" s="195"/>
      <c r="CL57" s="195"/>
      <c r="CM57" s="195"/>
      <c r="CN57" s="195"/>
      <c r="CO57" s="350"/>
      <c r="CP57" s="229"/>
      <c r="CQ57" s="230"/>
      <c r="CR57" s="231"/>
      <c r="CS57" s="232">
        <f t="shared" si="48"/>
        <v>0</v>
      </c>
      <c r="CT57" s="146"/>
      <c r="CU57" s="147">
        <f t="shared" si="4"/>
        <v>0</v>
      </c>
      <c r="CV57" s="156"/>
      <c r="CW57" s="157" t="e">
        <f t="shared" si="5"/>
        <v>#DIV/0!</v>
      </c>
      <c r="CX57" s="157" t="e">
        <f t="shared" si="6"/>
        <v>#DIV/0!</v>
      </c>
      <c r="CY57" s="157" t="e">
        <f t="shared" si="7"/>
        <v>#DIV/0!</v>
      </c>
      <c r="CZ57" s="157" t="e">
        <f t="shared" si="8"/>
        <v>#DIV/0!</v>
      </c>
      <c r="DA57" s="157" t="e">
        <f t="shared" si="9"/>
        <v>#DIV/0!</v>
      </c>
      <c r="DB57" s="158" t="e">
        <f t="shared" si="10"/>
        <v>#DIV/0!</v>
      </c>
      <c r="DC57" s="131"/>
      <c r="DD57" s="159">
        <f t="shared" si="11"/>
        <v>0</v>
      </c>
      <c r="DE57" s="160">
        <f t="shared" si="12"/>
        <v>0</v>
      </c>
      <c r="DF57" s="161">
        <f t="shared" si="13"/>
        <v>0</v>
      </c>
      <c r="DG57" s="162" t="e">
        <f t="shared" si="14"/>
        <v>#DIV/0!</v>
      </c>
      <c r="DH57" s="163">
        <f t="shared" si="15"/>
        <v>0</v>
      </c>
      <c r="DI57" s="164"/>
      <c r="DJ57" s="165">
        <f t="shared" si="50"/>
        <v>0</v>
      </c>
      <c r="DK57" s="166">
        <f t="shared" si="50"/>
        <v>0</v>
      </c>
      <c r="DL57" s="167" t="e">
        <f t="shared" si="17"/>
        <v>#DIV/0!</v>
      </c>
      <c r="DM57" s="168" t="e">
        <f t="shared" si="18"/>
        <v>#DIV/0!</v>
      </c>
      <c r="DN57" s="163" t="e">
        <f t="shared" si="19"/>
        <v>#DIV/0!</v>
      </c>
      <c r="DO57" s="169"/>
      <c r="DP57" s="170"/>
      <c r="DQ57" s="171"/>
      <c r="DR57" s="172">
        <f t="shared" si="20"/>
        <v>0</v>
      </c>
      <c r="DS57" s="173" t="e">
        <f t="shared" si="21"/>
        <v>#DIV/0!</v>
      </c>
      <c r="DT57" s="163" t="e">
        <f t="shared" si="22"/>
        <v>#DIV/0!</v>
      </c>
      <c r="DU57" s="174"/>
      <c r="DV57" s="175" t="e">
        <f t="shared" si="23"/>
        <v>#DIV/0!</v>
      </c>
      <c r="DW57" s="163">
        <f t="shared" si="24"/>
        <v>0</v>
      </c>
      <c r="DX57" s="164"/>
      <c r="DY57" s="176">
        <f t="shared" si="25"/>
        <v>0</v>
      </c>
      <c r="DZ57" s="177">
        <f t="shared" si="26"/>
        <v>0</v>
      </c>
      <c r="EA57" s="178">
        <f t="shared" si="27"/>
        <v>0</v>
      </c>
      <c r="EB57" s="179">
        <f t="shared" si="28"/>
        <v>0</v>
      </c>
      <c r="EC57" s="180"/>
      <c r="ED57" s="175" t="e">
        <f t="shared" si="29"/>
        <v>#DIV/0!</v>
      </c>
      <c r="EE57" s="163">
        <f t="shared" si="30"/>
        <v>0</v>
      </c>
      <c r="EF57" s="164"/>
      <c r="EG57" s="181">
        <f t="shared" si="31"/>
        <v>0</v>
      </c>
      <c r="EH57" s="182">
        <f t="shared" si="32"/>
        <v>0</v>
      </c>
      <c r="EI57" s="182">
        <f t="shared" si="33"/>
        <v>0</v>
      </c>
      <c r="EJ57" s="182">
        <f t="shared" si="34"/>
        <v>0</v>
      </c>
      <c r="EK57" s="183">
        <f t="shared" si="35"/>
        <v>0</v>
      </c>
      <c r="EL57" s="184" t="e">
        <f t="shared" si="36"/>
        <v>#DIV/0!</v>
      </c>
      <c r="EM57" s="185">
        <f t="shared" si="37"/>
        <v>0</v>
      </c>
      <c r="EN57" s="164"/>
      <c r="EO57" s="181">
        <f t="shared" si="38"/>
        <v>0</v>
      </c>
      <c r="EP57" s="183">
        <f t="shared" si="39"/>
        <v>0</v>
      </c>
      <c r="EQ57" s="184" t="e">
        <f t="shared" si="40"/>
        <v>#DIV/0!</v>
      </c>
      <c r="ER57" s="185">
        <f t="shared" si="41"/>
        <v>0</v>
      </c>
      <c r="ES57" s="164"/>
      <c r="ET57" s="164"/>
      <c r="EU57" s="186">
        <f t="shared" si="42"/>
        <v>0</v>
      </c>
      <c r="EV57" s="186">
        <f t="shared" si="43"/>
        <v>0</v>
      </c>
      <c r="EW57" s="186">
        <f t="shared" si="44"/>
        <v>0</v>
      </c>
      <c r="EX57" s="186">
        <f t="shared" si="45"/>
        <v>0</v>
      </c>
      <c r="EY57" s="131"/>
      <c r="EZ57" s="187">
        <f t="shared" si="46"/>
        <v>0</v>
      </c>
      <c r="FA57" s="188" t="e">
        <f t="shared" si="47"/>
        <v>#DIV/0!</v>
      </c>
      <c r="FB57" s="189"/>
      <c r="FC57" s="219"/>
      <c r="FD57" s="219"/>
      <c r="FE57" s="219"/>
      <c r="FF57" s="219"/>
      <c r="FG57" s="219"/>
    </row>
    <row r="58" spans="2:163" ht="16" outlineLevel="1" thickBot="1" x14ac:dyDescent="0.4">
      <c r="B58" s="358"/>
      <c r="C58" s="355"/>
      <c r="D58" s="243"/>
      <c r="E58" s="244"/>
      <c r="F58" s="135"/>
      <c r="G58" s="192"/>
      <c r="H58" s="137"/>
      <c r="I58" s="138">
        <f t="shared" si="0"/>
        <v>0</v>
      </c>
      <c r="J58" s="139"/>
      <c r="K58" s="208">
        <f t="shared" si="51"/>
        <v>0</v>
      </c>
      <c r="L58" s="141"/>
      <c r="M58" s="209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09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1"/>
      <c r="AN58" s="212">
        <f t="shared" si="2"/>
        <v>0</v>
      </c>
      <c r="AO58" s="146"/>
      <c r="AP58" s="147">
        <f t="shared" si="3"/>
        <v>0</v>
      </c>
      <c r="AQ58" s="148"/>
      <c r="AR58" s="213"/>
      <c r="AS58" s="213"/>
      <c r="AT58" s="135"/>
      <c r="AU58" s="214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4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7"/>
      <c r="CD58" s="214"/>
      <c r="CE58" s="209"/>
      <c r="CF58" s="210"/>
      <c r="CG58" s="210"/>
      <c r="CH58" s="210"/>
      <c r="CI58" s="210"/>
      <c r="CJ58" s="210"/>
      <c r="CK58" s="210"/>
      <c r="CL58" s="210"/>
      <c r="CM58" s="210"/>
      <c r="CN58" s="210"/>
      <c r="CO58" s="348"/>
      <c r="CP58" s="215"/>
      <c r="CQ58" s="216"/>
      <c r="CR58" s="217"/>
      <c r="CS58" s="218">
        <f t="shared" si="48"/>
        <v>0</v>
      </c>
      <c r="CT58" s="146"/>
      <c r="CU58" s="147">
        <f t="shared" si="4"/>
        <v>0</v>
      </c>
      <c r="CV58" s="156"/>
      <c r="CW58" s="157" t="e">
        <f t="shared" si="5"/>
        <v>#DIV/0!</v>
      </c>
      <c r="CX58" s="157" t="e">
        <f t="shared" si="6"/>
        <v>#DIV/0!</v>
      </c>
      <c r="CY58" s="157" t="e">
        <f t="shared" si="7"/>
        <v>#DIV/0!</v>
      </c>
      <c r="CZ58" s="157" t="e">
        <f t="shared" si="8"/>
        <v>#DIV/0!</v>
      </c>
      <c r="DA58" s="157" t="e">
        <f t="shared" si="9"/>
        <v>#DIV/0!</v>
      </c>
      <c r="DB58" s="158" t="e">
        <f t="shared" si="10"/>
        <v>#DIV/0!</v>
      </c>
      <c r="DC58" s="131"/>
      <c r="DD58" s="159">
        <f t="shared" si="11"/>
        <v>0</v>
      </c>
      <c r="DE58" s="160">
        <f t="shared" si="12"/>
        <v>0</v>
      </c>
      <c r="DF58" s="161">
        <f t="shared" si="13"/>
        <v>0</v>
      </c>
      <c r="DG58" s="162" t="e">
        <f t="shared" si="14"/>
        <v>#DIV/0!</v>
      </c>
      <c r="DH58" s="163">
        <f t="shared" si="15"/>
        <v>0</v>
      </c>
      <c r="DI58" s="164"/>
      <c r="DJ58" s="165">
        <f t="shared" si="50"/>
        <v>0</v>
      </c>
      <c r="DK58" s="166">
        <f t="shared" si="50"/>
        <v>0</v>
      </c>
      <c r="DL58" s="167" t="e">
        <f t="shared" si="17"/>
        <v>#DIV/0!</v>
      </c>
      <c r="DM58" s="168" t="e">
        <f t="shared" si="18"/>
        <v>#DIV/0!</v>
      </c>
      <c r="DN58" s="163" t="e">
        <f t="shared" si="19"/>
        <v>#DIV/0!</v>
      </c>
      <c r="DO58" s="169"/>
      <c r="DP58" s="170"/>
      <c r="DQ58" s="171"/>
      <c r="DR58" s="172">
        <f t="shared" si="20"/>
        <v>0</v>
      </c>
      <c r="DS58" s="173" t="e">
        <f t="shared" si="21"/>
        <v>#DIV/0!</v>
      </c>
      <c r="DT58" s="163" t="e">
        <f t="shared" si="22"/>
        <v>#DIV/0!</v>
      </c>
      <c r="DU58" s="174"/>
      <c r="DV58" s="175" t="e">
        <f t="shared" si="23"/>
        <v>#DIV/0!</v>
      </c>
      <c r="DW58" s="163">
        <f t="shared" si="24"/>
        <v>0</v>
      </c>
      <c r="DX58" s="164"/>
      <c r="DY58" s="176">
        <f t="shared" si="25"/>
        <v>0</v>
      </c>
      <c r="DZ58" s="177">
        <f t="shared" si="26"/>
        <v>0</v>
      </c>
      <c r="EA58" s="178">
        <f t="shared" si="27"/>
        <v>0</v>
      </c>
      <c r="EB58" s="179">
        <f t="shared" si="28"/>
        <v>0</v>
      </c>
      <c r="EC58" s="180"/>
      <c r="ED58" s="175" t="e">
        <f t="shared" si="29"/>
        <v>#DIV/0!</v>
      </c>
      <c r="EE58" s="163">
        <f t="shared" si="30"/>
        <v>0</v>
      </c>
      <c r="EF58" s="164"/>
      <c r="EG58" s="181">
        <f t="shared" si="31"/>
        <v>0</v>
      </c>
      <c r="EH58" s="182">
        <f t="shared" si="32"/>
        <v>0</v>
      </c>
      <c r="EI58" s="182">
        <f t="shared" si="33"/>
        <v>0</v>
      </c>
      <c r="EJ58" s="182">
        <f t="shared" si="34"/>
        <v>0</v>
      </c>
      <c r="EK58" s="183">
        <f t="shared" si="35"/>
        <v>0</v>
      </c>
      <c r="EL58" s="184" t="e">
        <f t="shared" si="36"/>
        <v>#DIV/0!</v>
      </c>
      <c r="EM58" s="185">
        <f t="shared" si="37"/>
        <v>0</v>
      </c>
      <c r="EN58" s="164"/>
      <c r="EO58" s="181">
        <f t="shared" si="38"/>
        <v>0</v>
      </c>
      <c r="EP58" s="183">
        <f t="shared" si="39"/>
        <v>0</v>
      </c>
      <c r="EQ58" s="184" t="e">
        <f t="shared" si="40"/>
        <v>#DIV/0!</v>
      </c>
      <c r="ER58" s="185">
        <f t="shared" si="41"/>
        <v>0</v>
      </c>
      <c r="ES58" s="164"/>
      <c r="ET58" s="164"/>
      <c r="EU58" s="186">
        <f t="shared" si="42"/>
        <v>0</v>
      </c>
      <c r="EV58" s="186">
        <f t="shared" si="43"/>
        <v>0</v>
      </c>
      <c r="EW58" s="186">
        <f t="shared" si="44"/>
        <v>0</v>
      </c>
      <c r="EX58" s="186">
        <f t="shared" si="45"/>
        <v>0</v>
      </c>
      <c r="EY58" s="131"/>
      <c r="EZ58" s="187">
        <f t="shared" si="46"/>
        <v>0</v>
      </c>
      <c r="FA58" s="188" t="e">
        <f t="shared" si="47"/>
        <v>#DIV/0!</v>
      </c>
      <c r="FB58" s="189"/>
      <c r="FC58" s="219"/>
      <c r="FD58" s="219"/>
      <c r="FE58" s="131"/>
      <c r="FF58" s="131"/>
      <c r="FG58" s="131"/>
    </row>
    <row r="59" spans="2:163" s="220" customFormat="1" ht="16" outlineLevel="1" thickBot="1" x14ac:dyDescent="0.4">
      <c r="B59" s="356"/>
      <c r="C59" s="353"/>
      <c r="D59" s="133"/>
      <c r="E59" s="134"/>
      <c r="F59" s="135"/>
      <c r="G59" s="136"/>
      <c r="H59" s="137"/>
      <c r="I59" s="138">
        <f t="shared" si="0"/>
        <v>0</v>
      </c>
      <c r="J59" s="139"/>
      <c r="K59" s="140">
        <f>E59*60</f>
        <v>0</v>
      </c>
      <c r="L59" s="141"/>
      <c r="M59" s="142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2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4"/>
      <c r="AN59" s="145">
        <f t="shared" si="2"/>
        <v>0</v>
      </c>
      <c r="AO59" s="146"/>
      <c r="AP59" s="147">
        <f t="shared" si="3"/>
        <v>0</v>
      </c>
      <c r="AQ59" s="221"/>
      <c r="AR59" s="149"/>
      <c r="AS59" s="149"/>
      <c r="AT59" s="222"/>
      <c r="AU59" s="223"/>
      <c r="AV59" s="224"/>
      <c r="AW59" s="224"/>
      <c r="AX59" s="224"/>
      <c r="AY59" s="224"/>
      <c r="AZ59" s="224"/>
      <c r="BA59" s="224"/>
      <c r="BB59" s="224"/>
      <c r="BC59" s="224"/>
      <c r="BD59" s="224"/>
      <c r="BE59" s="224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3"/>
      <c r="BS59" s="224"/>
      <c r="BT59" s="224"/>
      <c r="BU59" s="224"/>
      <c r="BV59" s="224"/>
      <c r="BW59" s="224"/>
      <c r="BX59" s="224"/>
      <c r="BY59" s="224"/>
      <c r="BZ59" s="224"/>
      <c r="CA59" s="224"/>
      <c r="CB59" s="224"/>
      <c r="CC59" s="226"/>
      <c r="CD59" s="223"/>
      <c r="CE59" s="142"/>
      <c r="CF59" s="143"/>
      <c r="CG59" s="143"/>
      <c r="CH59" s="143"/>
      <c r="CI59" s="143"/>
      <c r="CJ59" s="143"/>
      <c r="CK59" s="143"/>
      <c r="CL59" s="143"/>
      <c r="CM59" s="143"/>
      <c r="CN59" s="143"/>
      <c r="CO59" s="349"/>
      <c r="CP59" s="224"/>
      <c r="CQ59" s="225"/>
      <c r="CR59" s="226"/>
      <c r="CS59" s="227">
        <f t="shared" si="48"/>
        <v>0</v>
      </c>
      <c r="CT59" s="146"/>
      <c r="CU59" s="147">
        <f t="shared" si="4"/>
        <v>0</v>
      </c>
      <c r="CV59" s="156"/>
      <c r="CW59" s="157" t="e">
        <f t="shared" si="5"/>
        <v>#DIV/0!</v>
      </c>
      <c r="CX59" s="157" t="e">
        <f t="shared" si="6"/>
        <v>#DIV/0!</v>
      </c>
      <c r="CY59" s="157" t="e">
        <f t="shared" si="7"/>
        <v>#DIV/0!</v>
      </c>
      <c r="CZ59" s="157" t="e">
        <f t="shared" si="8"/>
        <v>#DIV/0!</v>
      </c>
      <c r="DA59" s="157" t="e">
        <f t="shared" si="9"/>
        <v>#DIV/0!</v>
      </c>
      <c r="DB59" s="158" t="e">
        <f t="shared" si="10"/>
        <v>#DIV/0!</v>
      </c>
      <c r="DC59" s="131"/>
      <c r="DD59" s="159">
        <f t="shared" si="11"/>
        <v>0</v>
      </c>
      <c r="DE59" s="160">
        <f t="shared" si="12"/>
        <v>0</v>
      </c>
      <c r="DF59" s="161">
        <f t="shared" si="13"/>
        <v>0</v>
      </c>
      <c r="DG59" s="162" t="e">
        <f t="shared" si="14"/>
        <v>#DIV/0!</v>
      </c>
      <c r="DH59" s="163">
        <f t="shared" si="15"/>
        <v>0</v>
      </c>
      <c r="DI59" s="164"/>
      <c r="DJ59" s="165">
        <f t="shared" si="50"/>
        <v>0</v>
      </c>
      <c r="DK59" s="166">
        <f t="shared" si="50"/>
        <v>0</v>
      </c>
      <c r="DL59" s="167" t="e">
        <f t="shared" si="17"/>
        <v>#DIV/0!</v>
      </c>
      <c r="DM59" s="168" t="e">
        <f t="shared" si="18"/>
        <v>#DIV/0!</v>
      </c>
      <c r="DN59" s="163" t="e">
        <f t="shared" si="19"/>
        <v>#DIV/0!</v>
      </c>
      <c r="DO59" s="169"/>
      <c r="DP59" s="170"/>
      <c r="DQ59" s="171"/>
      <c r="DR59" s="172">
        <f t="shared" si="20"/>
        <v>0</v>
      </c>
      <c r="DS59" s="173" t="e">
        <f t="shared" si="21"/>
        <v>#DIV/0!</v>
      </c>
      <c r="DT59" s="163" t="e">
        <f t="shared" si="22"/>
        <v>#DIV/0!</v>
      </c>
      <c r="DU59" s="174"/>
      <c r="DV59" s="175" t="e">
        <f t="shared" si="23"/>
        <v>#DIV/0!</v>
      </c>
      <c r="DW59" s="163">
        <f t="shared" si="24"/>
        <v>0</v>
      </c>
      <c r="DX59" s="164"/>
      <c r="DY59" s="176">
        <f t="shared" si="25"/>
        <v>0</v>
      </c>
      <c r="DZ59" s="177">
        <f t="shared" si="26"/>
        <v>0</v>
      </c>
      <c r="EA59" s="178">
        <f t="shared" si="27"/>
        <v>0</v>
      </c>
      <c r="EB59" s="179">
        <f t="shared" si="28"/>
        <v>0</v>
      </c>
      <c r="EC59" s="180"/>
      <c r="ED59" s="175" t="e">
        <f t="shared" si="29"/>
        <v>#DIV/0!</v>
      </c>
      <c r="EE59" s="163">
        <f t="shared" si="30"/>
        <v>0</v>
      </c>
      <c r="EF59" s="164"/>
      <c r="EG59" s="181">
        <f t="shared" si="31"/>
        <v>0</v>
      </c>
      <c r="EH59" s="182">
        <f t="shared" si="32"/>
        <v>0</v>
      </c>
      <c r="EI59" s="182">
        <f t="shared" si="33"/>
        <v>0</v>
      </c>
      <c r="EJ59" s="182">
        <f t="shared" si="34"/>
        <v>0</v>
      </c>
      <c r="EK59" s="183">
        <f t="shared" si="35"/>
        <v>0</v>
      </c>
      <c r="EL59" s="184" t="e">
        <f t="shared" si="36"/>
        <v>#DIV/0!</v>
      </c>
      <c r="EM59" s="185">
        <f t="shared" si="37"/>
        <v>0</v>
      </c>
      <c r="EN59" s="164"/>
      <c r="EO59" s="181">
        <f t="shared" si="38"/>
        <v>0</v>
      </c>
      <c r="EP59" s="183">
        <f t="shared" si="39"/>
        <v>0</v>
      </c>
      <c r="EQ59" s="184" t="e">
        <f t="shared" si="40"/>
        <v>#DIV/0!</v>
      </c>
      <c r="ER59" s="185">
        <f t="shared" si="41"/>
        <v>0</v>
      </c>
      <c r="ES59" s="164"/>
      <c r="ET59" s="164"/>
      <c r="EU59" s="186">
        <f t="shared" si="42"/>
        <v>0</v>
      </c>
      <c r="EV59" s="186">
        <f t="shared" si="43"/>
        <v>0</v>
      </c>
      <c r="EW59" s="186">
        <f t="shared" si="44"/>
        <v>0</v>
      </c>
      <c r="EX59" s="186">
        <f t="shared" si="45"/>
        <v>0</v>
      </c>
      <c r="EY59" s="131"/>
      <c r="EZ59" s="187">
        <f t="shared" si="46"/>
        <v>0</v>
      </c>
      <c r="FA59" s="188" t="e">
        <f t="shared" si="47"/>
        <v>#DIV/0!</v>
      </c>
      <c r="FB59" s="189"/>
      <c r="FC59" s="219"/>
      <c r="FD59" s="219"/>
      <c r="FE59" s="219"/>
      <c r="FF59" s="219"/>
      <c r="FG59" s="219"/>
    </row>
    <row r="60" spans="2:163" s="220" customFormat="1" ht="16" outlineLevel="1" thickBot="1" x14ac:dyDescent="0.4">
      <c r="B60" s="357"/>
      <c r="C60" s="354"/>
      <c r="D60" s="240"/>
      <c r="E60" s="241"/>
      <c r="F60" s="135"/>
      <c r="G60" s="192"/>
      <c r="H60" s="242"/>
      <c r="I60" s="138">
        <f t="shared" si="0"/>
        <v>0</v>
      </c>
      <c r="J60" s="139"/>
      <c r="K60" s="193">
        <f t="shared" ref="K60:K61" si="52">E60*60</f>
        <v>0</v>
      </c>
      <c r="L60" s="141"/>
      <c r="M60" s="194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4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6"/>
      <c r="AN60" s="197">
        <f t="shared" si="2"/>
        <v>0</v>
      </c>
      <c r="AO60" s="146"/>
      <c r="AP60" s="147">
        <f t="shared" si="3"/>
        <v>0</v>
      </c>
      <c r="AQ60" s="221"/>
      <c r="AR60" s="198"/>
      <c r="AS60" s="198"/>
      <c r="AT60" s="222"/>
      <c r="AU60" s="228"/>
      <c r="AV60" s="229"/>
      <c r="AW60" s="229"/>
      <c r="AX60" s="229"/>
      <c r="AY60" s="229"/>
      <c r="AZ60" s="229"/>
      <c r="BA60" s="229"/>
      <c r="BB60" s="229"/>
      <c r="BC60" s="229"/>
      <c r="BD60" s="229"/>
      <c r="BE60" s="229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28"/>
      <c r="BS60" s="229"/>
      <c r="BT60" s="229"/>
      <c r="BU60" s="229"/>
      <c r="BV60" s="229"/>
      <c r="BW60" s="229"/>
      <c r="BX60" s="229"/>
      <c r="BY60" s="229"/>
      <c r="BZ60" s="229"/>
      <c r="CA60" s="229"/>
      <c r="CB60" s="229"/>
      <c r="CC60" s="231"/>
      <c r="CD60" s="228"/>
      <c r="CE60" s="194"/>
      <c r="CF60" s="195"/>
      <c r="CG60" s="195"/>
      <c r="CH60" s="195"/>
      <c r="CI60" s="195"/>
      <c r="CJ60" s="195"/>
      <c r="CK60" s="195"/>
      <c r="CL60" s="195"/>
      <c r="CM60" s="195"/>
      <c r="CN60" s="195"/>
      <c r="CO60" s="350"/>
      <c r="CP60" s="229"/>
      <c r="CQ60" s="230"/>
      <c r="CR60" s="231"/>
      <c r="CS60" s="232">
        <f t="shared" si="48"/>
        <v>0</v>
      </c>
      <c r="CT60" s="146"/>
      <c r="CU60" s="147">
        <f t="shared" si="4"/>
        <v>0</v>
      </c>
      <c r="CV60" s="156"/>
      <c r="CW60" s="157" t="e">
        <f t="shared" si="5"/>
        <v>#DIV/0!</v>
      </c>
      <c r="CX60" s="157" t="e">
        <f t="shared" si="6"/>
        <v>#DIV/0!</v>
      </c>
      <c r="CY60" s="157" t="e">
        <f t="shared" si="7"/>
        <v>#DIV/0!</v>
      </c>
      <c r="CZ60" s="157" t="e">
        <f t="shared" si="8"/>
        <v>#DIV/0!</v>
      </c>
      <c r="DA60" s="157" t="e">
        <f t="shared" si="9"/>
        <v>#DIV/0!</v>
      </c>
      <c r="DB60" s="158" t="e">
        <f t="shared" si="10"/>
        <v>#DIV/0!</v>
      </c>
      <c r="DC60" s="131"/>
      <c r="DD60" s="159">
        <f t="shared" si="11"/>
        <v>0</v>
      </c>
      <c r="DE60" s="160">
        <f t="shared" si="12"/>
        <v>0</v>
      </c>
      <c r="DF60" s="161">
        <f t="shared" si="13"/>
        <v>0</v>
      </c>
      <c r="DG60" s="162" t="e">
        <f t="shared" si="14"/>
        <v>#DIV/0!</v>
      </c>
      <c r="DH60" s="163">
        <f t="shared" si="15"/>
        <v>0</v>
      </c>
      <c r="DI60" s="164"/>
      <c r="DJ60" s="165">
        <f t="shared" si="50"/>
        <v>0</v>
      </c>
      <c r="DK60" s="166">
        <f t="shared" si="50"/>
        <v>0</v>
      </c>
      <c r="DL60" s="167" t="e">
        <f t="shared" si="17"/>
        <v>#DIV/0!</v>
      </c>
      <c r="DM60" s="168" t="e">
        <f t="shared" si="18"/>
        <v>#DIV/0!</v>
      </c>
      <c r="DN60" s="163" t="e">
        <f t="shared" si="19"/>
        <v>#DIV/0!</v>
      </c>
      <c r="DO60" s="169"/>
      <c r="DP60" s="170"/>
      <c r="DQ60" s="171"/>
      <c r="DR60" s="172">
        <f t="shared" si="20"/>
        <v>0</v>
      </c>
      <c r="DS60" s="173" t="e">
        <f t="shared" si="21"/>
        <v>#DIV/0!</v>
      </c>
      <c r="DT60" s="163" t="e">
        <f t="shared" si="22"/>
        <v>#DIV/0!</v>
      </c>
      <c r="DU60" s="174"/>
      <c r="DV60" s="175" t="e">
        <f t="shared" si="23"/>
        <v>#DIV/0!</v>
      </c>
      <c r="DW60" s="163">
        <f t="shared" si="24"/>
        <v>0</v>
      </c>
      <c r="DX60" s="164"/>
      <c r="DY60" s="176">
        <f t="shared" si="25"/>
        <v>0</v>
      </c>
      <c r="DZ60" s="177">
        <f t="shared" si="26"/>
        <v>0</v>
      </c>
      <c r="EA60" s="178">
        <f t="shared" si="27"/>
        <v>0</v>
      </c>
      <c r="EB60" s="179">
        <f t="shared" si="28"/>
        <v>0</v>
      </c>
      <c r="EC60" s="180"/>
      <c r="ED60" s="175" t="e">
        <f t="shared" si="29"/>
        <v>#DIV/0!</v>
      </c>
      <c r="EE60" s="163">
        <f t="shared" si="30"/>
        <v>0</v>
      </c>
      <c r="EF60" s="164"/>
      <c r="EG60" s="181">
        <f t="shared" si="31"/>
        <v>0</v>
      </c>
      <c r="EH60" s="182">
        <f t="shared" si="32"/>
        <v>0</v>
      </c>
      <c r="EI60" s="182">
        <f t="shared" si="33"/>
        <v>0</v>
      </c>
      <c r="EJ60" s="182">
        <f t="shared" si="34"/>
        <v>0</v>
      </c>
      <c r="EK60" s="183">
        <f t="shared" si="35"/>
        <v>0</v>
      </c>
      <c r="EL60" s="184" t="e">
        <f t="shared" si="36"/>
        <v>#DIV/0!</v>
      </c>
      <c r="EM60" s="185">
        <f t="shared" si="37"/>
        <v>0</v>
      </c>
      <c r="EN60" s="164"/>
      <c r="EO60" s="181">
        <f t="shared" si="38"/>
        <v>0</v>
      </c>
      <c r="EP60" s="183">
        <f t="shared" si="39"/>
        <v>0</v>
      </c>
      <c r="EQ60" s="184" t="e">
        <f t="shared" si="40"/>
        <v>#DIV/0!</v>
      </c>
      <c r="ER60" s="185">
        <f t="shared" si="41"/>
        <v>0</v>
      </c>
      <c r="ES60" s="164"/>
      <c r="ET60" s="164"/>
      <c r="EU60" s="186">
        <f t="shared" si="42"/>
        <v>0</v>
      </c>
      <c r="EV60" s="186">
        <f t="shared" si="43"/>
        <v>0</v>
      </c>
      <c r="EW60" s="186">
        <f t="shared" si="44"/>
        <v>0</v>
      </c>
      <c r="EX60" s="186">
        <f t="shared" si="45"/>
        <v>0</v>
      </c>
      <c r="EY60" s="131"/>
      <c r="EZ60" s="187">
        <f t="shared" si="46"/>
        <v>0</v>
      </c>
      <c r="FA60" s="188" t="e">
        <f t="shared" si="47"/>
        <v>#DIV/0!</v>
      </c>
      <c r="FB60" s="189"/>
      <c r="FC60" s="219"/>
      <c r="FD60" s="219"/>
      <c r="FE60" s="219"/>
      <c r="FF60" s="219"/>
      <c r="FG60" s="219"/>
    </row>
    <row r="61" spans="2:163" s="220" customFormat="1" ht="16" outlineLevel="1" thickBot="1" x14ac:dyDescent="0.4">
      <c r="B61" s="358"/>
      <c r="C61" s="355"/>
      <c r="D61" s="243"/>
      <c r="E61" s="244"/>
      <c r="F61" s="135"/>
      <c r="G61" s="192"/>
      <c r="H61" s="245"/>
      <c r="I61" s="138">
        <f t="shared" si="0"/>
        <v>0</v>
      </c>
      <c r="J61" s="139"/>
      <c r="K61" s="208">
        <f t="shared" si="52"/>
        <v>0</v>
      </c>
      <c r="L61" s="141"/>
      <c r="M61" s="209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09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1"/>
      <c r="AN61" s="212">
        <f t="shared" si="2"/>
        <v>0</v>
      </c>
      <c r="AO61" s="146"/>
      <c r="AP61" s="147">
        <f t="shared" si="3"/>
        <v>0</v>
      </c>
      <c r="AQ61" s="221"/>
      <c r="AR61" s="213"/>
      <c r="AS61" s="213"/>
      <c r="AT61" s="222"/>
      <c r="AU61" s="233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3"/>
      <c r="BS61" s="234"/>
      <c r="BT61" s="234"/>
      <c r="BU61" s="234"/>
      <c r="BV61" s="234"/>
      <c r="BW61" s="234"/>
      <c r="BX61" s="234"/>
      <c r="BY61" s="234"/>
      <c r="BZ61" s="234"/>
      <c r="CA61" s="234"/>
      <c r="CB61" s="234"/>
      <c r="CC61" s="236"/>
      <c r="CD61" s="233"/>
      <c r="CE61" s="209"/>
      <c r="CF61" s="210"/>
      <c r="CG61" s="210"/>
      <c r="CH61" s="210"/>
      <c r="CI61" s="210"/>
      <c r="CJ61" s="210"/>
      <c r="CK61" s="210"/>
      <c r="CL61" s="210"/>
      <c r="CM61" s="210"/>
      <c r="CN61" s="210"/>
      <c r="CO61" s="351"/>
      <c r="CP61" s="234"/>
      <c r="CQ61" s="235"/>
      <c r="CR61" s="236"/>
      <c r="CS61" s="237">
        <f t="shared" si="48"/>
        <v>0</v>
      </c>
      <c r="CT61" s="146"/>
      <c r="CU61" s="147">
        <f t="shared" si="4"/>
        <v>0</v>
      </c>
      <c r="CV61" s="156"/>
      <c r="CW61" s="157" t="e">
        <f t="shared" si="5"/>
        <v>#DIV/0!</v>
      </c>
      <c r="CX61" s="157" t="e">
        <f t="shared" si="6"/>
        <v>#DIV/0!</v>
      </c>
      <c r="CY61" s="157" t="e">
        <f t="shared" si="7"/>
        <v>#DIV/0!</v>
      </c>
      <c r="CZ61" s="157" t="e">
        <f t="shared" si="8"/>
        <v>#DIV/0!</v>
      </c>
      <c r="DA61" s="157" t="e">
        <f t="shared" si="9"/>
        <v>#DIV/0!</v>
      </c>
      <c r="DB61" s="158" t="e">
        <f t="shared" si="10"/>
        <v>#DIV/0!</v>
      </c>
      <c r="DC61" s="131"/>
      <c r="DD61" s="159">
        <f t="shared" si="11"/>
        <v>0</v>
      </c>
      <c r="DE61" s="160">
        <f t="shared" si="12"/>
        <v>0</v>
      </c>
      <c r="DF61" s="161">
        <f t="shared" si="13"/>
        <v>0</v>
      </c>
      <c r="DG61" s="162" t="e">
        <f t="shared" si="14"/>
        <v>#DIV/0!</v>
      </c>
      <c r="DH61" s="163">
        <f t="shared" si="15"/>
        <v>0</v>
      </c>
      <c r="DI61" s="164"/>
      <c r="DJ61" s="165">
        <f t="shared" si="50"/>
        <v>0</v>
      </c>
      <c r="DK61" s="166">
        <f t="shared" si="50"/>
        <v>0</v>
      </c>
      <c r="DL61" s="167" t="e">
        <f t="shared" si="17"/>
        <v>#DIV/0!</v>
      </c>
      <c r="DM61" s="168" t="e">
        <f t="shared" si="18"/>
        <v>#DIV/0!</v>
      </c>
      <c r="DN61" s="163" t="e">
        <f t="shared" si="19"/>
        <v>#DIV/0!</v>
      </c>
      <c r="DO61" s="169"/>
      <c r="DP61" s="170"/>
      <c r="DQ61" s="171"/>
      <c r="DR61" s="172">
        <f t="shared" si="20"/>
        <v>0</v>
      </c>
      <c r="DS61" s="173" t="e">
        <f t="shared" si="21"/>
        <v>#DIV/0!</v>
      </c>
      <c r="DT61" s="163" t="e">
        <f t="shared" si="22"/>
        <v>#DIV/0!</v>
      </c>
      <c r="DU61" s="174"/>
      <c r="DV61" s="175" t="e">
        <f t="shared" si="23"/>
        <v>#DIV/0!</v>
      </c>
      <c r="DW61" s="163">
        <f t="shared" si="24"/>
        <v>0</v>
      </c>
      <c r="DX61" s="164"/>
      <c r="DY61" s="176">
        <f t="shared" si="25"/>
        <v>0</v>
      </c>
      <c r="DZ61" s="177">
        <f t="shared" si="26"/>
        <v>0</v>
      </c>
      <c r="EA61" s="178">
        <f t="shared" si="27"/>
        <v>0</v>
      </c>
      <c r="EB61" s="179">
        <f t="shared" si="28"/>
        <v>0</v>
      </c>
      <c r="EC61" s="180"/>
      <c r="ED61" s="175" t="e">
        <f t="shared" si="29"/>
        <v>#DIV/0!</v>
      </c>
      <c r="EE61" s="163">
        <f t="shared" si="30"/>
        <v>0</v>
      </c>
      <c r="EF61" s="164"/>
      <c r="EG61" s="181">
        <f t="shared" si="31"/>
        <v>0</v>
      </c>
      <c r="EH61" s="182">
        <f t="shared" si="32"/>
        <v>0</v>
      </c>
      <c r="EI61" s="182">
        <f t="shared" si="33"/>
        <v>0</v>
      </c>
      <c r="EJ61" s="182">
        <f t="shared" si="34"/>
        <v>0</v>
      </c>
      <c r="EK61" s="183">
        <f t="shared" si="35"/>
        <v>0</v>
      </c>
      <c r="EL61" s="184" t="e">
        <f t="shared" si="36"/>
        <v>#DIV/0!</v>
      </c>
      <c r="EM61" s="185">
        <f t="shared" si="37"/>
        <v>0</v>
      </c>
      <c r="EN61" s="164"/>
      <c r="EO61" s="181">
        <f t="shared" si="38"/>
        <v>0</v>
      </c>
      <c r="EP61" s="183">
        <f t="shared" si="39"/>
        <v>0</v>
      </c>
      <c r="EQ61" s="184" t="e">
        <f t="shared" si="40"/>
        <v>#DIV/0!</v>
      </c>
      <c r="ER61" s="185">
        <f t="shared" si="41"/>
        <v>0</v>
      </c>
      <c r="ES61" s="164"/>
      <c r="ET61" s="164"/>
      <c r="EU61" s="186">
        <f t="shared" si="42"/>
        <v>0</v>
      </c>
      <c r="EV61" s="186">
        <f t="shared" si="43"/>
        <v>0</v>
      </c>
      <c r="EW61" s="186">
        <f t="shared" si="44"/>
        <v>0</v>
      </c>
      <c r="EX61" s="186">
        <f t="shared" si="45"/>
        <v>0</v>
      </c>
      <c r="EY61" s="131"/>
      <c r="EZ61" s="187">
        <f t="shared" si="46"/>
        <v>0</v>
      </c>
      <c r="FA61" s="188" t="e">
        <f t="shared" si="47"/>
        <v>#DIV/0!</v>
      </c>
      <c r="FB61" s="189"/>
      <c r="FC61" s="131"/>
      <c r="FD61" s="131"/>
      <c r="FE61" s="219"/>
      <c r="FF61" s="219"/>
      <c r="FG61" s="219"/>
    </row>
    <row r="62" spans="2:163" ht="16" outlineLevel="1" thickBot="1" x14ac:dyDescent="0.4">
      <c r="B62" s="356"/>
      <c r="C62" s="353"/>
      <c r="D62" s="133"/>
      <c r="E62" s="134"/>
      <c r="F62" s="135"/>
      <c r="G62" s="136"/>
      <c r="H62" s="137"/>
      <c r="I62" s="138">
        <f t="shared" si="0"/>
        <v>0</v>
      </c>
      <c r="J62" s="139"/>
      <c r="K62" s="140">
        <f>E62*60</f>
        <v>0</v>
      </c>
      <c r="L62" s="141"/>
      <c r="M62" s="142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2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4"/>
      <c r="AN62" s="145">
        <f t="shared" si="2"/>
        <v>0</v>
      </c>
      <c r="AO62" s="146"/>
      <c r="AP62" s="147">
        <f t="shared" si="3"/>
        <v>0</v>
      </c>
      <c r="AQ62" s="148"/>
      <c r="AR62" s="149"/>
      <c r="AS62" s="149"/>
      <c r="AT62" s="135"/>
      <c r="AU62" s="150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0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4"/>
      <c r="CD62" s="150"/>
      <c r="CE62" s="142"/>
      <c r="CF62" s="143"/>
      <c r="CG62" s="143"/>
      <c r="CH62" s="143"/>
      <c r="CI62" s="143"/>
      <c r="CJ62" s="143"/>
      <c r="CK62" s="143"/>
      <c r="CL62" s="143"/>
      <c r="CM62" s="143"/>
      <c r="CN62" s="143"/>
      <c r="CO62" s="346"/>
      <c r="CP62" s="151"/>
      <c r="CQ62" s="152"/>
      <c r="CR62" s="154"/>
      <c r="CS62" s="155">
        <f t="shared" si="48"/>
        <v>0</v>
      </c>
      <c r="CT62" s="146"/>
      <c r="CU62" s="147">
        <f t="shared" si="4"/>
        <v>0</v>
      </c>
      <c r="CV62" s="156"/>
      <c r="CW62" s="157" t="e">
        <f t="shared" si="5"/>
        <v>#DIV/0!</v>
      </c>
      <c r="CX62" s="157" t="e">
        <f t="shared" si="6"/>
        <v>#DIV/0!</v>
      </c>
      <c r="CY62" s="157" t="e">
        <f t="shared" si="7"/>
        <v>#DIV/0!</v>
      </c>
      <c r="CZ62" s="157" t="e">
        <f t="shared" si="8"/>
        <v>#DIV/0!</v>
      </c>
      <c r="DA62" s="157" t="e">
        <f t="shared" si="9"/>
        <v>#DIV/0!</v>
      </c>
      <c r="DB62" s="158" t="e">
        <f t="shared" si="10"/>
        <v>#DIV/0!</v>
      </c>
      <c r="DC62" s="131"/>
      <c r="DD62" s="159">
        <f t="shared" si="11"/>
        <v>0</v>
      </c>
      <c r="DE62" s="160">
        <f t="shared" si="12"/>
        <v>0</v>
      </c>
      <c r="DF62" s="161">
        <f t="shared" si="13"/>
        <v>0</v>
      </c>
      <c r="DG62" s="162" t="e">
        <f t="shared" si="14"/>
        <v>#DIV/0!</v>
      </c>
      <c r="DH62" s="163">
        <f t="shared" si="15"/>
        <v>0</v>
      </c>
      <c r="DI62" s="164"/>
      <c r="DJ62" s="165">
        <f t="shared" si="50"/>
        <v>0</v>
      </c>
      <c r="DK62" s="166">
        <f t="shared" si="50"/>
        <v>0</v>
      </c>
      <c r="DL62" s="167" t="e">
        <f t="shared" si="17"/>
        <v>#DIV/0!</v>
      </c>
      <c r="DM62" s="168" t="e">
        <f t="shared" si="18"/>
        <v>#DIV/0!</v>
      </c>
      <c r="DN62" s="163" t="e">
        <f t="shared" si="19"/>
        <v>#DIV/0!</v>
      </c>
      <c r="DO62" s="169"/>
      <c r="DP62" s="170"/>
      <c r="DQ62" s="171"/>
      <c r="DR62" s="172">
        <f t="shared" si="20"/>
        <v>0</v>
      </c>
      <c r="DS62" s="173" t="e">
        <f t="shared" si="21"/>
        <v>#DIV/0!</v>
      </c>
      <c r="DT62" s="163" t="e">
        <f t="shared" si="22"/>
        <v>#DIV/0!</v>
      </c>
      <c r="DU62" s="174"/>
      <c r="DV62" s="175" t="e">
        <f t="shared" si="23"/>
        <v>#DIV/0!</v>
      </c>
      <c r="DW62" s="163">
        <f t="shared" si="24"/>
        <v>0</v>
      </c>
      <c r="DX62" s="164"/>
      <c r="DY62" s="176">
        <f t="shared" si="25"/>
        <v>0</v>
      </c>
      <c r="DZ62" s="177">
        <f t="shared" si="26"/>
        <v>0</v>
      </c>
      <c r="EA62" s="178">
        <f t="shared" si="27"/>
        <v>0</v>
      </c>
      <c r="EB62" s="179">
        <f t="shared" si="28"/>
        <v>0</v>
      </c>
      <c r="EC62" s="180"/>
      <c r="ED62" s="175" t="e">
        <f t="shared" si="29"/>
        <v>#DIV/0!</v>
      </c>
      <c r="EE62" s="163">
        <f t="shared" si="30"/>
        <v>0</v>
      </c>
      <c r="EF62" s="164"/>
      <c r="EG62" s="181">
        <f t="shared" si="31"/>
        <v>0</v>
      </c>
      <c r="EH62" s="182">
        <f t="shared" si="32"/>
        <v>0</v>
      </c>
      <c r="EI62" s="182">
        <f t="shared" si="33"/>
        <v>0</v>
      </c>
      <c r="EJ62" s="182">
        <f t="shared" si="34"/>
        <v>0</v>
      </c>
      <c r="EK62" s="183">
        <f t="shared" si="35"/>
        <v>0</v>
      </c>
      <c r="EL62" s="184" t="e">
        <f t="shared" si="36"/>
        <v>#DIV/0!</v>
      </c>
      <c r="EM62" s="185">
        <f t="shared" si="37"/>
        <v>0</v>
      </c>
      <c r="EN62" s="164"/>
      <c r="EO62" s="181">
        <f t="shared" si="38"/>
        <v>0</v>
      </c>
      <c r="EP62" s="183">
        <f t="shared" si="39"/>
        <v>0</v>
      </c>
      <c r="EQ62" s="184" t="e">
        <f t="shared" si="40"/>
        <v>#DIV/0!</v>
      </c>
      <c r="ER62" s="185">
        <f t="shared" si="41"/>
        <v>0</v>
      </c>
      <c r="ES62" s="164"/>
      <c r="ET62" s="164"/>
      <c r="EU62" s="186">
        <f t="shared" si="42"/>
        <v>0</v>
      </c>
      <c r="EV62" s="186">
        <f t="shared" si="43"/>
        <v>0</v>
      </c>
      <c r="EW62" s="186">
        <f t="shared" si="44"/>
        <v>0</v>
      </c>
      <c r="EX62" s="186">
        <f t="shared" si="45"/>
        <v>0</v>
      </c>
      <c r="EY62" s="131"/>
      <c r="EZ62" s="187">
        <f t="shared" si="46"/>
        <v>0</v>
      </c>
      <c r="FA62" s="188" t="e">
        <f t="shared" si="47"/>
        <v>#DIV/0!</v>
      </c>
      <c r="FB62" s="189"/>
      <c r="FC62" s="131"/>
      <c r="FD62" s="131"/>
      <c r="FE62" s="131"/>
      <c r="FF62" s="131"/>
      <c r="FG62" s="131"/>
    </row>
    <row r="63" spans="2:163" ht="16" outlineLevel="1" thickBot="1" x14ac:dyDescent="0.4">
      <c r="B63" s="357"/>
      <c r="C63" s="354"/>
      <c r="D63" s="240"/>
      <c r="E63" s="241"/>
      <c r="F63" s="135"/>
      <c r="G63" s="192"/>
      <c r="H63" s="242"/>
      <c r="I63" s="138">
        <f t="shared" si="0"/>
        <v>0</v>
      </c>
      <c r="J63" s="139"/>
      <c r="K63" s="193">
        <f t="shared" ref="K63:K64" si="53">E63*60</f>
        <v>0</v>
      </c>
      <c r="L63" s="141"/>
      <c r="M63" s="194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4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6"/>
      <c r="AN63" s="197">
        <f t="shared" si="2"/>
        <v>0</v>
      </c>
      <c r="AO63" s="146"/>
      <c r="AP63" s="147">
        <f t="shared" si="3"/>
        <v>0</v>
      </c>
      <c r="AQ63" s="148"/>
      <c r="AR63" s="198"/>
      <c r="AS63" s="198"/>
      <c r="AT63" s="135"/>
      <c r="AU63" s="199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1"/>
      <c r="BG63" s="201"/>
      <c r="BH63" s="201"/>
      <c r="BI63" s="201"/>
      <c r="BJ63" s="201"/>
      <c r="BK63" s="201"/>
      <c r="BL63" s="201"/>
      <c r="BM63" s="201"/>
      <c r="BN63" s="201"/>
      <c r="BO63" s="201"/>
      <c r="BP63" s="201"/>
      <c r="BQ63" s="201"/>
      <c r="BR63" s="199"/>
      <c r="BS63" s="200"/>
      <c r="BT63" s="200"/>
      <c r="BU63" s="200"/>
      <c r="BV63" s="200"/>
      <c r="BW63" s="200"/>
      <c r="BX63" s="200"/>
      <c r="BY63" s="200"/>
      <c r="BZ63" s="200"/>
      <c r="CA63" s="200"/>
      <c r="CB63" s="200"/>
      <c r="CC63" s="202"/>
      <c r="CD63" s="199"/>
      <c r="CE63" s="194"/>
      <c r="CF63" s="195"/>
      <c r="CG63" s="195"/>
      <c r="CH63" s="195"/>
      <c r="CI63" s="195"/>
      <c r="CJ63" s="195"/>
      <c r="CK63" s="195"/>
      <c r="CL63" s="195"/>
      <c r="CM63" s="195"/>
      <c r="CN63" s="195"/>
      <c r="CO63" s="347"/>
      <c r="CP63" s="200"/>
      <c r="CQ63" s="201"/>
      <c r="CR63" s="202"/>
      <c r="CS63" s="203">
        <f t="shared" si="48"/>
        <v>0</v>
      </c>
      <c r="CT63" s="146"/>
      <c r="CU63" s="147">
        <f t="shared" si="4"/>
        <v>0</v>
      </c>
      <c r="CV63" s="156"/>
      <c r="CW63" s="157" t="e">
        <f t="shared" si="5"/>
        <v>#DIV/0!</v>
      </c>
      <c r="CX63" s="157" t="e">
        <f t="shared" si="6"/>
        <v>#DIV/0!</v>
      </c>
      <c r="CY63" s="157" t="e">
        <f t="shared" si="7"/>
        <v>#DIV/0!</v>
      </c>
      <c r="CZ63" s="157" t="e">
        <f t="shared" si="8"/>
        <v>#DIV/0!</v>
      </c>
      <c r="DA63" s="157" t="e">
        <f t="shared" si="9"/>
        <v>#DIV/0!</v>
      </c>
      <c r="DB63" s="158" t="e">
        <f t="shared" si="10"/>
        <v>#DIV/0!</v>
      </c>
      <c r="DC63" s="131"/>
      <c r="DD63" s="159">
        <f t="shared" si="11"/>
        <v>0</v>
      </c>
      <c r="DE63" s="160">
        <f t="shared" si="12"/>
        <v>0</v>
      </c>
      <c r="DF63" s="161">
        <f t="shared" si="13"/>
        <v>0</v>
      </c>
      <c r="DG63" s="162" t="e">
        <f t="shared" si="14"/>
        <v>#DIV/0!</v>
      </c>
      <c r="DH63" s="163">
        <f t="shared" si="15"/>
        <v>0</v>
      </c>
      <c r="DI63" s="164"/>
      <c r="DJ63" s="165">
        <f t="shared" si="50"/>
        <v>0</v>
      </c>
      <c r="DK63" s="166">
        <f t="shared" si="50"/>
        <v>0</v>
      </c>
      <c r="DL63" s="167" t="e">
        <f t="shared" si="17"/>
        <v>#DIV/0!</v>
      </c>
      <c r="DM63" s="168" t="e">
        <f t="shared" si="18"/>
        <v>#DIV/0!</v>
      </c>
      <c r="DN63" s="163" t="e">
        <f t="shared" si="19"/>
        <v>#DIV/0!</v>
      </c>
      <c r="DO63" s="169"/>
      <c r="DP63" s="170"/>
      <c r="DQ63" s="171"/>
      <c r="DR63" s="172">
        <f t="shared" si="20"/>
        <v>0</v>
      </c>
      <c r="DS63" s="173" t="e">
        <f t="shared" si="21"/>
        <v>#DIV/0!</v>
      </c>
      <c r="DT63" s="163" t="e">
        <f t="shared" si="22"/>
        <v>#DIV/0!</v>
      </c>
      <c r="DU63" s="174"/>
      <c r="DV63" s="175" t="e">
        <f t="shared" si="23"/>
        <v>#DIV/0!</v>
      </c>
      <c r="DW63" s="163">
        <f t="shared" si="24"/>
        <v>0</v>
      </c>
      <c r="DX63" s="164"/>
      <c r="DY63" s="176">
        <f t="shared" si="25"/>
        <v>0</v>
      </c>
      <c r="DZ63" s="177">
        <f t="shared" si="26"/>
        <v>0</v>
      </c>
      <c r="EA63" s="178">
        <f t="shared" si="27"/>
        <v>0</v>
      </c>
      <c r="EB63" s="179">
        <f t="shared" si="28"/>
        <v>0</v>
      </c>
      <c r="EC63" s="180"/>
      <c r="ED63" s="175" t="e">
        <f t="shared" si="29"/>
        <v>#DIV/0!</v>
      </c>
      <c r="EE63" s="163">
        <f t="shared" si="30"/>
        <v>0</v>
      </c>
      <c r="EF63" s="164"/>
      <c r="EG63" s="181">
        <f t="shared" si="31"/>
        <v>0</v>
      </c>
      <c r="EH63" s="182">
        <f t="shared" si="32"/>
        <v>0</v>
      </c>
      <c r="EI63" s="182">
        <f t="shared" si="33"/>
        <v>0</v>
      </c>
      <c r="EJ63" s="182">
        <f t="shared" si="34"/>
        <v>0</v>
      </c>
      <c r="EK63" s="183">
        <f t="shared" si="35"/>
        <v>0</v>
      </c>
      <c r="EL63" s="184" t="e">
        <f t="shared" si="36"/>
        <v>#DIV/0!</v>
      </c>
      <c r="EM63" s="185">
        <f t="shared" si="37"/>
        <v>0</v>
      </c>
      <c r="EN63" s="164"/>
      <c r="EO63" s="181">
        <f t="shared" si="38"/>
        <v>0</v>
      </c>
      <c r="EP63" s="183">
        <f t="shared" si="39"/>
        <v>0</v>
      </c>
      <c r="EQ63" s="184" t="e">
        <f t="shared" si="40"/>
        <v>#DIV/0!</v>
      </c>
      <c r="ER63" s="185">
        <f t="shared" si="41"/>
        <v>0</v>
      </c>
      <c r="ES63" s="164"/>
      <c r="ET63" s="164"/>
      <c r="EU63" s="186">
        <f t="shared" si="42"/>
        <v>0</v>
      </c>
      <c r="EV63" s="186">
        <f t="shared" si="43"/>
        <v>0</v>
      </c>
      <c r="EW63" s="186">
        <f t="shared" si="44"/>
        <v>0</v>
      </c>
      <c r="EX63" s="186">
        <f t="shared" si="45"/>
        <v>0</v>
      </c>
      <c r="EY63" s="131"/>
      <c r="EZ63" s="187">
        <f t="shared" si="46"/>
        <v>0</v>
      </c>
      <c r="FA63" s="188" t="e">
        <f t="shared" si="47"/>
        <v>#DIV/0!</v>
      </c>
      <c r="FB63" s="189"/>
      <c r="FC63" s="131"/>
      <c r="FD63" s="131"/>
      <c r="FE63" s="131"/>
      <c r="FF63" s="131"/>
      <c r="FG63" s="131"/>
    </row>
    <row r="64" spans="2:163" ht="16" outlineLevel="1" thickBot="1" x14ac:dyDescent="0.4">
      <c r="B64" s="358"/>
      <c r="C64" s="355"/>
      <c r="D64" s="243"/>
      <c r="E64" s="244"/>
      <c r="F64" s="135"/>
      <c r="G64" s="192"/>
      <c r="H64" s="245"/>
      <c r="I64" s="138">
        <f t="shared" si="0"/>
        <v>0</v>
      </c>
      <c r="J64" s="139"/>
      <c r="K64" s="208">
        <f t="shared" si="53"/>
        <v>0</v>
      </c>
      <c r="L64" s="141"/>
      <c r="M64" s="209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09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1"/>
      <c r="AN64" s="212">
        <f t="shared" si="2"/>
        <v>0</v>
      </c>
      <c r="AO64" s="146"/>
      <c r="AP64" s="147">
        <f t="shared" si="3"/>
        <v>0</v>
      </c>
      <c r="AQ64" s="148"/>
      <c r="AR64" s="213"/>
      <c r="AS64" s="213"/>
      <c r="AT64" s="135"/>
      <c r="AU64" s="214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6"/>
      <c r="BG64" s="216"/>
      <c r="BH64" s="216"/>
      <c r="BI64" s="216"/>
      <c r="BJ64" s="216"/>
      <c r="BK64" s="216"/>
      <c r="BL64" s="216"/>
      <c r="BM64" s="216"/>
      <c r="BN64" s="216"/>
      <c r="BO64" s="216"/>
      <c r="BP64" s="216"/>
      <c r="BQ64" s="216"/>
      <c r="BR64" s="214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7"/>
      <c r="CD64" s="214"/>
      <c r="CE64" s="209"/>
      <c r="CF64" s="210"/>
      <c r="CG64" s="210"/>
      <c r="CH64" s="210"/>
      <c r="CI64" s="210"/>
      <c r="CJ64" s="210"/>
      <c r="CK64" s="210"/>
      <c r="CL64" s="210"/>
      <c r="CM64" s="210"/>
      <c r="CN64" s="210"/>
      <c r="CO64" s="348"/>
      <c r="CP64" s="215"/>
      <c r="CQ64" s="216"/>
      <c r="CR64" s="217"/>
      <c r="CS64" s="218">
        <f t="shared" si="48"/>
        <v>0</v>
      </c>
      <c r="CT64" s="146"/>
      <c r="CU64" s="147">
        <f t="shared" si="4"/>
        <v>0</v>
      </c>
      <c r="CV64" s="156"/>
      <c r="CW64" s="157" t="e">
        <f t="shared" si="5"/>
        <v>#DIV/0!</v>
      </c>
      <c r="CX64" s="157" t="e">
        <f t="shared" si="6"/>
        <v>#DIV/0!</v>
      </c>
      <c r="CY64" s="157" t="e">
        <f t="shared" si="7"/>
        <v>#DIV/0!</v>
      </c>
      <c r="CZ64" s="157" t="e">
        <f t="shared" si="8"/>
        <v>#DIV/0!</v>
      </c>
      <c r="DA64" s="157" t="e">
        <f t="shared" si="9"/>
        <v>#DIV/0!</v>
      </c>
      <c r="DB64" s="158" t="e">
        <f t="shared" si="10"/>
        <v>#DIV/0!</v>
      </c>
      <c r="DC64" s="131"/>
      <c r="DD64" s="159">
        <f t="shared" si="11"/>
        <v>0</v>
      </c>
      <c r="DE64" s="160">
        <f t="shared" si="12"/>
        <v>0</v>
      </c>
      <c r="DF64" s="161">
        <f t="shared" si="13"/>
        <v>0</v>
      </c>
      <c r="DG64" s="162" t="e">
        <f t="shared" si="14"/>
        <v>#DIV/0!</v>
      </c>
      <c r="DH64" s="163">
        <f t="shared" si="15"/>
        <v>0</v>
      </c>
      <c r="DI64" s="164"/>
      <c r="DJ64" s="165">
        <f t="shared" si="50"/>
        <v>0</v>
      </c>
      <c r="DK64" s="166">
        <f t="shared" si="50"/>
        <v>0</v>
      </c>
      <c r="DL64" s="167" t="e">
        <f t="shared" si="17"/>
        <v>#DIV/0!</v>
      </c>
      <c r="DM64" s="168" t="e">
        <f t="shared" si="18"/>
        <v>#DIV/0!</v>
      </c>
      <c r="DN64" s="163" t="e">
        <f t="shared" si="19"/>
        <v>#DIV/0!</v>
      </c>
      <c r="DO64" s="169"/>
      <c r="DP64" s="170"/>
      <c r="DQ64" s="171"/>
      <c r="DR64" s="172">
        <f t="shared" si="20"/>
        <v>0</v>
      </c>
      <c r="DS64" s="173" t="e">
        <f t="shared" si="21"/>
        <v>#DIV/0!</v>
      </c>
      <c r="DT64" s="163" t="e">
        <f t="shared" si="22"/>
        <v>#DIV/0!</v>
      </c>
      <c r="DU64" s="174"/>
      <c r="DV64" s="175" t="e">
        <f t="shared" si="23"/>
        <v>#DIV/0!</v>
      </c>
      <c r="DW64" s="163">
        <f t="shared" si="24"/>
        <v>0</v>
      </c>
      <c r="DX64" s="164"/>
      <c r="DY64" s="176">
        <f t="shared" si="25"/>
        <v>0</v>
      </c>
      <c r="DZ64" s="177">
        <f t="shared" si="26"/>
        <v>0</v>
      </c>
      <c r="EA64" s="178">
        <f t="shared" si="27"/>
        <v>0</v>
      </c>
      <c r="EB64" s="179">
        <f t="shared" si="28"/>
        <v>0</v>
      </c>
      <c r="EC64" s="180"/>
      <c r="ED64" s="175" t="e">
        <f t="shared" si="29"/>
        <v>#DIV/0!</v>
      </c>
      <c r="EE64" s="163">
        <f t="shared" si="30"/>
        <v>0</v>
      </c>
      <c r="EF64" s="164"/>
      <c r="EG64" s="181">
        <f t="shared" si="31"/>
        <v>0</v>
      </c>
      <c r="EH64" s="182">
        <f t="shared" si="32"/>
        <v>0</v>
      </c>
      <c r="EI64" s="182">
        <f t="shared" si="33"/>
        <v>0</v>
      </c>
      <c r="EJ64" s="182">
        <f t="shared" si="34"/>
        <v>0</v>
      </c>
      <c r="EK64" s="183">
        <f t="shared" si="35"/>
        <v>0</v>
      </c>
      <c r="EL64" s="184" t="e">
        <f t="shared" si="36"/>
        <v>#DIV/0!</v>
      </c>
      <c r="EM64" s="185">
        <f t="shared" si="37"/>
        <v>0</v>
      </c>
      <c r="EN64" s="164"/>
      <c r="EO64" s="181">
        <f t="shared" si="38"/>
        <v>0</v>
      </c>
      <c r="EP64" s="183">
        <f t="shared" si="39"/>
        <v>0</v>
      </c>
      <c r="EQ64" s="184" t="e">
        <f t="shared" si="40"/>
        <v>#DIV/0!</v>
      </c>
      <c r="ER64" s="185">
        <f t="shared" si="41"/>
        <v>0</v>
      </c>
      <c r="ES64" s="164"/>
      <c r="ET64" s="164"/>
      <c r="EU64" s="186">
        <f t="shared" si="42"/>
        <v>0</v>
      </c>
      <c r="EV64" s="186">
        <f t="shared" si="43"/>
        <v>0</v>
      </c>
      <c r="EW64" s="186">
        <f t="shared" si="44"/>
        <v>0</v>
      </c>
      <c r="EX64" s="186">
        <f t="shared" si="45"/>
        <v>0</v>
      </c>
      <c r="EY64" s="131"/>
      <c r="EZ64" s="187">
        <f t="shared" si="46"/>
        <v>0</v>
      </c>
      <c r="FA64" s="188" t="e">
        <f t="shared" si="47"/>
        <v>#DIV/0!</v>
      </c>
      <c r="FB64" s="189"/>
      <c r="FC64" s="131"/>
      <c r="FD64" s="131"/>
      <c r="FE64" s="131"/>
      <c r="FF64" s="131"/>
      <c r="FG64" s="131"/>
    </row>
    <row r="65" spans="2:163" s="169" customFormat="1" ht="16" outlineLevel="1" thickBot="1" x14ac:dyDescent="0.4">
      <c r="B65" s="356"/>
      <c r="C65" s="353"/>
      <c r="D65" s="133"/>
      <c r="E65" s="134"/>
      <c r="F65" s="135"/>
      <c r="G65" s="136"/>
      <c r="H65" s="137"/>
      <c r="I65" s="138">
        <f>IF(E65&gt;0.0001,5.2,0)</f>
        <v>0</v>
      </c>
      <c r="J65" s="139"/>
      <c r="K65" s="140">
        <f>E65*60</f>
        <v>0</v>
      </c>
      <c r="L65" s="141"/>
      <c r="M65" s="142"/>
      <c r="N65" s="143"/>
      <c r="O65" s="143"/>
      <c r="P65" s="143"/>
      <c r="Q65" s="143"/>
      <c r="R65" s="143">
        <v>480</v>
      </c>
      <c r="S65" s="143"/>
      <c r="T65" s="143"/>
      <c r="U65" s="143"/>
      <c r="V65" s="143"/>
      <c r="W65" s="143"/>
      <c r="X65" s="143"/>
      <c r="Y65" s="143"/>
      <c r="Z65" s="143"/>
      <c r="AA65" s="142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4"/>
      <c r="AN65" s="145">
        <f t="shared" si="2"/>
        <v>480</v>
      </c>
      <c r="AO65" s="146"/>
      <c r="AP65" s="147">
        <f t="shared" si="3"/>
        <v>-480</v>
      </c>
      <c r="AQ65" s="148"/>
      <c r="AR65" s="149"/>
      <c r="AS65" s="149"/>
      <c r="AT65" s="135"/>
      <c r="AU65" s="150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0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4"/>
      <c r="CD65" s="150"/>
      <c r="CE65" s="142"/>
      <c r="CF65" s="143"/>
      <c r="CG65" s="143"/>
      <c r="CH65" s="143"/>
      <c r="CI65" s="143"/>
      <c r="CJ65" s="143"/>
      <c r="CK65" s="143"/>
      <c r="CL65" s="143"/>
      <c r="CM65" s="143"/>
      <c r="CN65" s="143"/>
      <c r="CO65" s="346"/>
      <c r="CP65" s="151"/>
      <c r="CQ65" s="152"/>
      <c r="CR65" s="154"/>
      <c r="CS65" s="155">
        <f t="shared" si="48"/>
        <v>0</v>
      </c>
      <c r="CT65" s="146"/>
      <c r="CU65" s="147">
        <f t="shared" si="4"/>
        <v>-480</v>
      </c>
      <c r="CV65" s="156"/>
      <c r="CW65" s="157" t="e">
        <f t="shared" si="5"/>
        <v>#DIV/0!</v>
      </c>
      <c r="CX65" s="157" t="e">
        <f t="shared" si="6"/>
        <v>#DIV/0!</v>
      </c>
      <c r="CY65" s="157" t="e">
        <f t="shared" si="7"/>
        <v>#DIV/0!</v>
      </c>
      <c r="CZ65" s="157" t="e">
        <f t="shared" si="8"/>
        <v>#DIV/0!</v>
      </c>
      <c r="DA65" s="157" t="e">
        <f t="shared" si="9"/>
        <v>#DIV/0!</v>
      </c>
      <c r="DB65" s="158" t="e">
        <f t="shared" si="10"/>
        <v>#DIV/0!</v>
      </c>
      <c r="DC65" s="131"/>
      <c r="DD65" s="159">
        <f t="shared" si="11"/>
        <v>-480</v>
      </c>
      <c r="DE65" s="160">
        <f t="shared" si="12"/>
        <v>0</v>
      </c>
      <c r="DF65" s="161">
        <f t="shared" si="13"/>
        <v>-480</v>
      </c>
      <c r="DG65" s="162">
        <f t="shared" si="14"/>
        <v>1</v>
      </c>
      <c r="DH65" s="163">
        <f t="shared" si="15"/>
        <v>0</v>
      </c>
      <c r="DI65" s="164"/>
      <c r="DJ65" s="165">
        <f t="shared" si="50"/>
        <v>0</v>
      </c>
      <c r="DK65" s="166">
        <f t="shared" si="50"/>
        <v>0</v>
      </c>
      <c r="DL65" s="167">
        <f t="shared" si="17"/>
        <v>0</v>
      </c>
      <c r="DM65" s="168" t="e">
        <f t="shared" si="18"/>
        <v>#DIV/0!</v>
      </c>
      <c r="DN65" s="163" t="e">
        <f t="shared" si="19"/>
        <v>#DIV/0!</v>
      </c>
      <c r="DP65" s="170"/>
      <c r="DQ65" s="171"/>
      <c r="DR65" s="172">
        <f t="shared" si="20"/>
        <v>0</v>
      </c>
      <c r="DS65" s="173">
        <f t="shared" si="21"/>
        <v>0</v>
      </c>
      <c r="DT65" s="163">
        <f t="shared" si="22"/>
        <v>0</v>
      </c>
      <c r="DU65" s="174"/>
      <c r="DV65" s="175" t="e">
        <f t="shared" si="23"/>
        <v>#DIV/0!</v>
      </c>
      <c r="DW65" s="163">
        <f t="shared" si="24"/>
        <v>0</v>
      </c>
      <c r="DX65" s="164"/>
      <c r="DY65" s="176">
        <f t="shared" si="25"/>
        <v>0</v>
      </c>
      <c r="DZ65" s="177">
        <f t="shared" si="26"/>
        <v>0</v>
      </c>
      <c r="EA65" s="178">
        <f t="shared" si="27"/>
        <v>-480</v>
      </c>
      <c r="EB65" s="179">
        <f t="shared" si="28"/>
        <v>0</v>
      </c>
      <c r="EC65" s="180"/>
      <c r="ED65" s="175" t="e">
        <f t="shared" si="29"/>
        <v>#DIV/0!</v>
      </c>
      <c r="EE65" s="163">
        <f t="shared" si="30"/>
        <v>0</v>
      </c>
      <c r="EF65" s="164"/>
      <c r="EG65" s="181">
        <f t="shared" si="31"/>
        <v>0</v>
      </c>
      <c r="EH65" s="182">
        <f t="shared" si="32"/>
        <v>0</v>
      </c>
      <c r="EI65" s="182">
        <f t="shared" si="33"/>
        <v>480</v>
      </c>
      <c r="EJ65" s="182">
        <f t="shared" si="34"/>
        <v>0</v>
      </c>
      <c r="EK65" s="183">
        <f t="shared" si="35"/>
        <v>0</v>
      </c>
      <c r="EL65" s="184" t="e">
        <f t="shared" si="36"/>
        <v>#DIV/0!</v>
      </c>
      <c r="EM65" s="185">
        <f t="shared" si="37"/>
        <v>0</v>
      </c>
      <c r="EN65" s="164"/>
      <c r="EO65" s="181">
        <f t="shared" si="38"/>
        <v>0</v>
      </c>
      <c r="EP65" s="183">
        <f t="shared" si="39"/>
        <v>0</v>
      </c>
      <c r="EQ65" s="184" t="e">
        <f t="shared" si="40"/>
        <v>#DIV/0!</v>
      </c>
      <c r="ER65" s="185">
        <f t="shared" si="41"/>
        <v>0</v>
      </c>
      <c r="ES65" s="164"/>
      <c r="ET65" s="164"/>
      <c r="EU65" s="186">
        <f t="shared" si="42"/>
        <v>0</v>
      </c>
      <c r="EV65" s="186">
        <f t="shared" si="43"/>
        <v>-480</v>
      </c>
      <c r="EW65" s="186">
        <f t="shared" si="44"/>
        <v>0</v>
      </c>
      <c r="EX65" s="186">
        <f t="shared" si="45"/>
        <v>0</v>
      </c>
      <c r="EY65" s="131"/>
      <c r="EZ65" s="187">
        <f t="shared" si="46"/>
        <v>0</v>
      </c>
      <c r="FA65" s="188" t="e">
        <f t="shared" si="47"/>
        <v>#DIV/0!</v>
      </c>
      <c r="FB65" s="189"/>
      <c r="FC65" s="131"/>
      <c r="FD65" s="131"/>
      <c r="FE65" s="131"/>
      <c r="FF65" s="131"/>
      <c r="FG65" s="131"/>
    </row>
    <row r="66" spans="2:163" s="169" customFormat="1" ht="16" outlineLevel="1" thickBot="1" x14ac:dyDescent="0.4">
      <c r="B66" s="357"/>
      <c r="C66" s="354"/>
      <c r="D66" s="240"/>
      <c r="E66" s="241"/>
      <c r="F66" s="135"/>
      <c r="G66" s="192"/>
      <c r="H66" s="242"/>
      <c r="I66" s="138">
        <f t="shared" si="0"/>
        <v>0</v>
      </c>
      <c r="J66" s="139"/>
      <c r="K66" s="193">
        <f t="shared" ref="K66:K67" si="54">E66*60</f>
        <v>0</v>
      </c>
      <c r="L66" s="141"/>
      <c r="M66" s="194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4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6"/>
      <c r="AN66" s="197">
        <f t="shared" si="2"/>
        <v>0</v>
      </c>
      <c r="AO66" s="146"/>
      <c r="AP66" s="147">
        <f t="shared" si="3"/>
        <v>0</v>
      </c>
      <c r="AQ66" s="148"/>
      <c r="AR66" s="198"/>
      <c r="AS66" s="198"/>
      <c r="AT66" s="135"/>
      <c r="AU66" s="199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199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2"/>
      <c r="CD66" s="199"/>
      <c r="CE66" s="194"/>
      <c r="CF66" s="195"/>
      <c r="CG66" s="195"/>
      <c r="CH66" s="195"/>
      <c r="CI66" s="195"/>
      <c r="CJ66" s="195"/>
      <c r="CK66" s="195"/>
      <c r="CL66" s="195"/>
      <c r="CM66" s="195"/>
      <c r="CN66" s="195"/>
      <c r="CO66" s="347"/>
      <c r="CP66" s="200"/>
      <c r="CQ66" s="201"/>
      <c r="CR66" s="202"/>
      <c r="CS66" s="203">
        <f t="shared" si="48"/>
        <v>0</v>
      </c>
      <c r="CT66" s="146"/>
      <c r="CU66" s="147">
        <f t="shared" si="4"/>
        <v>0</v>
      </c>
      <c r="CV66" s="156"/>
      <c r="CW66" s="157" t="e">
        <f t="shared" si="5"/>
        <v>#DIV/0!</v>
      </c>
      <c r="CX66" s="157" t="e">
        <f t="shared" si="6"/>
        <v>#DIV/0!</v>
      </c>
      <c r="CY66" s="157" t="e">
        <f t="shared" si="7"/>
        <v>#DIV/0!</v>
      </c>
      <c r="CZ66" s="157" t="e">
        <f t="shared" si="8"/>
        <v>#DIV/0!</v>
      </c>
      <c r="DA66" s="157" t="e">
        <f t="shared" si="9"/>
        <v>#DIV/0!</v>
      </c>
      <c r="DB66" s="158" t="e">
        <f t="shared" si="10"/>
        <v>#DIV/0!</v>
      </c>
      <c r="DC66" s="131"/>
      <c r="DD66" s="159">
        <f t="shared" si="11"/>
        <v>0</v>
      </c>
      <c r="DE66" s="160">
        <f t="shared" si="12"/>
        <v>0</v>
      </c>
      <c r="DF66" s="161">
        <f t="shared" si="13"/>
        <v>0</v>
      </c>
      <c r="DG66" s="162" t="e">
        <f t="shared" si="14"/>
        <v>#DIV/0!</v>
      </c>
      <c r="DH66" s="163">
        <f t="shared" si="15"/>
        <v>0</v>
      </c>
      <c r="DI66" s="164"/>
      <c r="DJ66" s="165">
        <f t="shared" si="50"/>
        <v>0</v>
      </c>
      <c r="DK66" s="166">
        <f t="shared" si="50"/>
        <v>0</v>
      </c>
      <c r="DL66" s="167" t="e">
        <f t="shared" si="17"/>
        <v>#DIV/0!</v>
      </c>
      <c r="DM66" s="168" t="e">
        <f t="shared" si="18"/>
        <v>#DIV/0!</v>
      </c>
      <c r="DN66" s="163" t="e">
        <f t="shared" si="19"/>
        <v>#DIV/0!</v>
      </c>
      <c r="DP66" s="170"/>
      <c r="DQ66" s="171"/>
      <c r="DR66" s="172">
        <f t="shared" si="20"/>
        <v>0</v>
      </c>
      <c r="DS66" s="173" t="e">
        <f t="shared" si="21"/>
        <v>#DIV/0!</v>
      </c>
      <c r="DT66" s="163" t="e">
        <f t="shared" si="22"/>
        <v>#DIV/0!</v>
      </c>
      <c r="DU66" s="174"/>
      <c r="DV66" s="175" t="e">
        <f t="shared" si="23"/>
        <v>#DIV/0!</v>
      </c>
      <c r="DW66" s="163">
        <f t="shared" si="24"/>
        <v>0</v>
      </c>
      <c r="DX66" s="164"/>
      <c r="DY66" s="176">
        <f t="shared" si="25"/>
        <v>0</v>
      </c>
      <c r="DZ66" s="177">
        <f t="shared" si="26"/>
        <v>0</v>
      </c>
      <c r="EA66" s="178">
        <f t="shared" si="27"/>
        <v>0</v>
      </c>
      <c r="EB66" s="179">
        <f t="shared" si="28"/>
        <v>0</v>
      </c>
      <c r="EC66" s="180"/>
      <c r="ED66" s="175" t="e">
        <f t="shared" si="29"/>
        <v>#DIV/0!</v>
      </c>
      <c r="EE66" s="163">
        <f t="shared" si="30"/>
        <v>0</v>
      </c>
      <c r="EF66" s="164"/>
      <c r="EG66" s="181">
        <f t="shared" si="31"/>
        <v>0</v>
      </c>
      <c r="EH66" s="182">
        <f t="shared" si="32"/>
        <v>0</v>
      </c>
      <c r="EI66" s="182">
        <f t="shared" si="33"/>
        <v>0</v>
      </c>
      <c r="EJ66" s="182">
        <f t="shared" si="34"/>
        <v>0</v>
      </c>
      <c r="EK66" s="183">
        <f t="shared" si="35"/>
        <v>0</v>
      </c>
      <c r="EL66" s="184" t="e">
        <f t="shared" si="36"/>
        <v>#DIV/0!</v>
      </c>
      <c r="EM66" s="185">
        <f t="shared" si="37"/>
        <v>0</v>
      </c>
      <c r="EN66" s="164"/>
      <c r="EO66" s="181">
        <f t="shared" si="38"/>
        <v>0</v>
      </c>
      <c r="EP66" s="183">
        <f t="shared" si="39"/>
        <v>0</v>
      </c>
      <c r="EQ66" s="184" t="e">
        <f t="shared" si="40"/>
        <v>#DIV/0!</v>
      </c>
      <c r="ER66" s="185">
        <f t="shared" si="41"/>
        <v>0</v>
      </c>
      <c r="ES66" s="164"/>
      <c r="ET66" s="164"/>
      <c r="EU66" s="186">
        <f t="shared" si="42"/>
        <v>0</v>
      </c>
      <c r="EV66" s="186">
        <f t="shared" si="43"/>
        <v>0</v>
      </c>
      <c r="EW66" s="186">
        <f t="shared" si="44"/>
        <v>0</v>
      </c>
      <c r="EX66" s="186">
        <f t="shared" si="45"/>
        <v>0</v>
      </c>
      <c r="EY66" s="131"/>
      <c r="EZ66" s="187">
        <f t="shared" si="46"/>
        <v>0</v>
      </c>
      <c r="FA66" s="188" t="e">
        <f t="shared" si="47"/>
        <v>#DIV/0!</v>
      </c>
      <c r="FB66" s="189"/>
      <c r="FC66" s="131"/>
      <c r="FD66" s="131"/>
      <c r="FE66" s="131"/>
      <c r="FF66" s="131"/>
      <c r="FG66" s="131"/>
    </row>
    <row r="67" spans="2:163" s="169" customFormat="1" ht="16" outlineLevel="1" thickBot="1" x14ac:dyDescent="0.4">
      <c r="B67" s="358"/>
      <c r="C67" s="355"/>
      <c r="D67" s="243"/>
      <c r="E67" s="244"/>
      <c r="F67" s="135"/>
      <c r="G67" s="192"/>
      <c r="H67" s="245"/>
      <c r="I67" s="138">
        <f t="shared" si="0"/>
        <v>0</v>
      </c>
      <c r="J67" s="139"/>
      <c r="K67" s="208">
        <f t="shared" si="54"/>
        <v>0</v>
      </c>
      <c r="L67" s="141"/>
      <c r="M67" s="209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09"/>
      <c r="AB67" s="210"/>
      <c r="AC67" s="210"/>
      <c r="AD67" s="210"/>
      <c r="AE67" s="210"/>
      <c r="AF67" s="210"/>
      <c r="AG67" s="210"/>
      <c r="AH67" s="210"/>
      <c r="AI67" s="210"/>
      <c r="AJ67" s="210"/>
      <c r="AK67" s="210"/>
      <c r="AL67" s="210"/>
      <c r="AM67" s="211"/>
      <c r="AN67" s="212">
        <f t="shared" si="2"/>
        <v>0</v>
      </c>
      <c r="AO67" s="146"/>
      <c r="AP67" s="147">
        <f t="shared" si="3"/>
        <v>0</v>
      </c>
      <c r="AQ67" s="148"/>
      <c r="AR67" s="213"/>
      <c r="AS67" s="213"/>
      <c r="AT67" s="135"/>
      <c r="AU67" s="214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6"/>
      <c r="BG67" s="216"/>
      <c r="BH67" s="216"/>
      <c r="BI67" s="216"/>
      <c r="BJ67" s="216"/>
      <c r="BK67" s="216"/>
      <c r="BL67" s="216"/>
      <c r="BM67" s="216"/>
      <c r="BN67" s="216"/>
      <c r="BO67" s="216"/>
      <c r="BP67" s="216"/>
      <c r="BQ67" s="216"/>
      <c r="BR67" s="214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7"/>
      <c r="CD67" s="214"/>
      <c r="CE67" s="209"/>
      <c r="CF67" s="210"/>
      <c r="CG67" s="210"/>
      <c r="CH67" s="210"/>
      <c r="CI67" s="210"/>
      <c r="CJ67" s="210"/>
      <c r="CK67" s="210"/>
      <c r="CL67" s="210"/>
      <c r="CM67" s="210"/>
      <c r="CN67" s="210"/>
      <c r="CO67" s="348"/>
      <c r="CP67" s="215"/>
      <c r="CQ67" s="216"/>
      <c r="CR67" s="217"/>
      <c r="CS67" s="218">
        <f t="shared" si="48"/>
        <v>0</v>
      </c>
      <c r="CT67" s="146"/>
      <c r="CU67" s="147">
        <f t="shared" si="4"/>
        <v>0</v>
      </c>
      <c r="CV67" s="156"/>
      <c r="CW67" s="157" t="e">
        <f t="shared" si="5"/>
        <v>#DIV/0!</v>
      </c>
      <c r="CX67" s="157" t="e">
        <f t="shared" si="6"/>
        <v>#DIV/0!</v>
      </c>
      <c r="CY67" s="157" t="e">
        <f t="shared" si="7"/>
        <v>#DIV/0!</v>
      </c>
      <c r="CZ67" s="157" t="e">
        <f t="shared" si="8"/>
        <v>#DIV/0!</v>
      </c>
      <c r="DA67" s="157" t="e">
        <f t="shared" si="9"/>
        <v>#DIV/0!</v>
      </c>
      <c r="DB67" s="158" t="e">
        <f t="shared" si="10"/>
        <v>#DIV/0!</v>
      </c>
      <c r="DC67" s="131"/>
      <c r="DD67" s="159">
        <f t="shared" si="11"/>
        <v>0</v>
      </c>
      <c r="DE67" s="160">
        <f t="shared" si="12"/>
        <v>0</v>
      </c>
      <c r="DF67" s="161">
        <f t="shared" si="13"/>
        <v>0</v>
      </c>
      <c r="DG67" s="162" t="e">
        <f t="shared" si="14"/>
        <v>#DIV/0!</v>
      </c>
      <c r="DH67" s="163">
        <f t="shared" si="15"/>
        <v>0</v>
      </c>
      <c r="DI67" s="164"/>
      <c r="DJ67" s="165">
        <f t="shared" si="50"/>
        <v>0</v>
      </c>
      <c r="DK67" s="166">
        <f t="shared" si="50"/>
        <v>0</v>
      </c>
      <c r="DL67" s="167" t="e">
        <f t="shared" si="17"/>
        <v>#DIV/0!</v>
      </c>
      <c r="DM67" s="168" t="e">
        <f t="shared" si="18"/>
        <v>#DIV/0!</v>
      </c>
      <c r="DN67" s="163" t="e">
        <f t="shared" si="19"/>
        <v>#DIV/0!</v>
      </c>
      <c r="DP67" s="170"/>
      <c r="DQ67" s="171"/>
      <c r="DR67" s="172">
        <f t="shared" si="20"/>
        <v>0</v>
      </c>
      <c r="DS67" s="173" t="e">
        <f t="shared" si="21"/>
        <v>#DIV/0!</v>
      </c>
      <c r="DT67" s="163" t="e">
        <f t="shared" si="22"/>
        <v>#DIV/0!</v>
      </c>
      <c r="DU67" s="174"/>
      <c r="DV67" s="175" t="e">
        <f t="shared" si="23"/>
        <v>#DIV/0!</v>
      </c>
      <c r="DW67" s="163">
        <f t="shared" si="24"/>
        <v>0</v>
      </c>
      <c r="DX67" s="164"/>
      <c r="DY67" s="176">
        <f t="shared" si="25"/>
        <v>0</v>
      </c>
      <c r="DZ67" s="177">
        <f t="shared" si="26"/>
        <v>0</v>
      </c>
      <c r="EA67" s="178">
        <f t="shared" si="27"/>
        <v>0</v>
      </c>
      <c r="EB67" s="179">
        <f t="shared" si="28"/>
        <v>0</v>
      </c>
      <c r="EC67" s="180"/>
      <c r="ED67" s="175" t="e">
        <f t="shared" si="29"/>
        <v>#DIV/0!</v>
      </c>
      <c r="EE67" s="163">
        <f t="shared" si="30"/>
        <v>0</v>
      </c>
      <c r="EF67" s="164"/>
      <c r="EG67" s="181">
        <f t="shared" si="31"/>
        <v>0</v>
      </c>
      <c r="EH67" s="182">
        <f t="shared" si="32"/>
        <v>0</v>
      </c>
      <c r="EI67" s="182">
        <f t="shared" si="33"/>
        <v>0</v>
      </c>
      <c r="EJ67" s="182">
        <f t="shared" si="34"/>
        <v>0</v>
      </c>
      <c r="EK67" s="183">
        <f t="shared" si="35"/>
        <v>0</v>
      </c>
      <c r="EL67" s="184" t="e">
        <f t="shared" si="36"/>
        <v>#DIV/0!</v>
      </c>
      <c r="EM67" s="185">
        <f t="shared" si="37"/>
        <v>0</v>
      </c>
      <c r="EN67" s="164"/>
      <c r="EO67" s="181">
        <f t="shared" si="38"/>
        <v>0</v>
      </c>
      <c r="EP67" s="183">
        <f t="shared" si="39"/>
        <v>0</v>
      </c>
      <c r="EQ67" s="184" t="e">
        <f t="shared" si="40"/>
        <v>#DIV/0!</v>
      </c>
      <c r="ER67" s="185">
        <f t="shared" si="41"/>
        <v>0</v>
      </c>
      <c r="ES67" s="164"/>
      <c r="ET67" s="164"/>
      <c r="EU67" s="186">
        <f t="shared" si="42"/>
        <v>0</v>
      </c>
      <c r="EV67" s="186">
        <f t="shared" si="43"/>
        <v>0</v>
      </c>
      <c r="EW67" s="186">
        <f t="shared" si="44"/>
        <v>0</v>
      </c>
      <c r="EX67" s="186">
        <f t="shared" si="45"/>
        <v>0</v>
      </c>
      <c r="EY67" s="131"/>
      <c r="EZ67" s="187">
        <f t="shared" si="46"/>
        <v>0</v>
      </c>
      <c r="FA67" s="188" t="e">
        <f t="shared" si="47"/>
        <v>#DIV/0!</v>
      </c>
      <c r="FB67" s="189"/>
      <c r="FC67" s="131"/>
      <c r="FD67" s="131"/>
      <c r="FE67" s="131"/>
      <c r="FF67" s="131"/>
      <c r="FG67" s="131"/>
    </row>
    <row r="68" spans="2:163" ht="16" outlineLevel="1" thickBot="1" x14ac:dyDescent="0.4">
      <c r="B68" s="356"/>
      <c r="C68" s="353"/>
      <c r="D68" s="133"/>
      <c r="E68" s="134"/>
      <c r="F68" s="135"/>
      <c r="G68" s="136"/>
      <c r="H68" s="137"/>
      <c r="I68" s="138">
        <f>IF(E68&gt;0.0001,9.4,0)</f>
        <v>0</v>
      </c>
      <c r="J68" s="139"/>
      <c r="K68" s="140">
        <f>E68*60</f>
        <v>0</v>
      </c>
      <c r="L68" s="141"/>
      <c r="M68" s="142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2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4"/>
      <c r="AN68" s="145">
        <f t="shared" si="2"/>
        <v>0</v>
      </c>
      <c r="AO68" s="146"/>
      <c r="AP68" s="147">
        <f t="shared" si="3"/>
        <v>0</v>
      </c>
      <c r="AQ68" s="148"/>
      <c r="AR68" s="149"/>
      <c r="AS68" s="149"/>
      <c r="AT68" s="135"/>
      <c r="AU68" s="150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0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4"/>
      <c r="CD68" s="150"/>
      <c r="CE68" s="142"/>
      <c r="CF68" s="143"/>
      <c r="CG68" s="143"/>
      <c r="CH68" s="143"/>
      <c r="CI68" s="143"/>
      <c r="CJ68" s="143"/>
      <c r="CK68" s="143"/>
      <c r="CL68" s="143"/>
      <c r="CM68" s="143"/>
      <c r="CN68" s="143"/>
      <c r="CO68" s="346"/>
      <c r="CP68" s="151"/>
      <c r="CQ68" s="152"/>
      <c r="CR68" s="154"/>
      <c r="CS68" s="155">
        <f t="shared" si="48"/>
        <v>0</v>
      </c>
      <c r="CT68" s="146"/>
      <c r="CU68" s="147">
        <f t="shared" si="4"/>
        <v>0</v>
      </c>
      <c r="CV68" s="156"/>
      <c r="CW68" s="157" t="e">
        <f t="shared" si="5"/>
        <v>#DIV/0!</v>
      </c>
      <c r="CX68" s="157" t="e">
        <f t="shared" si="6"/>
        <v>#DIV/0!</v>
      </c>
      <c r="CY68" s="157" t="e">
        <f t="shared" si="7"/>
        <v>#DIV/0!</v>
      </c>
      <c r="CZ68" s="157" t="e">
        <f t="shared" si="8"/>
        <v>#DIV/0!</v>
      </c>
      <c r="DA68" s="157" t="e">
        <f t="shared" si="9"/>
        <v>#DIV/0!</v>
      </c>
      <c r="DB68" s="158" t="e">
        <f t="shared" si="10"/>
        <v>#DIV/0!</v>
      </c>
      <c r="DC68" s="131"/>
      <c r="DD68" s="159">
        <f t="shared" si="11"/>
        <v>0</v>
      </c>
      <c r="DE68" s="160">
        <f t="shared" si="12"/>
        <v>0</v>
      </c>
      <c r="DF68" s="161">
        <f t="shared" si="13"/>
        <v>0</v>
      </c>
      <c r="DG68" s="162" t="e">
        <f t="shared" si="14"/>
        <v>#DIV/0!</v>
      </c>
      <c r="DH68" s="163">
        <f t="shared" si="15"/>
        <v>0</v>
      </c>
      <c r="DI68" s="164"/>
      <c r="DJ68" s="165">
        <f t="shared" ref="DJ68:DK103" si="55">H68</f>
        <v>0</v>
      </c>
      <c r="DK68" s="166">
        <f t="shared" si="55"/>
        <v>0</v>
      </c>
      <c r="DL68" s="167" t="e">
        <f t="shared" si="17"/>
        <v>#DIV/0!</v>
      </c>
      <c r="DM68" s="168" t="e">
        <f t="shared" si="18"/>
        <v>#DIV/0!</v>
      </c>
      <c r="DN68" s="163" t="e">
        <f t="shared" si="19"/>
        <v>#DIV/0!</v>
      </c>
      <c r="DO68" s="169"/>
      <c r="DP68" s="170"/>
      <c r="DQ68" s="171"/>
      <c r="DR68" s="172">
        <f t="shared" si="20"/>
        <v>0</v>
      </c>
      <c r="DS68" s="173" t="e">
        <f t="shared" si="21"/>
        <v>#DIV/0!</v>
      </c>
      <c r="DT68" s="163" t="e">
        <f t="shared" si="22"/>
        <v>#DIV/0!</v>
      </c>
      <c r="DU68" s="174"/>
      <c r="DV68" s="175" t="e">
        <f t="shared" si="23"/>
        <v>#DIV/0!</v>
      </c>
      <c r="DW68" s="163">
        <f t="shared" si="24"/>
        <v>0</v>
      </c>
      <c r="DX68" s="164"/>
      <c r="DY68" s="176">
        <f t="shared" si="25"/>
        <v>0</v>
      </c>
      <c r="DZ68" s="177">
        <f t="shared" si="26"/>
        <v>0</v>
      </c>
      <c r="EA68" s="178">
        <f t="shared" si="27"/>
        <v>0</v>
      </c>
      <c r="EB68" s="179">
        <f t="shared" si="28"/>
        <v>0</v>
      </c>
      <c r="EC68" s="180"/>
      <c r="ED68" s="175" t="e">
        <f t="shared" si="29"/>
        <v>#DIV/0!</v>
      </c>
      <c r="EE68" s="163">
        <f t="shared" si="30"/>
        <v>0</v>
      </c>
      <c r="EF68" s="164"/>
      <c r="EG68" s="181">
        <f t="shared" si="31"/>
        <v>0</v>
      </c>
      <c r="EH68" s="182">
        <f t="shared" si="32"/>
        <v>0</v>
      </c>
      <c r="EI68" s="182">
        <f t="shared" si="33"/>
        <v>0</v>
      </c>
      <c r="EJ68" s="182">
        <f t="shared" si="34"/>
        <v>0</v>
      </c>
      <c r="EK68" s="183">
        <f t="shared" si="35"/>
        <v>0</v>
      </c>
      <c r="EL68" s="184" t="e">
        <f t="shared" si="36"/>
        <v>#DIV/0!</v>
      </c>
      <c r="EM68" s="185">
        <f t="shared" si="37"/>
        <v>0</v>
      </c>
      <c r="EN68" s="164"/>
      <c r="EO68" s="181">
        <f t="shared" si="38"/>
        <v>0</v>
      </c>
      <c r="EP68" s="183">
        <f t="shared" si="39"/>
        <v>0</v>
      </c>
      <c r="EQ68" s="184" t="e">
        <f t="shared" si="40"/>
        <v>#DIV/0!</v>
      </c>
      <c r="ER68" s="185">
        <f t="shared" si="41"/>
        <v>0</v>
      </c>
      <c r="ES68" s="164"/>
      <c r="ET68" s="164"/>
      <c r="EU68" s="186">
        <f t="shared" si="42"/>
        <v>0</v>
      </c>
      <c r="EV68" s="186">
        <f t="shared" si="43"/>
        <v>0</v>
      </c>
      <c r="EW68" s="186">
        <f t="shared" si="44"/>
        <v>0</v>
      </c>
      <c r="EX68" s="186">
        <f t="shared" si="45"/>
        <v>0</v>
      </c>
      <c r="EY68" s="131"/>
      <c r="EZ68" s="187">
        <f t="shared" si="46"/>
        <v>0</v>
      </c>
      <c r="FA68" s="188" t="e">
        <f t="shared" si="47"/>
        <v>#DIV/0!</v>
      </c>
      <c r="FB68" s="189"/>
      <c r="FC68" s="131"/>
      <c r="FD68" s="131"/>
      <c r="FE68" s="131"/>
      <c r="FF68" s="131"/>
      <c r="FG68" s="131"/>
    </row>
    <row r="69" spans="2:163" ht="16" outlineLevel="1" thickBot="1" x14ac:dyDescent="0.4">
      <c r="B69" s="357"/>
      <c r="C69" s="354"/>
      <c r="D69" s="240"/>
      <c r="E69" s="241"/>
      <c r="F69" s="135"/>
      <c r="G69" s="192"/>
      <c r="H69" s="242"/>
      <c r="I69" s="138">
        <f t="shared" ref="I69:I106" si="56">IF(E69&gt;0.0001,0,0)</f>
        <v>0</v>
      </c>
      <c r="J69" s="139"/>
      <c r="K69" s="193">
        <f t="shared" ref="K69:K70" si="57">E69*60</f>
        <v>0</v>
      </c>
      <c r="L69" s="141"/>
      <c r="M69" s="194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4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6"/>
      <c r="AN69" s="197">
        <f t="shared" ref="AN69:AN106" si="58">SUM(M69:AM69)</f>
        <v>0</v>
      </c>
      <c r="AO69" s="146"/>
      <c r="AP69" s="147">
        <f t="shared" ref="AP69:AP106" si="59">K69-AN69</f>
        <v>0</v>
      </c>
      <c r="AQ69" s="148"/>
      <c r="AR69" s="198"/>
      <c r="AS69" s="198"/>
      <c r="AT69" s="135"/>
      <c r="AU69" s="199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199"/>
      <c r="BS69" s="200"/>
      <c r="BT69" s="200"/>
      <c r="BU69" s="200"/>
      <c r="BV69" s="200"/>
      <c r="BW69" s="200"/>
      <c r="BX69" s="200"/>
      <c r="BY69" s="200"/>
      <c r="BZ69" s="200"/>
      <c r="CA69" s="200"/>
      <c r="CB69" s="200"/>
      <c r="CC69" s="202"/>
      <c r="CD69" s="199"/>
      <c r="CE69" s="194"/>
      <c r="CF69" s="195"/>
      <c r="CG69" s="195"/>
      <c r="CH69" s="195"/>
      <c r="CI69" s="195"/>
      <c r="CJ69" s="195"/>
      <c r="CK69" s="195"/>
      <c r="CL69" s="195"/>
      <c r="CM69" s="195"/>
      <c r="CN69" s="195"/>
      <c r="CO69" s="347"/>
      <c r="CP69" s="200"/>
      <c r="CQ69" s="201"/>
      <c r="CR69" s="202"/>
      <c r="CS69" s="203">
        <f t="shared" ref="CS69:CS100" si="60">SUM(AU69:CR69)</f>
        <v>0</v>
      </c>
      <c r="CT69" s="146"/>
      <c r="CU69" s="147">
        <f t="shared" ref="CU69:CU106" si="61">AP69-CS69</f>
        <v>0</v>
      </c>
      <c r="CV69" s="156"/>
      <c r="CW69" s="157" t="e">
        <f t="shared" ref="CW69:CW106" si="62">(SUM(M69:Z69))/K69</f>
        <v>#DIV/0!</v>
      </c>
      <c r="CX69" s="157" t="e">
        <f t="shared" ref="CX69:CX107" si="63">(SUM(AA69:AM69))/K69</f>
        <v>#DIV/0!</v>
      </c>
      <c r="CY69" s="157" t="e">
        <f t="shared" ref="CY69:CY107" si="64">(SUM(AU69:BQ69))/$K69</f>
        <v>#DIV/0!</v>
      </c>
      <c r="CZ69" s="157" t="e">
        <f t="shared" ref="CZ69:CZ107" si="65">(SUM(BR69:CC69))/K69</f>
        <v>#DIV/0!</v>
      </c>
      <c r="DA69" s="157" t="e">
        <f t="shared" ref="DA69:DA107" si="66">(SUM(CD69:CR69))/K69</f>
        <v>#DIV/0!</v>
      </c>
      <c r="DB69" s="158" t="e">
        <f t="shared" ref="DB69:DB107" si="67">CU69/K69</f>
        <v>#DIV/0!</v>
      </c>
      <c r="DC69" s="131"/>
      <c r="DD69" s="159">
        <f t="shared" ref="DD69:DD100" si="68">AP69</f>
        <v>0</v>
      </c>
      <c r="DE69" s="160">
        <f t="shared" ref="DE69:DE100" si="69">CS69</f>
        <v>0</v>
      </c>
      <c r="DF69" s="161">
        <f t="shared" ref="DF69:DF100" si="70">$DD69-DE69</f>
        <v>0</v>
      </c>
      <c r="DG69" s="162" t="e">
        <f t="shared" ref="DG69:DG100" si="71">DF69/$DD69</f>
        <v>#DIV/0!</v>
      </c>
      <c r="DH69" s="163">
        <f t="shared" ref="DH69:DH100" si="72">IF(AP69&gt;0.01,1,0)</f>
        <v>0</v>
      </c>
      <c r="DI69" s="164"/>
      <c r="DJ69" s="165">
        <f t="shared" si="55"/>
        <v>0</v>
      </c>
      <c r="DK69" s="166">
        <f t="shared" si="55"/>
        <v>0</v>
      </c>
      <c r="DL69" s="167" t="e">
        <f t="shared" ref="DL69:DL100" si="73">DR69/DF69</f>
        <v>#DIV/0!</v>
      </c>
      <c r="DM69" s="168" t="e">
        <f t="shared" ref="DM69:DM100" si="74">DL69/DK69</f>
        <v>#DIV/0!</v>
      </c>
      <c r="DN69" s="163" t="e">
        <f t="shared" ref="DN69:DN100" si="75">IF(DM69&gt;0.01,1,0)</f>
        <v>#DIV/0!</v>
      </c>
      <c r="DO69" s="169"/>
      <c r="DP69" s="170"/>
      <c r="DQ69" s="171"/>
      <c r="DR69" s="172">
        <f t="shared" ref="DR69:DR100" si="76">DP69+DQ69</f>
        <v>0</v>
      </c>
      <c r="DS69" s="173" t="e">
        <f t="shared" ref="DS69:DS100" si="77">IF(DL69=0,0,DP69/DR69)</f>
        <v>#DIV/0!</v>
      </c>
      <c r="DT69" s="163" t="e">
        <f t="shared" ref="DT69:DT100" si="78">IF(DS69&gt;0.01,1,0)</f>
        <v>#DIV/0!</v>
      </c>
      <c r="DU69" s="174"/>
      <c r="DV69" s="175" t="e">
        <f t="shared" ref="DV69:DV100" si="79">DG69*DM69*DS69</f>
        <v>#DIV/0!</v>
      </c>
      <c r="DW69" s="163">
        <f t="shared" ref="DW69:DW106" si="80">IF($AP69&gt;0.01,1,0)</f>
        <v>0</v>
      </c>
      <c r="DX69" s="164"/>
      <c r="DY69" s="176">
        <f t="shared" ref="DY69:DY107" si="81">DP69</f>
        <v>0</v>
      </c>
      <c r="DZ69" s="177">
        <f t="shared" ref="DZ69:DZ100" si="82">DK69</f>
        <v>0</v>
      </c>
      <c r="EA69" s="178">
        <f t="shared" ref="EA69:EA100" si="83">+AP69</f>
        <v>0</v>
      </c>
      <c r="EB69" s="179">
        <f t="shared" ref="EB69:EB100" si="84">DZ69*EA69</f>
        <v>0</v>
      </c>
      <c r="EC69" s="180"/>
      <c r="ED69" s="175" t="e">
        <f t="shared" ref="ED69:ED100" si="85">DY69/EB69</f>
        <v>#DIV/0!</v>
      </c>
      <c r="EE69" s="163">
        <f t="shared" ref="EE69:EE106" si="86">IF($AP69&gt;0.01,1,0)</f>
        <v>0</v>
      </c>
      <c r="EF69" s="164"/>
      <c r="EG69" s="181">
        <f t="shared" ref="EG69:EG100" si="87">DP69</f>
        <v>0</v>
      </c>
      <c r="EH69" s="182">
        <f t="shared" ref="EH69:EH106" si="88">K69</f>
        <v>0</v>
      </c>
      <c r="EI69" s="182">
        <f t="shared" ref="EI69:EI106" si="89">SUM(M69:Z69)</f>
        <v>0</v>
      </c>
      <c r="EJ69" s="182">
        <f t="shared" ref="EJ69:EJ106" si="90">I69</f>
        <v>0</v>
      </c>
      <c r="EK69" s="183">
        <f t="shared" ref="EK69:EK100" si="91">(EH69-EI69)*EJ69</f>
        <v>0</v>
      </c>
      <c r="EL69" s="184" t="e">
        <f t="shared" ref="EL69:EL100" si="92">EG69/EK69</f>
        <v>#DIV/0!</v>
      </c>
      <c r="EM69" s="185">
        <f t="shared" ref="EM69:EM100" si="93">IF(EK69&gt;0.01,1,0)</f>
        <v>0</v>
      </c>
      <c r="EN69" s="164"/>
      <c r="EO69" s="181">
        <f t="shared" ref="EO69:EO100" si="94">EG69</f>
        <v>0</v>
      </c>
      <c r="EP69" s="183">
        <f t="shared" ref="EP69:EP100" si="95">EJ69</f>
        <v>0</v>
      </c>
      <c r="EQ69" s="184" t="e">
        <f t="shared" ref="EQ69:EQ106" si="96">EO69/(EP69*K69)</f>
        <v>#DIV/0!</v>
      </c>
      <c r="ER69" s="185">
        <f t="shared" ref="ER69:ER106" si="97">IF($K69&gt;0.01,1,0)</f>
        <v>0</v>
      </c>
      <c r="ES69" s="164"/>
      <c r="ET69" s="164"/>
      <c r="EU69" s="186">
        <f t="shared" ref="EU69:EU107" si="98">DK69</f>
        <v>0</v>
      </c>
      <c r="EV69" s="186">
        <f t="shared" ref="EV69:EV100" si="99">CU69</f>
        <v>0</v>
      </c>
      <c r="EW69" s="186">
        <f t="shared" ref="EW69:EW106" si="100">I69*CU69</f>
        <v>0</v>
      </c>
      <c r="EX69" s="186">
        <f t="shared" ref="EX69:EX100" si="101">DR69</f>
        <v>0</v>
      </c>
      <c r="EY69" s="131"/>
      <c r="EZ69" s="187">
        <f t="shared" ref="EZ69:EZ100" si="102">EW69-EX69</f>
        <v>0</v>
      </c>
      <c r="FA69" s="188" t="e">
        <f t="shared" ref="FA69:FA106" si="103">+IF(EZ69/I69&lt;0,0,(EZ69/I69))</f>
        <v>#DIV/0!</v>
      </c>
      <c r="FB69" s="189"/>
      <c r="FC69" s="131"/>
      <c r="FD69" s="131"/>
      <c r="FE69" s="131"/>
      <c r="FF69" s="131"/>
      <c r="FG69" s="131"/>
    </row>
    <row r="70" spans="2:163" ht="16" outlineLevel="1" thickBot="1" x14ac:dyDescent="0.4">
      <c r="B70" s="358"/>
      <c r="C70" s="355"/>
      <c r="D70" s="243"/>
      <c r="E70" s="244"/>
      <c r="F70" s="135"/>
      <c r="G70" s="192"/>
      <c r="H70" s="245"/>
      <c r="I70" s="138">
        <f t="shared" si="56"/>
        <v>0</v>
      </c>
      <c r="J70" s="139"/>
      <c r="K70" s="208">
        <f t="shared" si="57"/>
        <v>0</v>
      </c>
      <c r="L70" s="141"/>
      <c r="M70" s="209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09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1"/>
      <c r="AN70" s="212">
        <f t="shared" si="58"/>
        <v>0</v>
      </c>
      <c r="AO70" s="146"/>
      <c r="AP70" s="147">
        <f t="shared" si="59"/>
        <v>0</v>
      </c>
      <c r="AQ70" s="148"/>
      <c r="AR70" s="213"/>
      <c r="AS70" s="213"/>
      <c r="AT70" s="135"/>
      <c r="AU70" s="214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6"/>
      <c r="BG70" s="216"/>
      <c r="BH70" s="216"/>
      <c r="BI70" s="216"/>
      <c r="BJ70" s="216"/>
      <c r="BK70" s="216"/>
      <c r="BL70" s="216"/>
      <c r="BM70" s="216"/>
      <c r="BN70" s="216"/>
      <c r="BO70" s="216"/>
      <c r="BP70" s="216"/>
      <c r="BQ70" s="216"/>
      <c r="BR70" s="214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7"/>
      <c r="CD70" s="214"/>
      <c r="CE70" s="209"/>
      <c r="CF70" s="210"/>
      <c r="CG70" s="210"/>
      <c r="CH70" s="210"/>
      <c r="CI70" s="210"/>
      <c r="CJ70" s="210"/>
      <c r="CK70" s="210"/>
      <c r="CL70" s="210"/>
      <c r="CM70" s="210"/>
      <c r="CN70" s="210"/>
      <c r="CO70" s="348"/>
      <c r="CP70" s="215"/>
      <c r="CQ70" s="216"/>
      <c r="CR70" s="217"/>
      <c r="CS70" s="218">
        <f t="shared" si="60"/>
        <v>0</v>
      </c>
      <c r="CT70" s="146"/>
      <c r="CU70" s="147">
        <f t="shared" si="61"/>
        <v>0</v>
      </c>
      <c r="CV70" s="156"/>
      <c r="CW70" s="157" t="e">
        <f t="shared" si="62"/>
        <v>#DIV/0!</v>
      </c>
      <c r="CX70" s="157" t="e">
        <f t="shared" si="63"/>
        <v>#DIV/0!</v>
      </c>
      <c r="CY70" s="157" t="e">
        <f t="shared" si="64"/>
        <v>#DIV/0!</v>
      </c>
      <c r="CZ70" s="157" t="e">
        <f t="shared" si="65"/>
        <v>#DIV/0!</v>
      </c>
      <c r="DA70" s="157" t="e">
        <f t="shared" si="66"/>
        <v>#DIV/0!</v>
      </c>
      <c r="DB70" s="158" t="e">
        <f t="shared" si="67"/>
        <v>#DIV/0!</v>
      </c>
      <c r="DC70" s="131"/>
      <c r="DD70" s="159">
        <f t="shared" si="68"/>
        <v>0</v>
      </c>
      <c r="DE70" s="160">
        <f t="shared" si="69"/>
        <v>0</v>
      </c>
      <c r="DF70" s="161">
        <f t="shared" si="70"/>
        <v>0</v>
      </c>
      <c r="DG70" s="162" t="e">
        <f t="shared" si="71"/>
        <v>#DIV/0!</v>
      </c>
      <c r="DH70" s="163">
        <f t="shared" si="72"/>
        <v>0</v>
      </c>
      <c r="DI70" s="164"/>
      <c r="DJ70" s="165">
        <f t="shared" si="55"/>
        <v>0</v>
      </c>
      <c r="DK70" s="166">
        <f t="shared" si="55"/>
        <v>0</v>
      </c>
      <c r="DL70" s="167" t="e">
        <f t="shared" si="73"/>
        <v>#DIV/0!</v>
      </c>
      <c r="DM70" s="168" t="e">
        <f t="shared" si="74"/>
        <v>#DIV/0!</v>
      </c>
      <c r="DN70" s="163" t="e">
        <f t="shared" si="75"/>
        <v>#DIV/0!</v>
      </c>
      <c r="DO70" s="169"/>
      <c r="DP70" s="170"/>
      <c r="DQ70" s="171"/>
      <c r="DR70" s="172">
        <f t="shared" si="76"/>
        <v>0</v>
      </c>
      <c r="DS70" s="173" t="e">
        <f t="shared" si="77"/>
        <v>#DIV/0!</v>
      </c>
      <c r="DT70" s="163" t="e">
        <f t="shared" si="78"/>
        <v>#DIV/0!</v>
      </c>
      <c r="DU70" s="174"/>
      <c r="DV70" s="175" t="e">
        <f t="shared" si="79"/>
        <v>#DIV/0!</v>
      </c>
      <c r="DW70" s="163">
        <f t="shared" si="80"/>
        <v>0</v>
      </c>
      <c r="DX70" s="164"/>
      <c r="DY70" s="176">
        <f t="shared" si="81"/>
        <v>0</v>
      </c>
      <c r="DZ70" s="177">
        <f t="shared" si="82"/>
        <v>0</v>
      </c>
      <c r="EA70" s="178">
        <f t="shared" si="83"/>
        <v>0</v>
      </c>
      <c r="EB70" s="179">
        <f t="shared" si="84"/>
        <v>0</v>
      </c>
      <c r="EC70" s="180"/>
      <c r="ED70" s="175" t="e">
        <f t="shared" si="85"/>
        <v>#DIV/0!</v>
      </c>
      <c r="EE70" s="163">
        <f t="shared" si="86"/>
        <v>0</v>
      </c>
      <c r="EF70" s="164"/>
      <c r="EG70" s="181">
        <f t="shared" si="87"/>
        <v>0</v>
      </c>
      <c r="EH70" s="182">
        <f t="shared" si="88"/>
        <v>0</v>
      </c>
      <c r="EI70" s="182">
        <f t="shared" si="89"/>
        <v>0</v>
      </c>
      <c r="EJ70" s="182">
        <f t="shared" si="90"/>
        <v>0</v>
      </c>
      <c r="EK70" s="183">
        <f t="shared" si="91"/>
        <v>0</v>
      </c>
      <c r="EL70" s="184" t="e">
        <f t="shared" si="92"/>
        <v>#DIV/0!</v>
      </c>
      <c r="EM70" s="185">
        <f t="shared" si="93"/>
        <v>0</v>
      </c>
      <c r="EN70" s="164"/>
      <c r="EO70" s="181">
        <f t="shared" si="94"/>
        <v>0</v>
      </c>
      <c r="EP70" s="183">
        <f t="shared" si="95"/>
        <v>0</v>
      </c>
      <c r="EQ70" s="184" t="e">
        <f t="shared" si="96"/>
        <v>#DIV/0!</v>
      </c>
      <c r="ER70" s="185">
        <f t="shared" si="97"/>
        <v>0</v>
      </c>
      <c r="ES70" s="164"/>
      <c r="ET70" s="164"/>
      <c r="EU70" s="186">
        <f t="shared" si="98"/>
        <v>0</v>
      </c>
      <c r="EV70" s="186">
        <f t="shared" si="99"/>
        <v>0</v>
      </c>
      <c r="EW70" s="186">
        <f t="shared" si="100"/>
        <v>0</v>
      </c>
      <c r="EX70" s="186">
        <f t="shared" si="101"/>
        <v>0</v>
      </c>
      <c r="EY70" s="131"/>
      <c r="EZ70" s="187">
        <f t="shared" si="102"/>
        <v>0</v>
      </c>
      <c r="FA70" s="188" t="e">
        <f t="shared" si="103"/>
        <v>#DIV/0!</v>
      </c>
      <c r="FB70" s="189"/>
      <c r="FC70" s="131"/>
      <c r="FD70" s="131"/>
      <c r="FE70" s="131"/>
      <c r="FF70" s="131"/>
      <c r="FG70" s="131"/>
    </row>
    <row r="71" spans="2:163" ht="16" outlineLevel="1" thickBot="1" x14ac:dyDescent="0.4">
      <c r="B71" s="356"/>
      <c r="C71" s="353"/>
      <c r="D71" s="133"/>
      <c r="E71" s="134"/>
      <c r="F71" s="135"/>
      <c r="G71" s="136"/>
      <c r="H71" s="137"/>
      <c r="I71" s="138">
        <f>IF(E71&gt;0.0001,9.4,0)</f>
        <v>0</v>
      </c>
      <c r="J71" s="139"/>
      <c r="K71" s="140">
        <f>E71*60</f>
        <v>0</v>
      </c>
      <c r="L71" s="141"/>
      <c r="M71" s="142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2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4"/>
      <c r="AN71" s="145">
        <f t="shared" si="58"/>
        <v>0</v>
      </c>
      <c r="AO71" s="146"/>
      <c r="AP71" s="147">
        <f t="shared" si="59"/>
        <v>0</v>
      </c>
      <c r="AQ71" s="148"/>
      <c r="AR71" s="149"/>
      <c r="AS71" s="149"/>
      <c r="AT71" s="135"/>
      <c r="AU71" s="150"/>
      <c r="AV71" s="151"/>
      <c r="AW71" s="151"/>
      <c r="AX71" s="151"/>
      <c r="AY71" s="151"/>
      <c r="AZ71" s="151"/>
      <c r="BA71" s="151"/>
      <c r="BB71" s="151"/>
      <c r="BC71" s="151"/>
      <c r="BD71" s="151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0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4"/>
      <c r="CD71" s="150"/>
      <c r="CE71" s="142"/>
      <c r="CF71" s="143"/>
      <c r="CG71" s="143"/>
      <c r="CH71" s="143"/>
      <c r="CI71" s="143"/>
      <c r="CJ71" s="143"/>
      <c r="CK71" s="143"/>
      <c r="CL71" s="143"/>
      <c r="CM71" s="143"/>
      <c r="CN71" s="143"/>
      <c r="CO71" s="346"/>
      <c r="CP71" s="151"/>
      <c r="CQ71" s="152"/>
      <c r="CR71" s="154"/>
      <c r="CS71" s="155">
        <f t="shared" si="60"/>
        <v>0</v>
      </c>
      <c r="CT71" s="146"/>
      <c r="CU71" s="147">
        <f t="shared" si="61"/>
        <v>0</v>
      </c>
      <c r="CV71" s="156"/>
      <c r="CW71" s="157" t="e">
        <f t="shared" si="62"/>
        <v>#DIV/0!</v>
      </c>
      <c r="CX71" s="157" t="e">
        <f t="shared" si="63"/>
        <v>#DIV/0!</v>
      </c>
      <c r="CY71" s="157" t="e">
        <f t="shared" si="64"/>
        <v>#DIV/0!</v>
      </c>
      <c r="CZ71" s="157" t="e">
        <f t="shared" si="65"/>
        <v>#DIV/0!</v>
      </c>
      <c r="DA71" s="157" t="e">
        <f t="shared" si="66"/>
        <v>#DIV/0!</v>
      </c>
      <c r="DB71" s="158" t="e">
        <f t="shared" si="67"/>
        <v>#DIV/0!</v>
      </c>
      <c r="DC71" s="131"/>
      <c r="DD71" s="159">
        <f t="shared" si="68"/>
        <v>0</v>
      </c>
      <c r="DE71" s="160">
        <f t="shared" si="69"/>
        <v>0</v>
      </c>
      <c r="DF71" s="161">
        <f t="shared" si="70"/>
        <v>0</v>
      </c>
      <c r="DG71" s="162" t="e">
        <f t="shared" si="71"/>
        <v>#DIV/0!</v>
      </c>
      <c r="DH71" s="163">
        <f t="shared" si="72"/>
        <v>0</v>
      </c>
      <c r="DI71" s="164"/>
      <c r="DJ71" s="165">
        <f t="shared" si="55"/>
        <v>0</v>
      </c>
      <c r="DK71" s="166">
        <f t="shared" si="55"/>
        <v>0</v>
      </c>
      <c r="DL71" s="167" t="e">
        <f t="shared" si="73"/>
        <v>#DIV/0!</v>
      </c>
      <c r="DM71" s="168" t="e">
        <f t="shared" si="74"/>
        <v>#DIV/0!</v>
      </c>
      <c r="DN71" s="163" t="e">
        <f t="shared" si="75"/>
        <v>#DIV/0!</v>
      </c>
      <c r="DO71" s="169"/>
      <c r="DP71" s="170"/>
      <c r="DQ71" s="171"/>
      <c r="DR71" s="172">
        <f t="shared" si="76"/>
        <v>0</v>
      </c>
      <c r="DS71" s="173" t="e">
        <f t="shared" si="77"/>
        <v>#DIV/0!</v>
      </c>
      <c r="DT71" s="163" t="e">
        <f t="shared" si="78"/>
        <v>#DIV/0!</v>
      </c>
      <c r="DU71" s="174"/>
      <c r="DV71" s="175" t="e">
        <f t="shared" si="79"/>
        <v>#DIV/0!</v>
      </c>
      <c r="DW71" s="163">
        <f t="shared" si="80"/>
        <v>0</v>
      </c>
      <c r="DX71" s="164"/>
      <c r="DY71" s="176">
        <f t="shared" si="81"/>
        <v>0</v>
      </c>
      <c r="DZ71" s="177">
        <f t="shared" si="82"/>
        <v>0</v>
      </c>
      <c r="EA71" s="178">
        <f t="shared" si="83"/>
        <v>0</v>
      </c>
      <c r="EB71" s="179">
        <f t="shared" si="84"/>
        <v>0</v>
      </c>
      <c r="EC71" s="180"/>
      <c r="ED71" s="175" t="e">
        <f t="shared" si="85"/>
        <v>#DIV/0!</v>
      </c>
      <c r="EE71" s="163">
        <f t="shared" si="86"/>
        <v>0</v>
      </c>
      <c r="EF71" s="164"/>
      <c r="EG71" s="181">
        <f t="shared" si="87"/>
        <v>0</v>
      </c>
      <c r="EH71" s="182">
        <f t="shared" si="88"/>
        <v>0</v>
      </c>
      <c r="EI71" s="182">
        <f t="shared" si="89"/>
        <v>0</v>
      </c>
      <c r="EJ71" s="182">
        <f t="shared" si="90"/>
        <v>0</v>
      </c>
      <c r="EK71" s="183">
        <f t="shared" si="91"/>
        <v>0</v>
      </c>
      <c r="EL71" s="184" t="e">
        <f t="shared" si="92"/>
        <v>#DIV/0!</v>
      </c>
      <c r="EM71" s="185">
        <f t="shared" si="93"/>
        <v>0</v>
      </c>
      <c r="EN71" s="164"/>
      <c r="EO71" s="181">
        <f t="shared" si="94"/>
        <v>0</v>
      </c>
      <c r="EP71" s="183">
        <f t="shared" si="95"/>
        <v>0</v>
      </c>
      <c r="EQ71" s="184" t="e">
        <f t="shared" si="96"/>
        <v>#DIV/0!</v>
      </c>
      <c r="ER71" s="185">
        <f t="shared" si="97"/>
        <v>0</v>
      </c>
      <c r="ES71" s="164"/>
      <c r="ET71" s="164"/>
      <c r="EU71" s="186">
        <f t="shared" si="98"/>
        <v>0</v>
      </c>
      <c r="EV71" s="186">
        <f t="shared" si="99"/>
        <v>0</v>
      </c>
      <c r="EW71" s="186">
        <f t="shared" si="100"/>
        <v>0</v>
      </c>
      <c r="EX71" s="186">
        <f t="shared" si="101"/>
        <v>0</v>
      </c>
      <c r="EY71" s="131"/>
      <c r="EZ71" s="187">
        <f t="shared" si="102"/>
        <v>0</v>
      </c>
      <c r="FA71" s="188" t="e">
        <f t="shared" si="103"/>
        <v>#DIV/0!</v>
      </c>
      <c r="FB71" s="189"/>
      <c r="FC71" s="131"/>
      <c r="FD71" s="131"/>
      <c r="FE71" s="131"/>
      <c r="FF71" s="131"/>
      <c r="FG71" s="131"/>
    </row>
    <row r="72" spans="2:163" ht="16" outlineLevel="1" thickBot="1" x14ac:dyDescent="0.4">
      <c r="B72" s="357"/>
      <c r="C72" s="354"/>
      <c r="D72" s="240"/>
      <c r="E72" s="241"/>
      <c r="F72" s="135"/>
      <c r="G72" s="192"/>
      <c r="H72" s="242"/>
      <c r="I72" s="138">
        <f t="shared" si="56"/>
        <v>0</v>
      </c>
      <c r="J72" s="139"/>
      <c r="K72" s="193">
        <f t="shared" ref="K72:K73" si="104">E72*60</f>
        <v>0</v>
      </c>
      <c r="L72" s="141"/>
      <c r="M72" s="194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4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6"/>
      <c r="AN72" s="197">
        <f t="shared" si="58"/>
        <v>0</v>
      </c>
      <c r="AO72" s="146"/>
      <c r="AP72" s="147">
        <f t="shared" si="59"/>
        <v>0</v>
      </c>
      <c r="AQ72" s="148"/>
      <c r="AR72" s="198"/>
      <c r="AS72" s="198"/>
      <c r="AT72" s="135"/>
      <c r="AU72" s="199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1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1"/>
      <c r="BR72" s="199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2"/>
      <c r="CD72" s="199"/>
      <c r="CE72" s="194"/>
      <c r="CF72" s="195"/>
      <c r="CG72" s="195"/>
      <c r="CH72" s="195"/>
      <c r="CI72" s="195"/>
      <c r="CJ72" s="195"/>
      <c r="CK72" s="195"/>
      <c r="CL72" s="195"/>
      <c r="CM72" s="195"/>
      <c r="CN72" s="195"/>
      <c r="CO72" s="347"/>
      <c r="CP72" s="200"/>
      <c r="CQ72" s="201"/>
      <c r="CR72" s="202"/>
      <c r="CS72" s="203">
        <f t="shared" si="60"/>
        <v>0</v>
      </c>
      <c r="CT72" s="146"/>
      <c r="CU72" s="147">
        <f t="shared" si="61"/>
        <v>0</v>
      </c>
      <c r="CV72" s="156"/>
      <c r="CW72" s="157" t="e">
        <f t="shared" si="62"/>
        <v>#DIV/0!</v>
      </c>
      <c r="CX72" s="157" t="e">
        <f t="shared" si="63"/>
        <v>#DIV/0!</v>
      </c>
      <c r="CY72" s="157" t="e">
        <f t="shared" si="64"/>
        <v>#DIV/0!</v>
      </c>
      <c r="CZ72" s="157" t="e">
        <f t="shared" si="65"/>
        <v>#DIV/0!</v>
      </c>
      <c r="DA72" s="157" t="e">
        <f t="shared" si="66"/>
        <v>#DIV/0!</v>
      </c>
      <c r="DB72" s="158" t="e">
        <f t="shared" si="67"/>
        <v>#DIV/0!</v>
      </c>
      <c r="DC72" s="131"/>
      <c r="DD72" s="159">
        <f t="shared" si="68"/>
        <v>0</v>
      </c>
      <c r="DE72" s="160">
        <f t="shared" si="69"/>
        <v>0</v>
      </c>
      <c r="DF72" s="161">
        <f t="shared" si="70"/>
        <v>0</v>
      </c>
      <c r="DG72" s="162" t="e">
        <f t="shared" si="71"/>
        <v>#DIV/0!</v>
      </c>
      <c r="DH72" s="163">
        <f t="shared" si="72"/>
        <v>0</v>
      </c>
      <c r="DI72" s="164"/>
      <c r="DJ72" s="165">
        <f t="shared" si="55"/>
        <v>0</v>
      </c>
      <c r="DK72" s="166">
        <f t="shared" si="55"/>
        <v>0</v>
      </c>
      <c r="DL72" s="167" t="e">
        <f t="shared" si="73"/>
        <v>#DIV/0!</v>
      </c>
      <c r="DM72" s="168" t="e">
        <f t="shared" si="74"/>
        <v>#DIV/0!</v>
      </c>
      <c r="DN72" s="163" t="e">
        <f t="shared" si="75"/>
        <v>#DIV/0!</v>
      </c>
      <c r="DO72" s="169"/>
      <c r="DP72" s="170"/>
      <c r="DQ72" s="171"/>
      <c r="DR72" s="172">
        <f t="shared" si="76"/>
        <v>0</v>
      </c>
      <c r="DS72" s="173" t="e">
        <f t="shared" si="77"/>
        <v>#DIV/0!</v>
      </c>
      <c r="DT72" s="163" t="e">
        <f t="shared" si="78"/>
        <v>#DIV/0!</v>
      </c>
      <c r="DU72" s="174"/>
      <c r="DV72" s="175" t="e">
        <f t="shared" si="79"/>
        <v>#DIV/0!</v>
      </c>
      <c r="DW72" s="163">
        <f t="shared" si="80"/>
        <v>0</v>
      </c>
      <c r="DX72" s="164"/>
      <c r="DY72" s="176">
        <f t="shared" si="81"/>
        <v>0</v>
      </c>
      <c r="DZ72" s="177">
        <f t="shared" si="82"/>
        <v>0</v>
      </c>
      <c r="EA72" s="178">
        <f t="shared" si="83"/>
        <v>0</v>
      </c>
      <c r="EB72" s="179">
        <f t="shared" si="84"/>
        <v>0</v>
      </c>
      <c r="EC72" s="180"/>
      <c r="ED72" s="175" t="e">
        <f t="shared" si="85"/>
        <v>#DIV/0!</v>
      </c>
      <c r="EE72" s="163">
        <f t="shared" si="86"/>
        <v>0</v>
      </c>
      <c r="EF72" s="164"/>
      <c r="EG72" s="181">
        <f t="shared" si="87"/>
        <v>0</v>
      </c>
      <c r="EH72" s="182">
        <f t="shared" si="88"/>
        <v>0</v>
      </c>
      <c r="EI72" s="182">
        <f t="shared" si="89"/>
        <v>0</v>
      </c>
      <c r="EJ72" s="182">
        <f t="shared" si="90"/>
        <v>0</v>
      </c>
      <c r="EK72" s="183">
        <f t="shared" si="91"/>
        <v>0</v>
      </c>
      <c r="EL72" s="184" t="e">
        <f t="shared" si="92"/>
        <v>#DIV/0!</v>
      </c>
      <c r="EM72" s="185">
        <f t="shared" si="93"/>
        <v>0</v>
      </c>
      <c r="EN72" s="164"/>
      <c r="EO72" s="181">
        <f t="shared" si="94"/>
        <v>0</v>
      </c>
      <c r="EP72" s="183">
        <f t="shared" si="95"/>
        <v>0</v>
      </c>
      <c r="EQ72" s="184" t="e">
        <f t="shared" si="96"/>
        <v>#DIV/0!</v>
      </c>
      <c r="ER72" s="185">
        <f t="shared" si="97"/>
        <v>0</v>
      </c>
      <c r="ES72" s="164"/>
      <c r="ET72" s="164"/>
      <c r="EU72" s="186">
        <f t="shared" si="98"/>
        <v>0</v>
      </c>
      <c r="EV72" s="186">
        <f t="shared" si="99"/>
        <v>0</v>
      </c>
      <c r="EW72" s="186">
        <f t="shared" si="100"/>
        <v>0</v>
      </c>
      <c r="EX72" s="186">
        <f t="shared" si="101"/>
        <v>0</v>
      </c>
      <c r="EY72" s="131"/>
      <c r="EZ72" s="187">
        <f t="shared" si="102"/>
        <v>0</v>
      </c>
      <c r="FA72" s="188" t="e">
        <f t="shared" si="103"/>
        <v>#DIV/0!</v>
      </c>
      <c r="FB72" s="189"/>
      <c r="FC72" s="131"/>
      <c r="FD72" s="131"/>
      <c r="FE72" s="131"/>
      <c r="FF72" s="131"/>
      <c r="FG72" s="131"/>
    </row>
    <row r="73" spans="2:163" ht="16" outlineLevel="1" thickBot="1" x14ac:dyDescent="0.4">
      <c r="B73" s="358"/>
      <c r="C73" s="355"/>
      <c r="D73" s="243"/>
      <c r="E73" s="244"/>
      <c r="F73" s="135"/>
      <c r="G73" s="192"/>
      <c r="H73" s="245"/>
      <c r="I73" s="138">
        <f t="shared" si="56"/>
        <v>0</v>
      </c>
      <c r="J73" s="139"/>
      <c r="K73" s="208">
        <f t="shared" si="104"/>
        <v>0</v>
      </c>
      <c r="L73" s="141"/>
      <c r="M73" s="209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09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1"/>
      <c r="AN73" s="212">
        <f t="shared" si="58"/>
        <v>0</v>
      </c>
      <c r="AO73" s="146"/>
      <c r="AP73" s="147">
        <f t="shared" si="59"/>
        <v>0</v>
      </c>
      <c r="AQ73" s="148"/>
      <c r="AR73" s="213"/>
      <c r="AS73" s="213"/>
      <c r="AT73" s="135"/>
      <c r="AU73" s="214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4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7"/>
      <c r="CD73" s="214"/>
      <c r="CE73" s="209"/>
      <c r="CF73" s="210"/>
      <c r="CG73" s="210"/>
      <c r="CH73" s="210"/>
      <c r="CI73" s="210"/>
      <c r="CJ73" s="210"/>
      <c r="CK73" s="210"/>
      <c r="CL73" s="210"/>
      <c r="CM73" s="210"/>
      <c r="CN73" s="210"/>
      <c r="CO73" s="348"/>
      <c r="CP73" s="215"/>
      <c r="CQ73" s="216"/>
      <c r="CR73" s="217"/>
      <c r="CS73" s="218">
        <f t="shared" si="60"/>
        <v>0</v>
      </c>
      <c r="CT73" s="146"/>
      <c r="CU73" s="147">
        <f t="shared" si="61"/>
        <v>0</v>
      </c>
      <c r="CV73" s="156"/>
      <c r="CW73" s="157" t="e">
        <f t="shared" si="62"/>
        <v>#DIV/0!</v>
      </c>
      <c r="CX73" s="157" t="e">
        <f t="shared" si="63"/>
        <v>#DIV/0!</v>
      </c>
      <c r="CY73" s="157" t="e">
        <f t="shared" si="64"/>
        <v>#DIV/0!</v>
      </c>
      <c r="CZ73" s="157" t="e">
        <f t="shared" si="65"/>
        <v>#DIV/0!</v>
      </c>
      <c r="DA73" s="157" t="e">
        <f t="shared" si="66"/>
        <v>#DIV/0!</v>
      </c>
      <c r="DB73" s="158" t="e">
        <f t="shared" si="67"/>
        <v>#DIV/0!</v>
      </c>
      <c r="DC73" s="131"/>
      <c r="DD73" s="159">
        <f t="shared" si="68"/>
        <v>0</v>
      </c>
      <c r="DE73" s="160">
        <f t="shared" si="69"/>
        <v>0</v>
      </c>
      <c r="DF73" s="161">
        <f t="shared" si="70"/>
        <v>0</v>
      </c>
      <c r="DG73" s="162" t="e">
        <f t="shared" si="71"/>
        <v>#DIV/0!</v>
      </c>
      <c r="DH73" s="163">
        <f t="shared" si="72"/>
        <v>0</v>
      </c>
      <c r="DI73" s="164"/>
      <c r="DJ73" s="165">
        <f t="shared" si="55"/>
        <v>0</v>
      </c>
      <c r="DK73" s="166">
        <f t="shared" si="55"/>
        <v>0</v>
      </c>
      <c r="DL73" s="167" t="e">
        <f t="shared" si="73"/>
        <v>#DIV/0!</v>
      </c>
      <c r="DM73" s="168" t="e">
        <f t="shared" si="74"/>
        <v>#DIV/0!</v>
      </c>
      <c r="DN73" s="163" t="e">
        <f t="shared" si="75"/>
        <v>#DIV/0!</v>
      </c>
      <c r="DO73" s="169"/>
      <c r="DP73" s="170"/>
      <c r="DQ73" s="171"/>
      <c r="DR73" s="172">
        <f t="shared" si="76"/>
        <v>0</v>
      </c>
      <c r="DS73" s="173" t="e">
        <f t="shared" si="77"/>
        <v>#DIV/0!</v>
      </c>
      <c r="DT73" s="163" t="e">
        <f t="shared" si="78"/>
        <v>#DIV/0!</v>
      </c>
      <c r="DU73" s="174"/>
      <c r="DV73" s="175" t="e">
        <f t="shared" si="79"/>
        <v>#DIV/0!</v>
      </c>
      <c r="DW73" s="163">
        <f t="shared" si="80"/>
        <v>0</v>
      </c>
      <c r="DX73" s="164"/>
      <c r="DY73" s="176">
        <f t="shared" si="81"/>
        <v>0</v>
      </c>
      <c r="DZ73" s="177">
        <f t="shared" si="82"/>
        <v>0</v>
      </c>
      <c r="EA73" s="178">
        <f t="shared" si="83"/>
        <v>0</v>
      </c>
      <c r="EB73" s="179">
        <f t="shared" si="84"/>
        <v>0</v>
      </c>
      <c r="EC73" s="180"/>
      <c r="ED73" s="175" t="e">
        <f t="shared" si="85"/>
        <v>#DIV/0!</v>
      </c>
      <c r="EE73" s="163">
        <f t="shared" si="86"/>
        <v>0</v>
      </c>
      <c r="EF73" s="164"/>
      <c r="EG73" s="181">
        <f t="shared" si="87"/>
        <v>0</v>
      </c>
      <c r="EH73" s="182">
        <f t="shared" si="88"/>
        <v>0</v>
      </c>
      <c r="EI73" s="182">
        <f t="shared" si="89"/>
        <v>0</v>
      </c>
      <c r="EJ73" s="182">
        <f t="shared" si="90"/>
        <v>0</v>
      </c>
      <c r="EK73" s="183">
        <f t="shared" si="91"/>
        <v>0</v>
      </c>
      <c r="EL73" s="184" t="e">
        <f t="shared" si="92"/>
        <v>#DIV/0!</v>
      </c>
      <c r="EM73" s="185">
        <f t="shared" si="93"/>
        <v>0</v>
      </c>
      <c r="EN73" s="164"/>
      <c r="EO73" s="181">
        <f t="shared" si="94"/>
        <v>0</v>
      </c>
      <c r="EP73" s="183">
        <f t="shared" si="95"/>
        <v>0</v>
      </c>
      <c r="EQ73" s="184" t="e">
        <f t="shared" si="96"/>
        <v>#DIV/0!</v>
      </c>
      <c r="ER73" s="185">
        <f t="shared" si="97"/>
        <v>0</v>
      </c>
      <c r="ES73" s="164"/>
      <c r="ET73" s="164"/>
      <c r="EU73" s="186">
        <f t="shared" si="98"/>
        <v>0</v>
      </c>
      <c r="EV73" s="186">
        <f t="shared" si="99"/>
        <v>0</v>
      </c>
      <c r="EW73" s="186">
        <f t="shared" si="100"/>
        <v>0</v>
      </c>
      <c r="EX73" s="186">
        <f t="shared" si="101"/>
        <v>0</v>
      </c>
      <c r="EY73" s="131"/>
      <c r="EZ73" s="187">
        <f t="shared" si="102"/>
        <v>0</v>
      </c>
      <c r="FA73" s="188" t="e">
        <f t="shared" si="103"/>
        <v>#DIV/0!</v>
      </c>
      <c r="FB73" s="189"/>
      <c r="FC73" s="131"/>
      <c r="FD73" s="131"/>
      <c r="FE73" s="131"/>
      <c r="FF73" s="131"/>
      <c r="FG73" s="131"/>
    </row>
    <row r="74" spans="2:163" ht="16" outlineLevel="1" thickBot="1" x14ac:dyDescent="0.4">
      <c r="B74" s="356"/>
      <c r="C74" s="353"/>
      <c r="D74" s="133"/>
      <c r="E74" s="134"/>
      <c r="F74" s="135"/>
      <c r="G74" s="136"/>
      <c r="H74" s="137"/>
      <c r="I74" s="138">
        <f>IF(E74&gt;0.0001,11,0)</f>
        <v>0</v>
      </c>
      <c r="J74" s="139"/>
      <c r="K74" s="140">
        <f>E74*60</f>
        <v>0</v>
      </c>
      <c r="L74" s="141"/>
      <c r="M74" s="142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2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4"/>
      <c r="AN74" s="145">
        <f t="shared" si="58"/>
        <v>0</v>
      </c>
      <c r="AO74" s="146"/>
      <c r="AP74" s="147">
        <f t="shared" si="59"/>
        <v>0</v>
      </c>
      <c r="AQ74" s="148"/>
      <c r="AR74" s="149"/>
      <c r="AS74" s="149"/>
      <c r="AT74" s="135"/>
      <c r="AU74" s="150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0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4"/>
      <c r="CD74" s="150"/>
      <c r="CE74" s="142"/>
      <c r="CF74" s="143"/>
      <c r="CG74" s="143"/>
      <c r="CH74" s="143"/>
      <c r="CI74" s="143"/>
      <c r="CJ74" s="143"/>
      <c r="CK74" s="143"/>
      <c r="CL74" s="143"/>
      <c r="CM74" s="143"/>
      <c r="CN74" s="143"/>
      <c r="CO74" s="346"/>
      <c r="CP74" s="151"/>
      <c r="CQ74" s="152"/>
      <c r="CR74" s="154"/>
      <c r="CS74" s="155">
        <f t="shared" si="60"/>
        <v>0</v>
      </c>
      <c r="CT74" s="146"/>
      <c r="CU74" s="147">
        <f t="shared" si="61"/>
        <v>0</v>
      </c>
      <c r="CV74" s="156"/>
      <c r="CW74" s="157" t="e">
        <f t="shared" si="62"/>
        <v>#DIV/0!</v>
      </c>
      <c r="CX74" s="157" t="e">
        <f t="shared" si="63"/>
        <v>#DIV/0!</v>
      </c>
      <c r="CY74" s="157" t="e">
        <f t="shared" si="64"/>
        <v>#DIV/0!</v>
      </c>
      <c r="CZ74" s="157" t="e">
        <f t="shared" si="65"/>
        <v>#DIV/0!</v>
      </c>
      <c r="DA74" s="157" t="e">
        <f t="shared" si="66"/>
        <v>#DIV/0!</v>
      </c>
      <c r="DB74" s="158" t="e">
        <f t="shared" si="67"/>
        <v>#DIV/0!</v>
      </c>
      <c r="DC74" s="131"/>
      <c r="DD74" s="159">
        <f t="shared" si="68"/>
        <v>0</v>
      </c>
      <c r="DE74" s="160">
        <f t="shared" si="69"/>
        <v>0</v>
      </c>
      <c r="DF74" s="161">
        <f t="shared" si="70"/>
        <v>0</v>
      </c>
      <c r="DG74" s="162" t="e">
        <f t="shared" si="71"/>
        <v>#DIV/0!</v>
      </c>
      <c r="DH74" s="163">
        <f t="shared" si="72"/>
        <v>0</v>
      </c>
      <c r="DI74" s="164"/>
      <c r="DJ74" s="165">
        <f t="shared" si="55"/>
        <v>0</v>
      </c>
      <c r="DK74" s="166">
        <f t="shared" si="55"/>
        <v>0</v>
      </c>
      <c r="DL74" s="167" t="e">
        <f t="shared" si="73"/>
        <v>#DIV/0!</v>
      </c>
      <c r="DM74" s="168" t="e">
        <f t="shared" si="74"/>
        <v>#DIV/0!</v>
      </c>
      <c r="DN74" s="163" t="e">
        <f t="shared" si="75"/>
        <v>#DIV/0!</v>
      </c>
      <c r="DO74" s="169"/>
      <c r="DP74" s="170"/>
      <c r="DQ74" s="171"/>
      <c r="DR74" s="172">
        <f t="shared" si="76"/>
        <v>0</v>
      </c>
      <c r="DS74" s="173" t="e">
        <f t="shared" si="77"/>
        <v>#DIV/0!</v>
      </c>
      <c r="DT74" s="163" t="e">
        <f t="shared" si="78"/>
        <v>#DIV/0!</v>
      </c>
      <c r="DU74" s="174"/>
      <c r="DV74" s="175" t="e">
        <f t="shared" si="79"/>
        <v>#DIV/0!</v>
      </c>
      <c r="DW74" s="163">
        <f t="shared" si="80"/>
        <v>0</v>
      </c>
      <c r="DX74" s="164"/>
      <c r="DY74" s="176">
        <f t="shared" si="81"/>
        <v>0</v>
      </c>
      <c r="DZ74" s="177">
        <f t="shared" si="82"/>
        <v>0</v>
      </c>
      <c r="EA74" s="178">
        <f t="shared" si="83"/>
        <v>0</v>
      </c>
      <c r="EB74" s="179">
        <f t="shared" si="84"/>
        <v>0</v>
      </c>
      <c r="EC74" s="180"/>
      <c r="ED74" s="175" t="e">
        <f t="shared" si="85"/>
        <v>#DIV/0!</v>
      </c>
      <c r="EE74" s="163">
        <f t="shared" si="86"/>
        <v>0</v>
      </c>
      <c r="EF74" s="164"/>
      <c r="EG74" s="181">
        <f t="shared" si="87"/>
        <v>0</v>
      </c>
      <c r="EH74" s="182">
        <f t="shared" si="88"/>
        <v>0</v>
      </c>
      <c r="EI74" s="182">
        <f t="shared" si="89"/>
        <v>0</v>
      </c>
      <c r="EJ74" s="182">
        <f t="shared" si="90"/>
        <v>0</v>
      </c>
      <c r="EK74" s="183">
        <f t="shared" si="91"/>
        <v>0</v>
      </c>
      <c r="EL74" s="184" t="e">
        <f t="shared" si="92"/>
        <v>#DIV/0!</v>
      </c>
      <c r="EM74" s="185">
        <f t="shared" si="93"/>
        <v>0</v>
      </c>
      <c r="EN74" s="164"/>
      <c r="EO74" s="181">
        <f t="shared" si="94"/>
        <v>0</v>
      </c>
      <c r="EP74" s="183">
        <f t="shared" si="95"/>
        <v>0</v>
      </c>
      <c r="EQ74" s="184" t="e">
        <f t="shared" si="96"/>
        <v>#DIV/0!</v>
      </c>
      <c r="ER74" s="185">
        <f t="shared" si="97"/>
        <v>0</v>
      </c>
      <c r="ES74" s="164"/>
      <c r="ET74" s="164"/>
      <c r="EU74" s="186">
        <f t="shared" si="98"/>
        <v>0</v>
      </c>
      <c r="EV74" s="186">
        <f t="shared" si="99"/>
        <v>0</v>
      </c>
      <c r="EW74" s="186">
        <f t="shared" si="100"/>
        <v>0</v>
      </c>
      <c r="EX74" s="186">
        <f t="shared" si="101"/>
        <v>0</v>
      </c>
      <c r="EY74" s="131"/>
      <c r="EZ74" s="187">
        <f t="shared" si="102"/>
        <v>0</v>
      </c>
      <c r="FA74" s="188" t="e">
        <f t="shared" si="103"/>
        <v>#DIV/0!</v>
      </c>
      <c r="FB74" s="189"/>
      <c r="FC74" s="131"/>
      <c r="FD74" s="131"/>
      <c r="FE74" s="131"/>
      <c r="FF74" s="131"/>
      <c r="FG74" s="131"/>
    </row>
    <row r="75" spans="2:163" ht="16" outlineLevel="1" thickBot="1" x14ac:dyDescent="0.4">
      <c r="B75" s="357"/>
      <c r="C75" s="354"/>
      <c r="D75" s="240"/>
      <c r="E75" s="241"/>
      <c r="F75" s="135"/>
      <c r="G75" s="192"/>
      <c r="H75" s="242"/>
      <c r="I75" s="138">
        <f>IF(E75&gt;0.0001,11,0)</f>
        <v>0</v>
      </c>
      <c r="J75" s="139"/>
      <c r="K75" s="193">
        <f t="shared" ref="K75:K76" si="105">E75*60</f>
        <v>0</v>
      </c>
      <c r="L75" s="141"/>
      <c r="M75" s="194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4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6"/>
      <c r="AN75" s="197">
        <f t="shared" si="58"/>
        <v>0</v>
      </c>
      <c r="AO75" s="146"/>
      <c r="AP75" s="147">
        <f t="shared" si="59"/>
        <v>0</v>
      </c>
      <c r="AQ75" s="148"/>
      <c r="AR75" s="198"/>
      <c r="AS75" s="198"/>
      <c r="AT75" s="135"/>
      <c r="AU75" s="199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1"/>
      <c r="BG75" s="201"/>
      <c r="BH75" s="201"/>
      <c r="BI75" s="201"/>
      <c r="BJ75" s="201"/>
      <c r="BK75" s="201"/>
      <c r="BL75" s="201"/>
      <c r="BM75" s="201"/>
      <c r="BN75" s="201"/>
      <c r="BO75" s="201"/>
      <c r="BP75" s="201"/>
      <c r="BQ75" s="201"/>
      <c r="BR75" s="199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2"/>
      <c r="CD75" s="199"/>
      <c r="CE75" s="194"/>
      <c r="CF75" s="195"/>
      <c r="CG75" s="195"/>
      <c r="CH75" s="195"/>
      <c r="CI75" s="195"/>
      <c r="CJ75" s="195"/>
      <c r="CK75" s="195"/>
      <c r="CL75" s="195"/>
      <c r="CM75" s="195"/>
      <c r="CN75" s="195"/>
      <c r="CO75" s="347"/>
      <c r="CP75" s="200"/>
      <c r="CQ75" s="201"/>
      <c r="CR75" s="202"/>
      <c r="CS75" s="203">
        <f t="shared" si="60"/>
        <v>0</v>
      </c>
      <c r="CT75" s="146"/>
      <c r="CU75" s="147">
        <f t="shared" si="61"/>
        <v>0</v>
      </c>
      <c r="CV75" s="156"/>
      <c r="CW75" s="157" t="e">
        <f t="shared" si="62"/>
        <v>#DIV/0!</v>
      </c>
      <c r="CX75" s="157" t="e">
        <f t="shared" si="63"/>
        <v>#DIV/0!</v>
      </c>
      <c r="CY75" s="157" t="e">
        <f t="shared" si="64"/>
        <v>#DIV/0!</v>
      </c>
      <c r="CZ75" s="157" t="e">
        <f t="shared" si="65"/>
        <v>#DIV/0!</v>
      </c>
      <c r="DA75" s="157" t="e">
        <f t="shared" si="66"/>
        <v>#DIV/0!</v>
      </c>
      <c r="DB75" s="158" t="e">
        <f t="shared" si="67"/>
        <v>#DIV/0!</v>
      </c>
      <c r="DC75" s="131"/>
      <c r="DD75" s="159">
        <f t="shared" si="68"/>
        <v>0</v>
      </c>
      <c r="DE75" s="160">
        <f t="shared" si="69"/>
        <v>0</v>
      </c>
      <c r="DF75" s="161">
        <f t="shared" si="70"/>
        <v>0</v>
      </c>
      <c r="DG75" s="162" t="e">
        <f t="shared" si="71"/>
        <v>#DIV/0!</v>
      </c>
      <c r="DH75" s="163">
        <f t="shared" si="72"/>
        <v>0</v>
      </c>
      <c r="DI75" s="164"/>
      <c r="DJ75" s="165">
        <f t="shared" si="55"/>
        <v>0</v>
      </c>
      <c r="DK75" s="166">
        <f t="shared" si="55"/>
        <v>0</v>
      </c>
      <c r="DL75" s="167" t="e">
        <f t="shared" si="73"/>
        <v>#DIV/0!</v>
      </c>
      <c r="DM75" s="168" t="e">
        <f t="shared" si="74"/>
        <v>#DIV/0!</v>
      </c>
      <c r="DN75" s="163" t="e">
        <f t="shared" si="75"/>
        <v>#DIV/0!</v>
      </c>
      <c r="DO75" s="169"/>
      <c r="DP75" s="170"/>
      <c r="DQ75" s="171"/>
      <c r="DR75" s="172">
        <f t="shared" si="76"/>
        <v>0</v>
      </c>
      <c r="DS75" s="173" t="e">
        <f t="shared" si="77"/>
        <v>#DIV/0!</v>
      </c>
      <c r="DT75" s="163" t="e">
        <f t="shared" si="78"/>
        <v>#DIV/0!</v>
      </c>
      <c r="DU75" s="174"/>
      <c r="DV75" s="175" t="e">
        <f t="shared" si="79"/>
        <v>#DIV/0!</v>
      </c>
      <c r="DW75" s="163">
        <f t="shared" si="80"/>
        <v>0</v>
      </c>
      <c r="DX75" s="164"/>
      <c r="DY75" s="176">
        <f t="shared" si="81"/>
        <v>0</v>
      </c>
      <c r="DZ75" s="177">
        <f t="shared" si="82"/>
        <v>0</v>
      </c>
      <c r="EA75" s="178">
        <f t="shared" si="83"/>
        <v>0</v>
      </c>
      <c r="EB75" s="179">
        <f t="shared" si="84"/>
        <v>0</v>
      </c>
      <c r="EC75" s="180"/>
      <c r="ED75" s="175" t="e">
        <f t="shared" si="85"/>
        <v>#DIV/0!</v>
      </c>
      <c r="EE75" s="163">
        <f t="shared" si="86"/>
        <v>0</v>
      </c>
      <c r="EF75" s="164"/>
      <c r="EG75" s="181">
        <f t="shared" si="87"/>
        <v>0</v>
      </c>
      <c r="EH75" s="182">
        <f t="shared" si="88"/>
        <v>0</v>
      </c>
      <c r="EI75" s="182">
        <f t="shared" si="89"/>
        <v>0</v>
      </c>
      <c r="EJ75" s="182">
        <f t="shared" si="90"/>
        <v>0</v>
      </c>
      <c r="EK75" s="183">
        <f t="shared" si="91"/>
        <v>0</v>
      </c>
      <c r="EL75" s="184" t="e">
        <f t="shared" si="92"/>
        <v>#DIV/0!</v>
      </c>
      <c r="EM75" s="185">
        <f t="shared" si="93"/>
        <v>0</v>
      </c>
      <c r="EN75" s="164"/>
      <c r="EO75" s="181">
        <f t="shared" si="94"/>
        <v>0</v>
      </c>
      <c r="EP75" s="183">
        <f t="shared" si="95"/>
        <v>0</v>
      </c>
      <c r="EQ75" s="184" t="e">
        <f t="shared" si="96"/>
        <v>#DIV/0!</v>
      </c>
      <c r="ER75" s="185">
        <f t="shared" si="97"/>
        <v>0</v>
      </c>
      <c r="ES75" s="164"/>
      <c r="ET75" s="164"/>
      <c r="EU75" s="186">
        <f t="shared" si="98"/>
        <v>0</v>
      </c>
      <c r="EV75" s="186">
        <f t="shared" si="99"/>
        <v>0</v>
      </c>
      <c r="EW75" s="186">
        <f t="shared" si="100"/>
        <v>0</v>
      </c>
      <c r="EX75" s="186">
        <f t="shared" si="101"/>
        <v>0</v>
      </c>
      <c r="EY75" s="131"/>
      <c r="EZ75" s="187">
        <f t="shared" si="102"/>
        <v>0</v>
      </c>
      <c r="FA75" s="188" t="e">
        <f t="shared" si="103"/>
        <v>#DIV/0!</v>
      </c>
      <c r="FB75" s="189"/>
      <c r="FC75" s="131"/>
      <c r="FD75" s="131"/>
      <c r="FE75" s="131"/>
      <c r="FF75" s="131"/>
      <c r="FG75" s="131"/>
    </row>
    <row r="76" spans="2:163" ht="16" outlineLevel="1" thickBot="1" x14ac:dyDescent="0.4">
      <c r="B76" s="358"/>
      <c r="C76" s="355"/>
      <c r="D76" s="243"/>
      <c r="E76" s="244"/>
      <c r="F76" s="135"/>
      <c r="G76" s="192"/>
      <c r="H76" s="245"/>
      <c r="I76" s="138">
        <f t="shared" si="56"/>
        <v>0</v>
      </c>
      <c r="J76" s="139"/>
      <c r="K76" s="208">
        <f t="shared" si="105"/>
        <v>0</v>
      </c>
      <c r="L76" s="141"/>
      <c r="M76" s="209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09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1"/>
      <c r="AN76" s="212">
        <f t="shared" si="58"/>
        <v>0</v>
      </c>
      <c r="AO76" s="146"/>
      <c r="AP76" s="147">
        <f t="shared" si="59"/>
        <v>0</v>
      </c>
      <c r="AQ76" s="148"/>
      <c r="AR76" s="213"/>
      <c r="AS76" s="213"/>
      <c r="AT76" s="135"/>
      <c r="AU76" s="214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6"/>
      <c r="BG76" s="216"/>
      <c r="BH76" s="216"/>
      <c r="BI76" s="216"/>
      <c r="BJ76" s="216"/>
      <c r="BK76" s="216"/>
      <c r="BL76" s="216"/>
      <c r="BM76" s="216"/>
      <c r="BN76" s="216"/>
      <c r="BO76" s="216"/>
      <c r="BP76" s="216"/>
      <c r="BQ76" s="216"/>
      <c r="BR76" s="214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7"/>
      <c r="CD76" s="214"/>
      <c r="CE76" s="209"/>
      <c r="CF76" s="210"/>
      <c r="CG76" s="210"/>
      <c r="CH76" s="210"/>
      <c r="CI76" s="210"/>
      <c r="CJ76" s="210"/>
      <c r="CK76" s="210"/>
      <c r="CL76" s="210"/>
      <c r="CM76" s="210"/>
      <c r="CN76" s="210"/>
      <c r="CO76" s="348"/>
      <c r="CP76" s="215"/>
      <c r="CQ76" s="216"/>
      <c r="CR76" s="217"/>
      <c r="CS76" s="218">
        <f t="shared" si="60"/>
        <v>0</v>
      </c>
      <c r="CT76" s="146"/>
      <c r="CU76" s="147">
        <f t="shared" si="61"/>
        <v>0</v>
      </c>
      <c r="CV76" s="156"/>
      <c r="CW76" s="157" t="e">
        <f t="shared" si="62"/>
        <v>#DIV/0!</v>
      </c>
      <c r="CX76" s="157" t="e">
        <f t="shared" si="63"/>
        <v>#DIV/0!</v>
      </c>
      <c r="CY76" s="157" t="e">
        <f t="shared" si="64"/>
        <v>#DIV/0!</v>
      </c>
      <c r="CZ76" s="157" t="e">
        <f t="shared" si="65"/>
        <v>#DIV/0!</v>
      </c>
      <c r="DA76" s="157" t="e">
        <f t="shared" si="66"/>
        <v>#DIV/0!</v>
      </c>
      <c r="DB76" s="158" t="e">
        <f t="shared" si="67"/>
        <v>#DIV/0!</v>
      </c>
      <c r="DC76" s="131"/>
      <c r="DD76" s="159">
        <f t="shared" si="68"/>
        <v>0</v>
      </c>
      <c r="DE76" s="160">
        <f t="shared" si="69"/>
        <v>0</v>
      </c>
      <c r="DF76" s="161">
        <f t="shared" si="70"/>
        <v>0</v>
      </c>
      <c r="DG76" s="162" t="e">
        <f t="shared" si="71"/>
        <v>#DIV/0!</v>
      </c>
      <c r="DH76" s="163">
        <f t="shared" si="72"/>
        <v>0</v>
      </c>
      <c r="DI76" s="164"/>
      <c r="DJ76" s="165">
        <f t="shared" si="55"/>
        <v>0</v>
      </c>
      <c r="DK76" s="166">
        <f t="shared" si="55"/>
        <v>0</v>
      </c>
      <c r="DL76" s="167" t="e">
        <f t="shared" si="73"/>
        <v>#DIV/0!</v>
      </c>
      <c r="DM76" s="168" t="e">
        <f t="shared" si="74"/>
        <v>#DIV/0!</v>
      </c>
      <c r="DN76" s="163" t="e">
        <f t="shared" si="75"/>
        <v>#DIV/0!</v>
      </c>
      <c r="DO76" s="169"/>
      <c r="DP76" s="170"/>
      <c r="DQ76" s="171"/>
      <c r="DR76" s="172">
        <f t="shared" si="76"/>
        <v>0</v>
      </c>
      <c r="DS76" s="173" t="e">
        <f t="shared" si="77"/>
        <v>#DIV/0!</v>
      </c>
      <c r="DT76" s="163" t="e">
        <f t="shared" si="78"/>
        <v>#DIV/0!</v>
      </c>
      <c r="DU76" s="174"/>
      <c r="DV76" s="175" t="e">
        <f t="shared" si="79"/>
        <v>#DIV/0!</v>
      </c>
      <c r="DW76" s="163">
        <f t="shared" si="80"/>
        <v>0</v>
      </c>
      <c r="DX76" s="164"/>
      <c r="DY76" s="176">
        <f t="shared" si="81"/>
        <v>0</v>
      </c>
      <c r="DZ76" s="177">
        <f t="shared" si="82"/>
        <v>0</v>
      </c>
      <c r="EA76" s="178">
        <f t="shared" si="83"/>
        <v>0</v>
      </c>
      <c r="EB76" s="179">
        <f t="shared" si="84"/>
        <v>0</v>
      </c>
      <c r="EC76" s="180"/>
      <c r="ED76" s="175" t="e">
        <f t="shared" si="85"/>
        <v>#DIV/0!</v>
      </c>
      <c r="EE76" s="163">
        <f t="shared" si="86"/>
        <v>0</v>
      </c>
      <c r="EF76" s="164"/>
      <c r="EG76" s="181">
        <f t="shared" si="87"/>
        <v>0</v>
      </c>
      <c r="EH76" s="182">
        <f t="shared" si="88"/>
        <v>0</v>
      </c>
      <c r="EI76" s="182">
        <f t="shared" si="89"/>
        <v>0</v>
      </c>
      <c r="EJ76" s="182">
        <f t="shared" si="90"/>
        <v>0</v>
      </c>
      <c r="EK76" s="183">
        <f t="shared" si="91"/>
        <v>0</v>
      </c>
      <c r="EL76" s="184" t="e">
        <f t="shared" si="92"/>
        <v>#DIV/0!</v>
      </c>
      <c r="EM76" s="185">
        <f t="shared" si="93"/>
        <v>0</v>
      </c>
      <c r="EN76" s="164"/>
      <c r="EO76" s="181">
        <f t="shared" si="94"/>
        <v>0</v>
      </c>
      <c r="EP76" s="183">
        <f t="shared" si="95"/>
        <v>0</v>
      </c>
      <c r="EQ76" s="184" t="e">
        <f t="shared" si="96"/>
        <v>#DIV/0!</v>
      </c>
      <c r="ER76" s="185">
        <f t="shared" si="97"/>
        <v>0</v>
      </c>
      <c r="ES76" s="164"/>
      <c r="ET76" s="164"/>
      <c r="EU76" s="186">
        <f t="shared" si="98"/>
        <v>0</v>
      </c>
      <c r="EV76" s="186">
        <f t="shared" si="99"/>
        <v>0</v>
      </c>
      <c r="EW76" s="186">
        <f t="shared" si="100"/>
        <v>0</v>
      </c>
      <c r="EX76" s="186">
        <f t="shared" si="101"/>
        <v>0</v>
      </c>
      <c r="EY76" s="131"/>
      <c r="EZ76" s="187">
        <f t="shared" si="102"/>
        <v>0</v>
      </c>
      <c r="FA76" s="188" t="e">
        <f t="shared" si="103"/>
        <v>#DIV/0!</v>
      </c>
      <c r="FB76" s="189"/>
      <c r="FC76" s="131"/>
      <c r="FD76" s="131"/>
      <c r="FE76" s="131"/>
      <c r="FF76" s="131"/>
      <c r="FG76" s="131"/>
    </row>
    <row r="77" spans="2:163" ht="16" outlineLevel="1" thickBot="1" x14ac:dyDescent="0.4">
      <c r="B77" s="356"/>
      <c r="C77" s="353"/>
      <c r="D77" s="133"/>
      <c r="E77" s="134"/>
      <c r="F77" s="135"/>
      <c r="G77" s="136"/>
      <c r="H77" s="137"/>
      <c r="I77" s="138">
        <f t="shared" si="56"/>
        <v>0</v>
      </c>
      <c r="J77" s="139"/>
      <c r="K77" s="140">
        <f>E77*60</f>
        <v>0</v>
      </c>
      <c r="L77" s="141"/>
      <c r="M77" s="142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2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4"/>
      <c r="AN77" s="145">
        <f t="shared" si="58"/>
        <v>0</v>
      </c>
      <c r="AO77" s="146"/>
      <c r="AP77" s="147">
        <f t="shared" si="59"/>
        <v>0</v>
      </c>
      <c r="AQ77" s="148"/>
      <c r="AR77" s="149"/>
      <c r="AS77" s="149"/>
      <c r="AT77" s="135"/>
      <c r="AU77" s="150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0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4"/>
      <c r="CD77" s="150"/>
      <c r="CE77" s="142"/>
      <c r="CF77" s="143"/>
      <c r="CG77" s="143"/>
      <c r="CH77" s="143"/>
      <c r="CI77" s="143"/>
      <c r="CJ77" s="143"/>
      <c r="CK77" s="143"/>
      <c r="CL77" s="143"/>
      <c r="CM77" s="143"/>
      <c r="CN77" s="143"/>
      <c r="CO77" s="346"/>
      <c r="CP77" s="151"/>
      <c r="CQ77" s="152"/>
      <c r="CR77" s="154"/>
      <c r="CS77" s="155">
        <f t="shared" si="60"/>
        <v>0</v>
      </c>
      <c r="CT77" s="146"/>
      <c r="CU77" s="147">
        <f t="shared" si="61"/>
        <v>0</v>
      </c>
      <c r="CV77" s="156"/>
      <c r="CW77" s="157" t="e">
        <f t="shared" si="62"/>
        <v>#DIV/0!</v>
      </c>
      <c r="CX77" s="157" t="e">
        <f t="shared" si="63"/>
        <v>#DIV/0!</v>
      </c>
      <c r="CY77" s="157" t="e">
        <f t="shared" si="64"/>
        <v>#DIV/0!</v>
      </c>
      <c r="CZ77" s="157" t="e">
        <f t="shared" si="65"/>
        <v>#DIV/0!</v>
      </c>
      <c r="DA77" s="157" t="e">
        <f t="shared" si="66"/>
        <v>#DIV/0!</v>
      </c>
      <c r="DB77" s="158" t="e">
        <f t="shared" si="67"/>
        <v>#DIV/0!</v>
      </c>
      <c r="DC77" s="131"/>
      <c r="DD77" s="159">
        <f t="shared" si="68"/>
        <v>0</v>
      </c>
      <c r="DE77" s="160">
        <f t="shared" si="69"/>
        <v>0</v>
      </c>
      <c r="DF77" s="161">
        <f t="shared" si="70"/>
        <v>0</v>
      </c>
      <c r="DG77" s="162" t="e">
        <f t="shared" si="71"/>
        <v>#DIV/0!</v>
      </c>
      <c r="DH77" s="163">
        <f t="shared" si="72"/>
        <v>0</v>
      </c>
      <c r="DI77" s="164"/>
      <c r="DJ77" s="165">
        <f t="shared" si="55"/>
        <v>0</v>
      </c>
      <c r="DK77" s="166">
        <f t="shared" si="55"/>
        <v>0</v>
      </c>
      <c r="DL77" s="167" t="e">
        <f t="shared" si="73"/>
        <v>#DIV/0!</v>
      </c>
      <c r="DM77" s="168" t="e">
        <f t="shared" si="74"/>
        <v>#DIV/0!</v>
      </c>
      <c r="DN77" s="163" t="e">
        <f t="shared" si="75"/>
        <v>#DIV/0!</v>
      </c>
      <c r="DO77" s="169"/>
      <c r="DP77" s="170"/>
      <c r="DQ77" s="171"/>
      <c r="DR77" s="172">
        <f t="shared" si="76"/>
        <v>0</v>
      </c>
      <c r="DS77" s="173" t="e">
        <f t="shared" si="77"/>
        <v>#DIV/0!</v>
      </c>
      <c r="DT77" s="163" t="e">
        <f t="shared" si="78"/>
        <v>#DIV/0!</v>
      </c>
      <c r="DU77" s="174"/>
      <c r="DV77" s="175" t="e">
        <f t="shared" si="79"/>
        <v>#DIV/0!</v>
      </c>
      <c r="DW77" s="163">
        <f t="shared" si="80"/>
        <v>0</v>
      </c>
      <c r="DX77" s="164"/>
      <c r="DY77" s="176">
        <f t="shared" si="81"/>
        <v>0</v>
      </c>
      <c r="DZ77" s="177">
        <f t="shared" si="82"/>
        <v>0</v>
      </c>
      <c r="EA77" s="178">
        <f t="shared" si="83"/>
        <v>0</v>
      </c>
      <c r="EB77" s="179">
        <f t="shared" si="84"/>
        <v>0</v>
      </c>
      <c r="EC77" s="180"/>
      <c r="ED77" s="175" t="e">
        <f t="shared" si="85"/>
        <v>#DIV/0!</v>
      </c>
      <c r="EE77" s="163">
        <f t="shared" si="86"/>
        <v>0</v>
      </c>
      <c r="EF77" s="164"/>
      <c r="EG77" s="181">
        <f t="shared" si="87"/>
        <v>0</v>
      </c>
      <c r="EH77" s="182">
        <f t="shared" si="88"/>
        <v>0</v>
      </c>
      <c r="EI77" s="182">
        <f t="shared" si="89"/>
        <v>0</v>
      </c>
      <c r="EJ77" s="182">
        <f t="shared" si="90"/>
        <v>0</v>
      </c>
      <c r="EK77" s="183">
        <f t="shared" si="91"/>
        <v>0</v>
      </c>
      <c r="EL77" s="184" t="e">
        <f t="shared" si="92"/>
        <v>#DIV/0!</v>
      </c>
      <c r="EM77" s="185">
        <f t="shared" si="93"/>
        <v>0</v>
      </c>
      <c r="EN77" s="164"/>
      <c r="EO77" s="181">
        <f t="shared" si="94"/>
        <v>0</v>
      </c>
      <c r="EP77" s="183">
        <f t="shared" si="95"/>
        <v>0</v>
      </c>
      <c r="EQ77" s="184" t="e">
        <f t="shared" si="96"/>
        <v>#DIV/0!</v>
      </c>
      <c r="ER77" s="185">
        <f t="shared" si="97"/>
        <v>0</v>
      </c>
      <c r="ES77" s="164"/>
      <c r="ET77" s="164"/>
      <c r="EU77" s="186">
        <f t="shared" si="98"/>
        <v>0</v>
      </c>
      <c r="EV77" s="186">
        <f t="shared" si="99"/>
        <v>0</v>
      </c>
      <c r="EW77" s="186">
        <f t="shared" si="100"/>
        <v>0</v>
      </c>
      <c r="EX77" s="186">
        <f t="shared" si="101"/>
        <v>0</v>
      </c>
      <c r="EY77" s="131"/>
      <c r="EZ77" s="187">
        <f t="shared" si="102"/>
        <v>0</v>
      </c>
      <c r="FA77" s="188" t="e">
        <f t="shared" si="103"/>
        <v>#DIV/0!</v>
      </c>
      <c r="FB77" s="189"/>
      <c r="FC77" s="131"/>
      <c r="FD77" s="131"/>
      <c r="FE77" s="131"/>
      <c r="FF77" s="131"/>
      <c r="FG77" s="131"/>
    </row>
    <row r="78" spans="2:163" ht="16" outlineLevel="1" thickBot="1" x14ac:dyDescent="0.4">
      <c r="B78" s="357"/>
      <c r="C78" s="354"/>
      <c r="D78" s="240"/>
      <c r="E78" s="241"/>
      <c r="F78" s="135"/>
      <c r="G78" s="192"/>
      <c r="H78" s="242"/>
      <c r="I78" s="138">
        <f t="shared" si="56"/>
        <v>0</v>
      </c>
      <c r="J78" s="139"/>
      <c r="K78" s="193">
        <f t="shared" ref="K78:K79" si="106">E78*60</f>
        <v>0</v>
      </c>
      <c r="L78" s="141"/>
      <c r="M78" s="194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4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6"/>
      <c r="AN78" s="197">
        <f t="shared" si="58"/>
        <v>0</v>
      </c>
      <c r="AO78" s="146"/>
      <c r="AP78" s="147">
        <f t="shared" si="59"/>
        <v>0</v>
      </c>
      <c r="AQ78" s="148"/>
      <c r="AR78" s="198"/>
      <c r="AS78" s="198"/>
      <c r="AT78" s="135"/>
      <c r="AU78" s="199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1"/>
      <c r="BG78" s="201"/>
      <c r="BH78" s="201"/>
      <c r="BI78" s="201"/>
      <c r="BJ78" s="201"/>
      <c r="BK78" s="201"/>
      <c r="BL78" s="201"/>
      <c r="BM78" s="201"/>
      <c r="BN78" s="201"/>
      <c r="BO78" s="201"/>
      <c r="BP78" s="201"/>
      <c r="BQ78" s="201"/>
      <c r="BR78" s="199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2"/>
      <c r="CD78" s="199"/>
      <c r="CE78" s="194"/>
      <c r="CF78" s="195"/>
      <c r="CG78" s="195"/>
      <c r="CH78" s="195"/>
      <c r="CI78" s="195"/>
      <c r="CJ78" s="195"/>
      <c r="CK78" s="195"/>
      <c r="CL78" s="195"/>
      <c r="CM78" s="195"/>
      <c r="CN78" s="195"/>
      <c r="CO78" s="347"/>
      <c r="CP78" s="200"/>
      <c r="CQ78" s="201"/>
      <c r="CR78" s="202"/>
      <c r="CS78" s="203">
        <f t="shared" si="60"/>
        <v>0</v>
      </c>
      <c r="CT78" s="146"/>
      <c r="CU78" s="147">
        <f t="shared" si="61"/>
        <v>0</v>
      </c>
      <c r="CV78" s="156"/>
      <c r="CW78" s="157" t="e">
        <f t="shared" si="62"/>
        <v>#DIV/0!</v>
      </c>
      <c r="CX78" s="157" t="e">
        <f t="shared" si="63"/>
        <v>#DIV/0!</v>
      </c>
      <c r="CY78" s="157" t="e">
        <f t="shared" si="64"/>
        <v>#DIV/0!</v>
      </c>
      <c r="CZ78" s="157" t="e">
        <f t="shared" si="65"/>
        <v>#DIV/0!</v>
      </c>
      <c r="DA78" s="157" t="e">
        <f t="shared" si="66"/>
        <v>#DIV/0!</v>
      </c>
      <c r="DB78" s="158" t="e">
        <f t="shared" si="67"/>
        <v>#DIV/0!</v>
      </c>
      <c r="DC78" s="131"/>
      <c r="DD78" s="159">
        <f t="shared" si="68"/>
        <v>0</v>
      </c>
      <c r="DE78" s="160">
        <f t="shared" si="69"/>
        <v>0</v>
      </c>
      <c r="DF78" s="161">
        <f t="shared" si="70"/>
        <v>0</v>
      </c>
      <c r="DG78" s="162" t="e">
        <f t="shared" si="71"/>
        <v>#DIV/0!</v>
      </c>
      <c r="DH78" s="163">
        <f t="shared" si="72"/>
        <v>0</v>
      </c>
      <c r="DI78" s="164"/>
      <c r="DJ78" s="165">
        <f t="shared" si="55"/>
        <v>0</v>
      </c>
      <c r="DK78" s="166">
        <f t="shared" si="55"/>
        <v>0</v>
      </c>
      <c r="DL78" s="167" t="e">
        <f t="shared" si="73"/>
        <v>#DIV/0!</v>
      </c>
      <c r="DM78" s="168" t="e">
        <f t="shared" si="74"/>
        <v>#DIV/0!</v>
      </c>
      <c r="DN78" s="163" t="e">
        <f t="shared" si="75"/>
        <v>#DIV/0!</v>
      </c>
      <c r="DO78" s="169"/>
      <c r="DP78" s="170"/>
      <c r="DQ78" s="171"/>
      <c r="DR78" s="172">
        <f t="shared" si="76"/>
        <v>0</v>
      </c>
      <c r="DS78" s="173" t="e">
        <f t="shared" si="77"/>
        <v>#DIV/0!</v>
      </c>
      <c r="DT78" s="163" t="e">
        <f t="shared" si="78"/>
        <v>#DIV/0!</v>
      </c>
      <c r="DU78" s="174"/>
      <c r="DV78" s="175" t="e">
        <f t="shared" si="79"/>
        <v>#DIV/0!</v>
      </c>
      <c r="DW78" s="163">
        <f t="shared" si="80"/>
        <v>0</v>
      </c>
      <c r="DX78" s="164"/>
      <c r="DY78" s="176">
        <f t="shared" si="81"/>
        <v>0</v>
      </c>
      <c r="DZ78" s="177">
        <f t="shared" si="82"/>
        <v>0</v>
      </c>
      <c r="EA78" s="178">
        <f t="shared" si="83"/>
        <v>0</v>
      </c>
      <c r="EB78" s="179">
        <f t="shared" si="84"/>
        <v>0</v>
      </c>
      <c r="EC78" s="180"/>
      <c r="ED78" s="175" t="e">
        <f t="shared" si="85"/>
        <v>#DIV/0!</v>
      </c>
      <c r="EE78" s="163">
        <f t="shared" si="86"/>
        <v>0</v>
      </c>
      <c r="EF78" s="164"/>
      <c r="EG78" s="181">
        <f t="shared" si="87"/>
        <v>0</v>
      </c>
      <c r="EH78" s="182">
        <f t="shared" si="88"/>
        <v>0</v>
      </c>
      <c r="EI78" s="182">
        <f t="shared" si="89"/>
        <v>0</v>
      </c>
      <c r="EJ78" s="182">
        <f t="shared" si="90"/>
        <v>0</v>
      </c>
      <c r="EK78" s="183">
        <f t="shared" si="91"/>
        <v>0</v>
      </c>
      <c r="EL78" s="184" t="e">
        <f t="shared" si="92"/>
        <v>#DIV/0!</v>
      </c>
      <c r="EM78" s="185">
        <f t="shared" si="93"/>
        <v>0</v>
      </c>
      <c r="EN78" s="164"/>
      <c r="EO78" s="181">
        <f t="shared" si="94"/>
        <v>0</v>
      </c>
      <c r="EP78" s="183">
        <f t="shared" si="95"/>
        <v>0</v>
      </c>
      <c r="EQ78" s="184" t="e">
        <f t="shared" si="96"/>
        <v>#DIV/0!</v>
      </c>
      <c r="ER78" s="185">
        <f t="shared" si="97"/>
        <v>0</v>
      </c>
      <c r="ES78" s="164"/>
      <c r="ET78" s="164"/>
      <c r="EU78" s="186">
        <f t="shared" si="98"/>
        <v>0</v>
      </c>
      <c r="EV78" s="186">
        <f t="shared" si="99"/>
        <v>0</v>
      </c>
      <c r="EW78" s="186">
        <f t="shared" si="100"/>
        <v>0</v>
      </c>
      <c r="EX78" s="186">
        <f t="shared" si="101"/>
        <v>0</v>
      </c>
      <c r="EY78" s="131"/>
      <c r="EZ78" s="187">
        <f t="shared" si="102"/>
        <v>0</v>
      </c>
      <c r="FA78" s="188" t="e">
        <f t="shared" si="103"/>
        <v>#DIV/0!</v>
      </c>
      <c r="FB78" s="189"/>
      <c r="FC78" s="131"/>
      <c r="FD78" s="131"/>
      <c r="FE78" s="131"/>
      <c r="FF78" s="131"/>
      <c r="FG78" s="131"/>
    </row>
    <row r="79" spans="2:163" ht="16" outlineLevel="1" thickBot="1" x14ac:dyDescent="0.4">
      <c r="B79" s="358"/>
      <c r="C79" s="355"/>
      <c r="D79" s="243"/>
      <c r="E79" s="244"/>
      <c r="F79" s="135"/>
      <c r="G79" s="192"/>
      <c r="H79" s="245"/>
      <c r="I79" s="138">
        <f t="shared" si="56"/>
        <v>0</v>
      </c>
      <c r="J79" s="139"/>
      <c r="K79" s="208">
        <f t="shared" si="106"/>
        <v>0</v>
      </c>
      <c r="L79" s="141"/>
      <c r="M79" s="209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09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1"/>
      <c r="AN79" s="212">
        <f t="shared" si="58"/>
        <v>0</v>
      </c>
      <c r="AO79" s="146"/>
      <c r="AP79" s="147">
        <f t="shared" si="59"/>
        <v>0</v>
      </c>
      <c r="AQ79" s="148"/>
      <c r="AR79" s="213"/>
      <c r="AS79" s="213"/>
      <c r="AT79" s="135"/>
      <c r="AU79" s="214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4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7"/>
      <c r="CD79" s="214"/>
      <c r="CE79" s="209"/>
      <c r="CF79" s="210"/>
      <c r="CG79" s="210"/>
      <c r="CH79" s="210"/>
      <c r="CI79" s="210"/>
      <c r="CJ79" s="210"/>
      <c r="CK79" s="210"/>
      <c r="CL79" s="210"/>
      <c r="CM79" s="210"/>
      <c r="CN79" s="210"/>
      <c r="CO79" s="348"/>
      <c r="CP79" s="215"/>
      <c r="CQ79" s="216"/>
      <c r="CR79" s="217"/>
      <c r="CS79" s="218">
        <f t="shared" si="60"/>
        <v>0</v>
      </c>
      <c r="CT79" s="146"/>
      <c r="CU79" s="147">
        <f t="shared" si="61"/>
        <v>0</v>
      </c>
      <c r="CV79" s="156"/>
      <c r="CW79" s="157" t="e">
        <f t="shared" si="62"/>
        <v>#DIV/0!</v>
      </c>
      <c r="CX79" s="157" t="e">
        <f t="shared" si="63"/>
        <v>#DIV/0!</v>
      </c>
      <c r="CY79" s="157" t="e">
        <f t="shared" si="64"/>
        <v>#DIV/0!</v>
      </c>
      <c r="CZ79" s="157" t="e">
        <f t="shared" si="65"/>
        <v>#DIV/0!</v>
      </c>
      <c r="DA79" s="157" t="e">
        <f t="shared" si="66"/>
        <v>#DIV/0!</v>
      </c>
      <c r="DB79" s="158" t="e">
        <f t="shared" si="67"/>
        <v>#DIV/0!</v>
      </c>
      <c r="DC79" s="131"/>
      <c r="DD79" s="159">
        <f t="shared" si="68"/>
        <v>0</v>
      </c>
      <c r="DE79" s="160">
        <f t="shared" si="69"/>
        <v>0</v>
      </c>
      <c r="DF79" s="161">
        <f t="shared" si="70"/>
        <v>0</v>
      </c>
      <c r="DG79" s="162" t="e">
        <f t="shared" si="71"/>
        <v>#DIV/0!</v>
      </c>
      <c r="DH79" s="163">
        <f t="shared" si="72"/>
        <v>0</v>
      </c>
      <c r="DI79" s="164"/>
      <c r="DJ79" s="165">
        <f t="shared" si="55"/>
        <v>0</v>
      </c>
      <c r="DK79" s="166">
        <f t="shared" si="55"/>
        <v>0</v>
      </c>
      <c r="DL79" s="167" t="e">
        <f t="shared" si="73"/>
        <v>#DIV/0!</v>
      </c>
      <c r="DM79" s="168" t="e">
        <f t="shared" si="74"/>
        <v>#DIV/0!</v>
      </c>
      <c r="DN79" s="163" t="e">
        <f t="shared" si="75"/>
        <v>#DIV/0!</v>
      </c>
      <c r="DO79" s="169"/>
      <c r="DP79" s="170"/>
      <c r="DQ79" s="171"/>
      <c r="DR79" s="172">
        <f t="shared" si="76"/>
        <v>0</v>
      </c>
      <c r="DS79" s="173" t="e">
        <f t="shared" si="77"/>
        <v>#DIV/0!</v>
      </c>
      <c r="DT79" s="163" t="e">
        <f t="shared" si="78"/>
        <v>#DIV/0!</v>
      </c>
      <c r="DU79" s="174"/>
      <c r="DV79" s="175" t="e">
        <f t="shared" si="79"/>
        <v>#DIV/0!</v>
      </c>
      <c r="DW79" s="163">
        <f t="shared" si="80"/>
        <v>0</v>
      </c>
      <c r="DX79" s="164"/>
      <c r="DY79" s="176">
        <f t="shared" si="81"/>
        <v>0</v>
      </c>
      <c r="DZ79" s="177">
        <f t="shared" si="82"/>
        <v>0</v>
      </c>
      <c r="EA79" s="178">
        <f t="shared" si="83"/>
        <v>0</v>
      </c>
      <c r="EB79" s="179">
        <f t="shared" si="84"/>
        <v>0</v>
      </c>
      <c r="EC79" s="180"/>
      <c r="ED79" s="175" t="e">
        <f t="shared" si="85"/>
        <v>#DIV/0!</v>
      </c>
      <c r="EE79" s="163">
        <f t="shared" si="86"/>
        <v>0</v>
      </c>
      <c r="EF79" s="164"/>
      <c r="EG79" s="181">
        <f t="shared" si="87"/>
        <v>0</v>
      </c>
      <c r="EH79" s="182">
        <f t="shared" si="88"/>
        <v>0</v>
      </c>
      <c r="EI79" s="182">
        <f t="shared" si="89"/>
        <v>0</v>
      </c>
      <c r="EJ79" s="182">
        <f t="shared" si="90"/>
        <v>0</v>
      </c>
      <c r="EK79" s="183">
        <f t="shared" si="91"/>
        <v>0</v>
      </c>
      <c r="EL79" s="184" t="e">
        <f t="shared" si="92"/>
        <v>#DIV/0!</v>
      </c>
      <c r="EM79" s="185">
        <f t="shared" si="93"/>
        <v>0</v>
      </c>
      <c r="EN79" s="164"/>
      <c r="EO79" s="181">
        <f t="shared" si="94"/>
        <v>0</v>
      </c>
      <c r="EP79" s="183">
        <f t="shared" si="95"/>
        <v>0</v>
      </c>
      <c r="EQ79" s="184" t="e">
        <f t="shared" si="96"/>
        <v>#DIV/0!</v>
      </c>
      <c r="ER79" s="185">
        <f t="shared" si="97"/>
        <v>0</v>
      </c>
      <c r="ES79" s="164"/>
      <c r="ET79" s="164"/>
      <c r="EU79" s="186">
        <f t="shared" si="98"/>
        <v>0</v>
      </c>
      <c r="EV79" s="186">
        <f t="shared" si="99"/>
        <v>0</v>
      </c>
      <c r="EW79" s="186">
        <f t="shared" si="100"/>
        <v>0</v>
      </c>
      <c r="EX79" s="186">
        <f t="shared" si="101"/>
        <v>0</v>
      </c>
      <c r="EY79" s="131"/>
      <c r="EZ79" s="187">
        <f t="shared" si="102"/>
        <v>0</v>
      </c>
      <c r="FA79" s="188" t="e">
        <f t="shared" si="103"/>
        <v>#DIV/0!</v>
      </c>
      <c r="FB79" s="189"/>
      <c r="FC79" s="219"/>
      <c r="FD79" s="219"/>
      <c r="FE79" s="131"/>
      <c r="FF79" s="131"/>
      <c r="FG79" s="131"/>
    </row>
    <row r="80" spans="2:163" s="220" customFormat="1" ht="16" outlineLevel="1" thickBot="1" x14ac:dyDescent="0.4">
      <c r="B80" s="356"/>
      <c r="C80" s="353"/>
      <c r="D80" s="133"/>
      <c r="E80" s="134"/>
      <c r="F80" s="135"/>
      <c r="G80" s="136"/>
      <c r="H80" s="137"/>
      <c r="I80" s="138">
        <f t="shared" si="56"/>
        <v>0</v>
      </c>
      <c r="J80" s="139"/>
      <c r="K80" s="140">
        <f>E80*60</f>
        <v>0</v>
      </c>
      <c r="L80" s="141"/>
      <c r="M80" s="142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2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4"/>
      <c r="AN80" s="145">
        <f t="shared" si="58"/>
        <v>0</v>
      </c>
      <c r="AO80" s="146"/>
      <c r="AP80" s="147">
        <f t="shared" si="59"/>
        <v>0</v>
      </c>
      <c r="AQ80" s="221"/>
      <c r="AR80" s="149"/>
      <c r="AS80" s="149"/>
      <c r="AT80" s="222"/>
      <c r="AU80" s="223"/>
      <c r="AV80" s="224"/>
      <c r="AW80" s="224"/>
      <c r="AX80" s="224"/>
      <c r="AY80" s="224"/>
      <c r="AZ80" s="224"/>
      <c r="BA80" s="224"/>
      <c r="BB80" s="224"/>
      <c r="BC80" s="224"/>
      <c r="BD80" s="224"/>
      <c r="BE80" s="224"/>
      <c r="BF80" s="225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3"/>
      <c r="BS80" s="224"/>
      <c r="BT80" s="224"/>
      <c r="BU80" s="224"/>
      <c r="BV80" s="224"/>
      <c r="BW80" s="224"/>
      <c r="BX80" s="224"/>
      <c r="BY80" s="224"/>
      <c r="BZ80" s="224"/>
      <c r="CA80" s="224"/>
      <c r="CB80" s="224"/>
      <c r="CC80" s="226"/>
      <c r="CD80" s="223"/>
      <c r="CE80" s="142"/>
      <c r="CF80" s="143"/>
      <c r="CG80" s="143"/>
      <c r="CH80" s="143"/>
      <c r="CI80" s="143"/>
      <c r="CJ80" s="143"/>
      <c r="CK80" s="143"/>
      <c r="CL80" s="143"/>
      <c r="CM80" s="143"/>
      <c r="CN80" s="143"/>
      <c r="CO80" s="349"/>
      <c r="CP80" s="224"/>
      <c r="CQ80" s="225"/>
      <c r="CR80" s="226"/>
      <c r="CS80" s="227">
        <f t="shared" si="60"/>
        <v>0</v>
      </c>
      <c r="CT80" s="146"/>
      <c r="CU80" s="147">
        <f t="shared" si="61"/>
        <v>0</v>
      </c>
      <c r="CV80" s="156"/>
      <c r="CW80" s="157" t="e">
        <f t="shared" si="62"/>
        <v>#DIV/0!</v>
      </c>
      <c r="CX80" s="157" t="e">
        <f t="shared" si="63"/>
        <v>#DIV/0!</v>
      </c>
      <c r="CY80" s="157" t="e">
        <f t="shared" si="64"/>
        <v>#DIV/0!</v>
      </c>
      <c r="CZ80" s="157" t="e">
        <f t="shared" si="65"/>
        <v>#DIV/0!</v>
      </c>
      <c r="DA80" s="157" t="e">
        <f t="shared" si="66"/>
        <v>#DIV/0!</v>
      </c>
      <c r="DB80" s="158" t="e">
        <f t="shared" si="67"/>
        <v>#DIV/0!</v>
      </c>
      <c r="DC80" s="131"/>
      <c r="DD80" s="159">
        <f t="shared" si="68"/>
        <v>0</v>
      </c>
      <c r="DE80" s="160">
        <f t="shared" si="69"/>
        <v>0</v>
      </c>
      <c r="DF80" s="161">
        <f t="shared" si="70"/>
        <v>0</v>
      </c>
      <c r="DG80" s="162" t="e">
        <f t="shared" si="71"/>
        <v>#DIV/0!</v>
      </c>
      <c r="DH80" s="163">
        <f t="shared" si="72"/>
        <v>0</v>
      </c>
      <c r="DI80" s="164"/>
      <c r="DJ80" s="165">
        <f t="shared" si="55"/>
        <v>0</v>
      </c>
      <c r="DK80" s="166">
        <f t="shared" si="55"/>
        <v>0</v>
      </c>
      <c r="DL80" s="167" t="e">
        <f t="shared" si="73"/>
        <v>#DIV/0!</v>
      </c>
      <c r="DM80" s="168" t="e">
        <f t="shared" si="74"/>
        <v>#DIV/0!</v>
      </c>
      <c r="DN80" s="163" t="e">
        <f t="shared" si="75"/>
        <v>#DIV/0!</v>
      </c>
      <c r="DO80" s="169"/>
      <c r="DP80" s="170"/>
      <c r="DQ80" s="171"/>
      <c r="DR80" s="172">
        <f t="shared" si="76"/>
        <v>0</v>
      </c>
      <c r="DS80" s="173" t="e">
        <f t="shared" si="77"/>
        <v>#DIV/0!</v>
      </c>
      <c r="DT80" s="163" t="e">
        <f t="shared" si="78"/>
        <v>#DIV/0!</v>
      </c>
      <c r="DU80" s="174"/>
      <c r="DV80" s="175" t="e">
        <f t="shared" si="79"/>
        <v>#DIV/0!</v>
      </c>
      <c r="DW80" s="163">
        <f t="shared" si="80"/>
        <v>0</v>
      </c>
      <c r="DX80" s="164"/>
      <c r="DY80" s="176">
        <f t="shared" si="81"/>
        <v>0</v>
      </c>
      <c r="DZ80" s="177">
        <f t="shared" si="82"/>
        <v>0</v>
      </c>
      <c r="EA80" s="178">
        <f t="shared" si="83"/>
        <v>0</v>
      </c>
      <c r="EB80" s="179">
        <f t="shared" si="84"/>
        <v>0</v>
      </c>
      <c r="EC80" s="180"/>
      <c r="ED80" s="175" t="e">
        <f t="shared" si="85"/>
        <v>#DIV/0!</v>
      </c>
      <c r="EE80" s="163">
        <f t="shared" si="86"/>
        <v>0</v>
      </c>
      <c r="EF80" s="164"/>
      <c r="EG80" s="181">
        <f t="shared" si="87"/>
        <v>0</v>
      </c>
      <c r="EH80" s="182">
        <f t="shared" si="88"/>
        <v>0</v>
      </c>
      <c r="EI80" s="182">
        <f t="shared" si="89"/>
        <v>0</v>
      </c>
      <c r="EJ80" s="182">
        <f t="shared" si="90"/>
        <v>0</v>
      </c>
      <c r="EK80" s="183">
        <f t="shared" si="91"/>
        <v>0</v>
      </c>
      <c r="EL80" s="184" t="e">
        <f t="shared" si="92"/>
        <v>#DIV/0!</v>
      </c>
      <c r="EM80" s="185">
        <f t="shared" si="93"/>
        <v>0</v>
      </c>
      <c r="EN80" s="164"/>
      <c r="EO80" s="181">
        <f t="shared" si="94"/>
        <v>0</v>
      </c>
      <c r="EP80" s="183">
        <f t="shared" si="95"/>
        <v>0</v>
      </c>
      <c r="EQ80" s="184" t="e">
        <f t="shared" si="96"/>
        <v>#DIV/0!</v>
      </c>
      <c r="ER80" s="185">
        <f t="shared" si="97"/>
        <v>0</v>
      </c>
      <c r="ES80" s="164"/>
      <c r="ET80" s="164"/>
      <c r="EU80" s="186">
        <f t="shared" si="98"/>
        <v>0</v>
      </c>
      <c r="EV80" s="186">
        <f t="shared" si="99"/>
        <v>0</v>
      </c>
      <c r="EW80" s="186">
        <f t="shared" si="100"/>
        <v>0</v>
      </c>
      <c r="EX80" s="186">
        <f t="shared" si="101"/>
        <v>0</v>
      </c>
      <c r="EY80" s="131"/>
      <c r="EZ80" s="187">
        <f t="shared" si="102"/>
        <v>0</v>
      </c>
      <c r="FA80" s="188" t="e">
        <f t="shared" si="103"/>
        <v>#DIV/0!</v>
      </c>
      <c r="FB80" s="189"/>
      <c r="FC80" s="219"/>
      <c r="FD80" s="219"/>
      <c r="FE80" s="219"/>
      <c r="FF80" s="219"/>
      <c r="FG80" s="219"/>
    </row>
    <row r="81" spans="2:163" s="220" customFormat="1" ht="16" outlineLevel="1" thickBot="1" x14ac:dyDescent="0.4">
      <c r="B81" s="357"/>
      <c r="C81" s="354"/>
      <c r="D81" s="240"/>
      <c r="E81" s="241"/>
      <c r="F81" s="135"/>
      <c r="G81" s="192"/>
      <c r="H81" s="242"/>
      <c r="I81" s="138">
        <f t="shared" si="56"/>
        <v>0</v>
      </c>
      <c r="J81" s="139"/>
      <c r="K81" s="193">
        <f t="shared" ref="K81:K103" si="107">E81*60</f>
        <v>0</v>
      </c>
      <c r="L81" s="141"/>
      <c r="M81" s="194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4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6"/>
      <c r="AN81" s="197">
        <f t="shared" si="58"/>
        <v>0</v>
      </c>
      <c r="AO81" s="146"/>
      <c r="AP81" s="147">
        <f t="shared" si="59"/>
        <v>0</v>
      </c>
      <c r="AQ81" s="221"/>
      <c r="AR81" s="198"/>
      <c r="AS81" s="198"/>
      <c r="AT81" s="222"/>
      <c r="AU81" s="228"/>
      <c r="AV81" s="229"/>
      <c r="AW81" s="229"/>
      <c r="AX81" s="229"/>
      <c r="AY81" s="229"/>
      <c r="AZ81" s="229"/>
      <c r="BA81" s="229"/>
      <c r="BB81" s="229"/>
      <c r="BC81" s="229"/>
      <c r="BD81" s="229"/>
      <c r="BE81" s="229"/>
      <c r="BF81" s="230"/>
      <c r="BG81" s="230"/>
      <c r="BH81" s="230"/>
      <c r="BI81" s="230"/>
      <c r="BJ81" s="230"/>
      <c r="BK81" s="230"/>
      <c r="BL81" s="230"/>
      <c r="BM81" s="230"/>
      <c r="BN81" s="230"/>
      <c r="BO81" s="230"/>
      <c r="BP81" s="230"/>
      <c r="BQ81" s="230"/>
      <c r="BR81" s="228"/>
      <c r="BS81" s="229"/>
      <c r="BT81" s="229"/>
      <c r="BU81" s="229"/>
      <c r="BV81" s="229"/>
      <c r="BW81" s="229"/>
      <c r="BX81" s="229"/>
      <c r="BY81" s="229"/>
      <c r="BZ81" s="229"/>
      <c r="CA81" s="229"/>
      <c r="CB81" s="229"/>
      <c r="CC81" s="231"/>
      <c r="CD81" s="228"/>
      <c r="CE81" s="194"/>
      <c r="CF81" s="195"/>
      <c r="CG81" s="195"/>
      <c r="CH81" s="195"/>
      <c r="CI81" s="195"/>
      <c r="CJ81" s="195"/>
      <c r="CK81" s="195"/>
      <c r="CL81" s="195"/>
      <c r="CM81" s="195"/>
      <c r="CN81" s="195"/>
      <c r="CO81" s="350"/>
      <c r="CP81" s="229"/>
      <c r="CQ81" s="230"/>
      <c r="CR81" s="231"/>
      <c r="CS81" s="232">
        <f t="shared" si="60"/>
        <v>0</v>
      </c>
      <c r="CT81" s="146"/>
      <c r="CU81" s="147">
        <f t="shared" si="61"/>
        <v>0</v>
      </c>
      <c r="CV81" s="156"/>
      <c r="CW81" s="157" t="e">
        <f t="shared" si="62"/>
        <v>#DIV/0!</v>
      </c>
      <c r="CX81" s="157" t="e">
        <f t="shared" si="63"/>
        <v>#DIV/0!</v>
      </c>
      <c r="CY81" s="157" t="e">
        <f t="shared" si="64"/>
        <v>#DIV/0!</v>
      </c>
      <c r="CZ81" s="157" t="e">
        <f t="shared" si="65"/>
        <v>#DIV/0!</v>
      </c>
      <c r="DA81" s="157" t="e">
        <f t="shared" si="66"/>
        <v>#DIV/0!</v>
      </c>
      <c r="DB81" s="158" t="e">
        <f t="shared" si="67"/>
        <v>#DIV/0!</v>
      </c>
      <c r="DC81" s="131"/>
      <c r="DD81" s="159">
        <f t="shared" si="68"/>
        <v>0</v>
      </c>
      <c r="DE81" s="160">
        <f t="shared" si="69"/>
        <v>0</v>
      </c>
      <c r="DF81" s="161">
        <f t="shared" si="70"/>
        <v>0</v>
      </c>
      <c r="DG81" s="162" t="e">
        <f t="shared" si="71"/>
        <v>#DIV/0!</v>
      </c>
      <c r="DH81" s="163">
        <f t="shared" si="72"/>
        <v>0</v>
      </c>
      <c r="DI81" s="164"/>
      <c r="DJ81" s="165">
        <f t="shared" si="55"/>
        <v>0</v>
      </c>
      <c r="DK81" s="166">
        <f t="shared" si="55"/>
        <v>0</v>
      </c>
      <c r="DL81" s="167" t="e">
        <f t="shared" si="73"/>
        <v>#DIV/0!</v>
      </c>
      <c r="DM81" s="168" t="e">
        <f t="shared" si="74"/>
        <v>#DIV/0!</v>
      </c>
      <c r="DN81" s="163" t="e">
        <f t="shared" si="75"/>
        <v>#DIV/0!</v>
      </c>
      <c r="DO81" s="169"/>
      <c r="DP81" s="170"/>
      <c r="DQ81" s="171"/>
      <c r="DR81" s="172">
        <f t="shared" si="76"/>
        <v>0</v>
      </c>
      <c r="DS81" s="173" t="e">
        <f t="shared" si="77"/>
        <v>#DIV/0!</v>
      </c>
      <c r="DT81" s="163" t="e">
        <f t="shared" si="78"/>
        <v>#DIV/0!</v>
      </c>
      <c r="DU81" s="174"/>
      <c r="DV81" s="175" t="e">
        <f t="shared" si="79"/>
        <v>#DIV/0!</v>
      </c>
      <c r="DW81" s="163">
        <f t="shared" si="80"/>
        <v>0</v>
      </c>
      <c r="DX81" s="164"/>
      <c r="DY81" s="176">
        <f t="shared" si="81"/>
        <v>0</v>
      </c>
      <c r="DZ81" s="177">
        <f t="shared" si="82"/>
        <v>0</v>
      </c>
      <c r="EA81" s="178">
        <f t="shared" si="83"/>
        <v>0</v>
      </c>
      <c r="EB81" s="179">
        <f t="shared" si="84"/>
        <v>0</v>
      </c>
      <c r="EC81" s="180"/>
      <c r="ED81" s="175" t="e">
        <f t="shared" si="85"/>
        <v>#DIV/0!</v>
      </c>
      <c r="EE81" s="163">
        <f t="shared" si="86"/>
        <v>0</v>
      </c>
      <c r="EF81" s="164"/>
      <c r="EG81" s="181">
        <f t="shared" si="87"/>
        <v>0</v>
      </c>
      <c r="EH81" s="182">
        <f t="shared" si="88"/>
        <v>0</v>
      </c>
      <c r="EI81" s="182">
        <f t="shared" si="89"/>
        <v>0</v>
      </c>
      <c r="EJ81" s="182">
        <f t="shared" si="90"/>
        <v>0</v>
      </c>
      <c r="EK81" s="183">
        <f t="shared" si="91"/>
        <v>0</v>
      </c>
      <c r="EL81" s="184" t="e">
        <f t="shared" si="92"/>
        <v>#DIV/0!</v>
      </c>
      <c r="EM81" s="185">
        <f t="shared" si="93"/>
        <v>0</v>
      </c>
      <c r="EN81" s="164"/>
      <c r="EO81" s="181">
        <f t="shared" si="94"/>
        <v>0</v>
      </c>
      <c r="EP81" s="183">
        <f t="shared" si="95"/>
        <v>0</v>
      </c>
      <c r="EQ81" s="184" t="e">
        <f t="shared" si="96"/>
        <v>#DIV/0!</v>
      </c>
      <c r="ER81" s="185">
        <f t="shared" si="97"/>
        <v>0</v>
      </c>
      <c r="ES81" s="164"/>
      <c r="ET81" s="164"/>
      <c r="EU81" s="186">
        <f t="shared" si="98"/>
        <v>0</v>
      </c>
      <c r="EV81" s="186">
        <f t="shared" si="99"/>
        <v>0</v>
      </c>
      <c r="EW81" s="186">
        <f t="shared" si="100"/>
        <v>0</v>
      </c>
      <c r="EX81" s="186">
        <f t="shared" si="101"/>
        <v>0</v>
      </c>
      <c r="EY81" s="131"/>
      <c r="EZ81" s="187">
        <f t="shared" si="102"/>
        <v>0</v>
      </c>
      <c r="FA81" s="188" t="e">
        <f t="shared" si="103"/>
        <v>#DIV/0!</v>
      </c>
      <c r="FB81" s="189"/>
      <c r="FC81" s="219"/>
      <c r="FD81" s="219"/>
      <c r="FE81" s="219"/>
      <c r="FF81" s="219"/>
      <c r="FG81" s="219"/>
    </row>
    <row r="82" spans="2:163" s="220" customFormat="1" ht="16" outlineLevel="1" thickBot="1" x14ac:dyDescent="0.4">
      <c r="B82" s="358"/>
      <c r="C82" s="355"/>
      <c r="D82" s="243"/>
      <c r="E82" s="244"/>
      <c r="F82" s="135"/>
      <c r="G82" s="192"/>
      <c r="H82" s="245"/>
      <c r="I82" s="138">
        <f t="shared" si="56"/>
        <v>0</v>
      </c>
      <c r="J82" s="139"/>
      <c r="K82" s="208">
        <f t="shared" si="107"/>
        <v>0</v>
      </c>
      <c r="L82" s="141"/>
      <c r="M82" s="209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09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1"/>
      <c r="AN82" s="212">
        <f t="shared" si="58"/>
        <v>0</v>
      </c>
      <c r="AO82" s="146"/>
      <c r="AP82" s="147">
        <f t="shared" si="59"/>
        <v>0</v>
      </c>
      <c r="AQ82" s="221"/>
      <c r="AR82" s="213"/>
      <c r="AS82" s="213"/>
      <c r="AT82" s="222"/>
      <c r="AU82" s="233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3"/>
      <c r="BS82" s="234"/>
      <c r="BT82" s="234"/>
      <c r="BU82" s="234"/>
      <c r="BV82" s="234"/>
      <c r="BW82" s="234"/>
      <c r="BX82" s="234"/>
      <c r="BY82" s="234"/>
      <c r="BZ82" s="234"/>
      <c r="CA82" s="234"/>
      <c r="CB82" s="234"/>
      <c r="CC82" s="236"/>
      <c r="CD82" s="233"/>
      <c r="CE82" s="209"/>
      <c r="CF82" s="210"/>
      <c r="CG82" s="210"/>
      <c r="CH82" s="210"/>
      <c r="CI82" s="210"/>
      <c r="CJ82" s="210"/>
      <c r="CK82" s="210"/>
      <c r="CL82" s="210"/>
      <c r="CM82" s="210"/>
      <c r="CN82" s="210"/>
      <c r="CO82" s="351"/>
      <c r="CP82" s="234"/>
      <c r="CQ82" s="235"/>
      <c r="CR82" s="236"/>
      <c r="CS82" s="237">
        <f t="shared" si="60"/>
        <v>0</v>
      </c>
      <c r="CT82" s="146"/>
      <c r="CU82" s="147">
        <f t="shared" si="61"/>
        <v>0</v>
      </c>
      <c r="CV82" s="156"/>
      <c r="CW82" s="157" t="e">
        <f t="shared" si="62"/>
        <v>#DIV/0!</v>
      </c>
      <c r="CX82" s="157" t="e">
        <f t="shared" si="63"/>
        <v>#DIV/0!</v>
      </c>
      <c r="CY82" s="157" t="e">
        <f t="shared" si="64"/>
        <v>#DIV/0!</v>
      </c>
      <c r="CZ82" s="157" t="e">
        <f t="shared" si="65"/>
        <v>#DIV/0!</v>
      </c>
      <c r="DA82" s="157" t="e">
        <f t="shared" si="66"/>
        <v>#DIV/0!</v>
      </c>
      <c r="DB82" s="158" t="e">
        <f t="shared" si="67"/>
        <v>#DIV/0!</v>
      </c>
      <c r="DC82" s="131"/>
      <c r="DD82" s="159">
        <f t="shared" si="68"/>
        <v>0</v>
      </c>
      <c r="DE82" s="160">
        <f t="shared" si="69"/>
        <v>0</v>
      </c>
      <c r="DF82" s="161">
        <f t="shared" si="70"/>
        <v>0</v>
      </c>
      <c r="DG82" s="162" t="e">
        <f t="shared" si="71"/>
        <v>#DIV/0!</v>
      </c>
      <c r="DH82" s="163">
        <f t="shared" si="72"/>
        <v>0</v>
      </c>
      <c r="DI82" s="164"/>
      <c r="DJ82" s="165">
        <f t="shared" si="55"/>
        <v>0</v>
      </c>
      <c r="DK82" s="166">
        <f t="shared" si="55"/>
        <v>0</v>
      </c>
      <c r="DL82" s="167" t="e">
        <f t="shared" si="73"/>
        <v>#DIV/0!</v>
      </c>
      <c r="DM82" s="168" t="e">
        <f t="shared" si="74"/>
        <v>#DIV/0!</v>
      </c>
      <c r="DN82" s="163" t="e">
        <f t="shared" si="75"/>
        <v>#DIV/0!</v>
      </c>
      <c r="DO82" s="169"/>
      <c r="DP82" s="170"/>
      <c r="DQ82" s="171"/>
      <c r="DR82" s="172">
        <f t="shared" si="76"/>
        <v>0</v>
      </c>
      <c r="DS82" s="173" t="e">
        <f t="shared" si="77"/>
        <v>#DIV/0!</v>
      </c>
      <c r="DT82" s="163" t="e">
        <f t="shared" si="78"/>
        <v>#DIV/0!</v>
      </c>
      <c r="DU82" s="174"/>
      <c r="DV82" s="175" t="e">
        <f t="shared" si="79"/>
        <v>#DIV/0!</v>
      </c>
      <c r="DW82" s="163">
        <f t="shared" si="80"/>
        <v>0</v>
      </c>
      <c r="DX82" s="164"/>
      <c r="DY82" s="176">
        <f t="shared" si="81"/>
        <v>0</v>
      </c>
      <c r="DZ82" s="177">
        <f t="shared" si="82"/>
        <v>0</v>
      </c>
      <c r="EA82" s="178">
        <f t="shared" si="83"/>
        <v>0</v>
      </c>
      <c r="EB82" s="179">
        <f t="shared" si="84"/>
        <v>0</v>
      </c>
      <c r="EC82" s="180"/>
      <c r="ED82" s="175" t="e">
        <f t="shared" si="85"/>
        <v>#DIV/0!</v>
      </c>
      <c r="EE82" s="163">
        <f t="shared" si="86"/>
        <v>0</v>
      </c>
      <c r="EF82" s="164"/>
      <c r="EG82" s="181">
        <f t="shared" si="87"/>
        <v>0</v>
      </c>
      <c r="EH82" s="182">
        <f t="shared" si="88"/>
        <v>0</v>
      </c>
      <c r="EI82" s="182">
        <f t="shared" si="89"/>
        <v>0</v>
      </c>
      <c r="EJ82" s="182">
        <f t="shared" si="90"/>
        <v>0</v>
      </c>
      <c r="EK82" s="183">
        <f t="shared" si="91"/>
        <v>0</v>
      </c>
      <c r="EL82" s="184" t="e">
        <f t="shared" si="92"/>
        <v>#DIV/0!</v>
      </c>
      <c r="EM82" s="185">
        <f t="shared" si="93"/>
        <v>0</v>
      </c>
      <c r="EN82" s="164"/>
      <c r="EO82" s="181">
        <f t="shared" si="94"/>
        <v>0</v>
      </c>
      <c r="EP82" s="183">
        <f t="shared" si="95"/>
        <v>0</v>
      </c>
      <c r="EQ82" s="184" t="e">
        <f t="shared" si="96"/>
        <v>#DIV/0!</v>
      </c>
      <c r="ER82" s="185">
        <f t="shared" si="97"/>
        <v>0</v>
      </c>
      <c r="ES82" s="164"/>
      <c r="ET82" s="164"/>
      <c r="EU82" s="186">
        <f t="shared" si="98"/>
        <v>0</v>
      </c>
      <c r="EV82" s="186">
        <f t="shared" si="99"/>
        <v>0</v>
      </c>
      <c r="EW82" s="186">
        <f t="shared" si="100"/>
        <v>0</v>
      </c>
      <c r="EX82" s="186">
        <f t="shared" si="101"/>
        <v>0</v>
      </c>
      <c r="EY82" s="131"/>
      <c r="EZ82" s="187">
        <f t="shared" si="102"/>
        <v>0</v>
      </c>
      <c r="FA82" s="188" t="e">
        <f t="shared" si="103"/>
        <v>#DIV/0!</v>
      </c>
      <c r="FB82" s="189"/>
      <c r="FC82" s="131"/>
      <c r="FD82" s="131"/>
      <c r="FE82" s="219"/>
      <c r="FF82" s="219"/>
      <c r="FG82" s="219"/>
    </row>
    <row r="83" spans="2:163" s="220" customFormat="1" ht="16" outlineLevel="1" thickBot="1" x14ac:dyDescent="0.4">
      <c r="B83" s="356"/>
      <c r="C83" s="353"/>
      <c r="D83" s="133"/>
      <c r="E83" s="134"/>
      <c r="F83" s="135"/>
      <c r="G83" s="136"/>
      <c r="H83" s="137"/>
      <c r="I83" s="138">
        <f>IF(E83&gt;0.0001,9.4,0)</f>
        <v>0</v>
      </c>
      <c r="J83" s="139"/>
      <c r="K83" s="140">
        <f t="shared" si="107"/>
        <v>0</v>
      </c>
      <c r="L83" s="141"/>
      <c r="M83" s="142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2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4"/>
      <c r="AN83" s="145">
        <f t="shared" si="58"/>
        <v>0</v>
      </c>
      <c r="AO83" s="146"/>
      <c r="AP83" s="147">
        <f t="shared" si="59"/>
        <v>0</v>
      </c>
      <c r="AQ83" s="221"/>
      <c r="AR83" s="149"/>
      <c r="AS83" s="149"/>
      <c r="AT83" s="222"/>
      <c r="AU83" s="223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3"/>
      <c r="BS83" s="224"/>
      <c r="BT83" s="224"/>
      <c r="BU83" s="224"/>
      <c r="BV83" s="224"/>
      <c r="BW83" s="224"/>
      <c r="BX83" s="224"/>
      <c r="BY83" s="224"/>
      <c r="BZ83" s="224"/>
      <c r="CA83" s="224"/>
      <c r="CB83" s="224"/>
      <c r="CC83" s="226"/>
      <c r="CD83" s="223"/>
      <c r="CE83" s="142"/>
      <c r="CF83" s="143"/>
      <c r="CG83" s="143"/>
      <c r="CH83" s="143"/>
      <c r="CI83" s="143"/>
      <c r="CJ83" s="143"/>
      <c r="CK83" s="143"/>
      <c r="CL83" s="143"/>
      <c r="CM83" s="143"/>
      <c r="CN83" s="143"/>
      <c r="CO83" s="349"/>
      <c r="CP83" s="224"/>
      <c r="CQ83" s="225"/>
      <c r="CR83" s="226"/>
      <c r="CS83" s="227">
        <f t="shared" si="60"/>
        <v>0</v>
      </c>
      <c r="CT83" s="146"/>
      <c r="CU83" s="147">
        <f t="shared" si="61"/>
        <v>0</v>
      </c>
      <c r="CV83" s="156"/>
      <c r="CW83" s="157" t="e">
        <f t="shared" si="62"/>
        <v>#DIV/0!</v>
      </c>
      <c r="CX83" s="157" t="e">
        <f t="shared" si="63"/>
        <v>#DIV/0!</v>
      </c>
      <c r="CY83" s="157" t="e">
        <f t="shared" si="64"/>
        <v>#DIV/0!</v>
      </c>
      <c r="CZ83" s="157" t="e">
        <f t="shared" si="65"/>
        <v>#DIV/0!</v>
      </c>
      <c r="DA83" s="157" t="e">
        <f t="shared" si="66"/>
        <v>#DIV/0!</v>
      </c>
      <c r="DB83" s="158" t="e">
        <f t="shared" si="67"/>
        <v>#DIV/0!</v>
      </c>
      <c r="DC83" s="131"/>
      <c r="DD83" s="159">
        <f t="shared" si="68"/>
        <v>0</v>
      </c>
      <c r="DE83" s="160">
        <f t="shared" si="69"/>
        <v>0</v>
      </c>
      <c r="DF83" s="161">
        <f t="shared" si="70"/>
        <v>0</v>
      </c>
      <c r="DG83" s="162" t="e">
        <f t="shared" si="71"/>
        <v>#DIV/0!</v>
      </c>
      <c r="DH83" s="163">
        <f t="shared" si="72"/>
        <v>0</v>
      </c>
      <c r="DI83" s="164"/>
      <c r="DJ83" s="165">
        <f t="shared" si="55"/>
        <v>0</v>
      </c>
      <c r="DK83" s="166">
        <f t="shared" si="55"/>
        <v>0</v>
      </c>
      <c r="DL83" s="167" t="e">
        <f t="shared" si="73"/>
        <v>#DIV/0!</v>
      </c>
      <c r="DM83" s="168" t="e">
        <f t="shared" si="74"/>
        <v>#DIV/0!</v>
      </c>
      <c r="DN83" s="163" t="e">
        <f t="shared" si="75"/>
        <v>#DIV/0!</v>
      </c>
      <c r="DO83" s="169"/>
      <c r="DP83" s="170"/>
      <c r="DQ83" s="171"/>
      <c r="DR83" s="172">
        <f t="shared" si="76"/>
        <v>0</v>
      </c>
      <c r="DS83" s="173" t="e">
        <f t="shared" si="77"/>
        <v>#DIV/0!</v>
      </c>
      <c r="DT83" s="163" t="e">
        <f t="shared" si="78"/>
        <v>#DIV/0!</v>
      </c>
      <c r="DU83" s="174"/>
      <c r="DV83" s="175" t="e">
        <f t="shared" si="79"/>
        <v>#DIV/0!</v>
      </c>
      <c r="DW83" s="163">
        <f t="shared" si="80"/>
        <v>0</v>
      </c>
      <c r="DX83" s="164"/>
      <c r="DY83" s="176">
        <f t="shared" si="81"/>
        <v>0</v>
      </c>
      <c r="DZ83" s="177">
        <f t="shared" si="82"/>
        <v>0</v>
      </c>
      <c r="EA83" s="178">
        <f t="shared" si="83"/>
        <v>0</v>
      </c>
      <c r="EB83" s="179">
        <f t="shared" si="84"/>
        <v>0</v>
      </c>
      <c r="EC83" s="180"/>
      <c r="ED83" s="175" t="e">
        <f t="shared" si="85"/>
        <v>#DIV/0!</v>
      </c>
      <c r="EE83" s="163">
        <f t="shared" si="86"/>
        <v>0</v>
      </c>
      <c r="EF83" s="164"/>
      <c r="EG83" s="181">
        <f t="shared" si="87"/>
        <v>0</v>
      </c>
      <c r="EH83" s="182">
        <f t="shared" si="88"/>
        <v>0</v>
      </c>
      <c r="EI83" s="182">
        <f t="shared" si="89"/>
        <v>0</v>
      </c>
      <c r="EJ83" s="182">
        <f t="shared" si="90"/>
        <v>0</v>
      </c>
      <c r="EK83" s="183">
        <f t="shared" si="91"/>
        <v>0</v>
      </c>
      <c r="EL83" s="184" t="e">
        <f t="shared" si="92"/>
        <v>#DIV/0!</v>
      </c>
      <c r="EM83" s="185">
        <f t="shared" si="93"/>
        <v>0</v>
      </c>
      <c r="EN83" s="164"/>
      <c r="EO83" s="181">
        <f t="shared" si="94"/>
        <v>0</v>
      </c>
      <c r="EP83" s="183">
        <f t="shared" si="95"/>
        <v>0</v>
      </c>
      <c r="EQ83" s="184" t="e">
        <f t="shared" si="96"/>
        <v>#DIV/0!</v>
      </c>
      <c r="ER83" s="185">
        <f t="shared" si="97"/>
        <v>0</v>
      </c>
      <c r="ES83" s="164"/>
      <c r="ET83" s="164"/>
      <c r="EU83" s="186">
        <f t="shared" si="98"/>
        <v>0</v>
      </c>
      <c r="EV83" s="186">
        <f t="shared" si="99"/>
        <v>0</v>
      </c>
      <c r="EW83" s="186">
        <f t="shared" si="100"/>
        <v>0</v>
      </c>
      <c r="EX83" s="186">
        <f t="shared" si="101"/>
        <v>0</v>
      </c>
      <c r="EY83" s="131"/>
      <c r="EZ83" s="187">
        <f t="shared" si="102"/>
        <v>0</v>
      </c>
      <c r="FA83" s="188" t="e">
        <f t="shared" si="103"/>
        <v>#DIV/0!</v>
      </c>
      <c r="FB83" s="189"/>
      <c r="FC83" s="219"/>
      <c r="FD83" s="219"/>
      <c r="FE83" s="219"/>
      <c r="FF83" s="219"/>
      <c r="FG83" s="219"/>
    </row>
    <row r="84" spans="2:163" s="220" customFormat="1" ht="16" outlineLevel="1" thickBot="1" x14ac:dyDescent="0.4">
      <c r="B84" s="357"/>
      <c r="C84" s="354"/>
      <c r="D84" s="190"/>
      <c r="E84" s="191"/>
      <c r="F84" s="135"/>
      <c r="G84" s="192"/>
      <c r="H84" s="137"/>
      <c r="I84" s="138">
        <f t="shared" si="56"/>
        <v>0</v>
      </c>
      <c r="J84" s="139"/>
      <c r="K84" s="193">
        <f t="shared" si="107"/>
        <v>0</v>
      </c>
      <c r="L84" s="141"/>
      <c r="M84" s="194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4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6"/>
      <c r="AN84" s="197">
        <f t="shared" si="58"/>
        <v>0</v>
      </c>
      <c r="AO84" s="146"/>
      <c r="AP84" s="147">
        <f t="shared" si="59"/>
        <v>0</v>
      </c>
      <c r="AQ84" s="221"/>
      <c r="AR84" s="198"/>
      <c r="AS84" s="198"/>
      <c r="AT84" s="222"/>
      <c r="AU84" s="228"/>
      <c r="AV84" s="229"/>
      <c r="AW84" s="229"/>
      <c r="AX84" s="229"/>
      <c r="AY84" s="229"/>
      <c r="AZ84" s="229"/>
      <c r="BA84" s="229"/>
      <c r="BB84" s="229"/>
      <c r="BC84" s="229"/>
      <c r="BD84" s="229"/>
      <c r="BE84" s="229"/>
      <c r="BF84" s="230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28"/>
      <c r="BS84" s="229"/>
      <c r="BT84" s="229"/>
      <c r="BU84" s="229"/>
      <c r="BV84" s="229"/>
      <c r="BW84" s="229"/>
      <c r="BX84" s="229"/>
      <c r="BY84" s="229"/>
      <c r="BZ84" s="229"/>
      <c r="CA84" s="229"/>
      <c r="CB84" s="229"/>
      <c r="CC84" s="231"/>
      <c r="CD84" s="228"/>
      <c r="CE84" s="194"/>
      <c r="CF84" s="195"/>
      <c r="CG84" s="195"/>
      <c r="CH84" s="195"/>
      <c r="CI84" s="195"/>
      <c r="CJ84" s="195"/>
      <c r="CK84" s="195"/>
      <c r="CL84" s="195"/>
      <c r="CM84" s="195"/>
      <c r="CN84" s="195"/>
      <c r="CO84" s="350"/>
      <c r="CP84" s="229"/>
      <c r="CQ84" s="230"/>
      <c r="CR84" s="231"/>
      <c r="CS84" s="232">
        <f t="shared" si="60"/>
        <v>0</v>
      </c>
      <c r="CT84" s="146"/>
      <c r="CU84" s="147">
        <f t="shared" si="61"/>
        <v>0</v>
      </c>
      <c r="CV84" s="156"/>
      <c r="CW84" s="157" t="e">
        <f t="shared" si="62"/>
        <v>#DIV/0!</v>
      </c>
      <c r="CX84" s="157" t="e">
        <f t="shared" si="63"/>
        <v>#DIV/0!</v>
      </c>
      <c r="CY84" s="157" t="e">
        <f t="shared" si="64"/>
        <v>#DIV/0!</v>
      </c>
      <c r="CZ84" s="157" t="e">
        <f t="shared" si="65"/>
        <v>#DIV/0!</v>
      </c>
      <c r="DA84" s="157" t="e">
        <f t="shared" si="66"/>
        <v>#DIV/0!</v>
      </c>
      <c r="DB84" s="158" t="e">
        <f t="shared" si="67"/>
        <v>#DIV/0!</v>
      </c>
      <c r="DC84" s="131"/>
      <c r="DD84" s="159">
        <f t="shared" si="68"/>
        <v>0</v>
      </c>
      <c r="DE84" s="160">
        <f t="shared" si="69"/>
        <v>0</v>
      </c>
      <c r="DF84" s="161">
        <f t="shared" si="70"/>
        <v>0</v>
      </c>
      <c r="DG84" s="162" t="e">
        <f t="shared" si="71"/>
        <v>#DIV/0!</v>
      </c>
      <c r="DH84" s="163">
        <f t="shared" si="72"/>
        <v>0</v>
      </c>
      <c r="DI84" s="164"/>
      <c r="DJ84" s="165">
        <f t="shared" si="55"/>
        <v>0</v>
      </c>
      <c r="DK84" s="166">
        <f t="shared" si="55"/>
        <v>0</v>
      </c>
      <c r="DL84" s="167" t="e">
        <f t="shared" si="73"/>
        <v>#DIV/0!</v>
      </c>
      <c r="DM84" s="168" t="e">
        <f t="shared" si="74"/>
        <v>#DIV/0!</v>
      </c>
      <c r="DN84" s="163" t="e">
        <f t="shared" si="75"/>
        <v>#DIV/0!</v>
      </c>
      <c r="DO84" s="169"/>
      <c r="DP84" s="170"/>
      <c r="DQ84" s="171"/>
      <c r="DR84" s="172">
        <f t="shared" si="76"/>
        <v>0</v>
      </c>
      <c r="DS84" s="173" t="e">
        <f t="shared" si="77"/>
        <v>#DIV/0!</v>
      </c>
      <c r="DT84" s="163" t="e">
        <f t="shared" si="78"/>
        <v>#DIV/0!</v>
      </c>
      <c r="DU84" s="174"/>
      <c r="DV84" s="175" t="e">
        <f t="shared" si="79"/>
        <v>#DIV/0!</v>
      </c>
      <c r="DW84" s="163">
        <f t="shared" si="80"/>
        <v>0</v>
      </c>
      <c r="DX84" s="164"/>
      <c r="DY84" s="176">
        <f t="shared" si="81"/>
        <v>0</v>
      </c>
      <c r="DZ84" s="177">
        <f t="shared" si="82"/>
        <v>0</v>
      </c>
      <c r="EA84" s="178">
        <f t="shared" si="83"/>
        <v>0</v>
      </c>
      <c r="EB84" s="179">
        <f t="shared" si="84"/>
        <v>0</v>
      </c>
      <c r="EC84" s="180"/>
      <c r="ED84" s="175" t="e">
        <f t="shared" si="85"/>
        <v>#DIV/0!</v>
      </c>
      <c r="EE84" s="163">
        <f t="shared" si="86"/>
        <v>0</v>
      </c>
      <c r="EF84" s="164"/>
      <c r="EG84" s="181">
        <f t="shared" si="87"/>
        <v>0</v>
      </c>
      <c r="EH84" s="182">
        <f t="shared" si="88"/>
        <v>0</v>
      </c>
      <c r="EI84" s="182">
        <f t="shared" si="89"/>
        <v>0</v>
      </c>
      <c r="EJ84" s="182">
        <f t="shared" si="90"/>
        <v>0</v>
      </c>
      <c r="EK84" s="183">
        <f t="shared" si="91"/>
        <v>0</v>
      </c>
      <c r="EL84" s="184" t="e">
        <f t="shared" si="92"/>
        <v>#DIV/0!</v>
      </c>
      <c r="EM84" s="185">
        <f t="shared" si="93"/>
        <v>0</v>
      </c>
      <c r="EN84" s="164"/>
      <c r="EO84" s="181">
        <f t="shared" si="94"/>
        <v>0</v>
      </c>
      <c r="EP84" s="183">
        <f t="shared" si="95"/>
        <v>0</v>
      </c>
      <c r="EQ84" s="184" t="e">
        <f t="shared" si="96"/>
        <v>#DIV/0!</v>
      </c>
      <c r="ER84" s="185">
        <f t="shared" si="97"/>
        <v>0</v>
      </c>
      <c r="ES84" s="164"/>
      <c r="ET84" s="164"/>
      <c r="EU84" s="186">
        <f t="shared" si="98"/>
        <v>0</v>
      </c>
      <c r="EV84" s="186">
        <f t="shared" si="99"/>
        <v>0</v>
      </c>
      <c r="EW84" s="186">
        <f t="shared" si="100"/>
        <v>0</v>
      </c>
      <c r="EX84" s="186">
        <f t="shared" si="101"/>
        <v>0</v>
      </c>
      <c r="EY84" s="131"/>
      <c r="EZ84" s="187">
        <f t="shared" si="102"/>
        <v>0</v>
      </c>
      <c r="FA84" s="188" t="e">
        <f t="shared" si="103"/>
        <v>#DIV/0!</v>
      </c>
      <c r="FB84" s="189"/>
      <c r="FC84" s="219"/>
      <c r="FD84" s="219"/>
      <c r="FE84" s="219"/>
      <c r="FF84" s="219"/>
      <c r="FG84" s="219"/>
    </row>
    <row r="85" spans="2:163" s="220" customFormat="1" ht="16" outlineLevel="1" thickBot="1" x14ac:dyDescent="0.4">
      <c r="B85" s="358"/>
      <c r="C85" s="355"/>
      <c r="D85" s="204"/>
      <c r="E85" s="205"/>
      <c r="F85" s="135"/>
      <c r="G85" s="206"/>
      <c r="H85" s="207"/>
      <c r="I85" s="138">
        <f t="shared" si="56"/>
        <v>0</v>
      </c>
      <c r="J85" s="139"/>
      <c r="K85" s="208">
        <f t="shared" si="107"/>
        <v>0</v>
      </c>
      <c r="L85" s="141"/>
      <c r="M85" s="209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09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1"/>
      <c r="AN85" s="212">
        <f t="shared" si="58"/>
        <v>0</v>
      </c>
      <c r="AO85" s="146"/>
      <c r="AP85" s="147">
        <f t="shared" si="59"/>
        <v>0</v>
      </c>
      <c r="AQ85" s="221"/>
      <c r="AR85" s="213"/>
      <c r="AS85" s="213"/>
      <c r="AT85" s="222"/>
      <c r="AU85" s="233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3"/>
      <c r="BS85" s="234"/>
      <c r="BT85" s="234"/>
      <c r="BU85" s="234"/>
      <c r="BV85" s="234"/>
      <c r="BW85" s="234"/>
      <c r="BX85" s="234"/>
      <c r="BY85" s="234"/>
      <c r="BZ85" s="234"/>
      <c r="CA85" s="234"/>
      <c r="CB85" s="234"/>
      <c r="CC85" s="236"/>
      <c r="CD85" s="233"/>
      <c r="CE85" s="209"/>
      <c r="CF85" s="210"/>
      <c r="CG85" s="210"/>
      <c r="CH85" s="210"/>
      <c r="CI85" s="210"/>
      <c r="CJ85" s="210"/>
      <c r="CK85" s="210"/>
      <c r="CL85" s="210"/>
      <c r="CM85" s="210"/>
      <c r="CN85" s="210"/>
      <c r="CO85" s="351"/>
      <c r="CP85" s="234"/>
      <c r="CQ85" s="235"/>
      <c r="CR85" s="236"/>
      <c r="CS85" s="237">
        <f t="shared" si="60"/>
        <v>0</v>
      </c>
      <c r="CT85" s="146"/>
      <c r="CU85" s="147">
        <f t="shared" si="61"/>
        <v>0</v>
      </c>
      <c r="CV85" s="156"/>
      <c r="CW85" s="157" t="e">
        <f t="shared" si="62"/>
        <v>#DIV/0!</v>
      </c>
      <c r="CX85" s="157" t="e">
        <f t="shared" si="63"/>
        <v>#DIV/0!</v>
      </c>
      <c r="CY85" s="157" t="e">
        <f t="shared" si="64"/>
        <v>#DIV/0!</v>
      </c>
      <c r="CZ85" s="157" t="e">
        <f t="shared" si="65"/>
        <v>#DIV/0!</v>
      </c>
      <c r="DA85" s="157" t="e">
        <f t="shared" si="66"/>
        <v>#DIV/0!</v>
      </c>
      <c r="DB85" s="158" t="e">
        <f t="shared" si="67"/>
        <v>#DIV/0!</v>
      </c>
      <c r="DC85" s="131"/>
      <c r="DD85" s="159">
        <f t="shared" si="68"/>
        <v>0</v>
      </c>
      <c r="DE85" s="160">
        <f t="shared" si="69"/>
        <v>0</v>
      </c>
      <c r="DF85" s="161">
        <f t="shared" si="70"/>
        <v>0</v>
      </c>
      <c r="DG85" s="162" t="e">
        <f t="shared" si="71"/>
        <v>#DIV/0!</v>
      </c>
      <c r="DH85" s="163">
        <f t="shared" si="72"/>
        <v>0</v>
      </c>
      <c r="DI85" s="164"/>
      <c r="DJ85" s="165">
        <f t="shared" si="55"/>
        <v>0</v>
      </c>
      <c r="DK85" s="166">
        <f t="shared" si="55"/>
        <v>0</v>
      </c>
      <c r="DL85" s="167" t="e">
        <f t="shared" si="73"/>
        <v>#DIV/0!</v>
      </c>
      <c r="DM85" s="168" t="e">
        <f t="shared" si="74"/>
        <v>#DIV/0!</v>
      </c>
      <c r="DN85" s="163" t="e">
        <f t="shared" si="75"/>
        <v>#DIV/0!</v>
      </c>
      <c r="DO85" s="169"/>
      <c r="DP85" s="170"/>
      <c r="DQ85" s="171"/>
      <c r="DR85" s="172">
        <f t="shared" si="76"/>
        <v>0</v>
      </c>
      <c r="DS85" s="173" t="e">
        <f t="shared" si="77"/>
        <v>#DIV/0!</v>
      </c>
      <c r="DT85" s="163" t="e">
        <f t="shared" si="78"/>
        <v>#DIV/0!</v>
      </c>
      <c r="DU85" s="174"/>
      <c r="DV85" s="175" t="e">
        <f t="shared" si="79"/>
        <v>#DIV/0!</v>
      </c>
      <c r="DW85" s="163">
        <f t="shared" si="80"/>
        <v>0</v>
      </c>
      <c r="DX85" s="164"/>
      <c r="DY85" s="176">
        <f t="shared" si="81"/>
        <v>0</v>
      </c>
      <c r="DZ85" s="177">
        <f t="shared" si="82"/>
        <v>0</v>
      </c>
      <c r="EA85" s="178">
        <f t="shared" si="83"/>
        <v>0</v>
      </c>
      <c r="EB85" s="179">
        <f t="shared" si="84"/>
        <v>0</v>
      </c>
      <c r="EC85" s="180"/>
      <c r="ED85" s="175" t="e">
        <f t="shared" si="85"/>
        <v>#DIV/0!</v>
      </c>
      <c r="EE85" s="163">
        <f t="shared" si="86"/>
        <v>0</v>
      </c>
      <c r="EF85" s="164"/>
      <c r="EG85" s="181">
        <f t="shared" si="87"/>
        <v>0</v>
      </c>
      <c r="EH85" s="182">
        <f t="shared" si="88"/>
        <v>0</v>
      </c>
      <c r="EI85" s="182">
        <f t="shared" si="89"/>
        <v>0</v>
      </c>
      <c r="EJ85" s="182">
        <f t="shared" si="90"/>
        <v>0</v>
      </c>
      <c r="EK85" s="183">
        <f t="shared" si="91"/>
        <v>0</v>
      </c>
      <c r="EL85" s="184" t="e">
        <f t="shared" si="92"/>
        <v>#DIV/0!</v>
      </c>
      <c r="EM85" s="185">
        <f t="shared" si="93"/>
        <v>0</v>
      </c>
      <c r="EN85" s="164"/>
      <c r="EO85" s="181">
        <f t="shared" si="94"/>
        <v>0</v>
      </c>
      <c r="EP85" s="183">
        <f t="shared" si="95"/>
        <v>0</v>
      </c>
      <c r="EQ85" s="184" t="e">
        <f t="shared" si="96"/>
        <v>#DIV/0!</v>
      </c>
      <c r="ER85" s="185">
        <f t="shared" si="97"/>
        <v>0</v>
      </c>
      <c r="ES85" s="164"/>
      <c r="ET85" s="164"/>
      <c r="EU85" s="186">
        <f t="shared" si="98"/>
        <v>0</v>
      </c>
      <c r="EV85" s="186">
        <f t="shared" si="99"/>
        <v>0</v>
      </c>
      <c r="EW85" s="186">
        <f t="shared" si="100"/>
        <v>0</v>
      </c>
      <c r="EX85" s="186">
        <f t="shared" si="101"/>
        <v>0</v>
      </c>
      <c r="EY85" s="131"/>
      <c r="EZ85" s="187">
        <f t="shared" si="102"/>
        <v>0</v>
      </c>
      <c r="FA85" s="188" t="e">
        <f t="shared" si="103"/>
        <v>#DIV/0!</v>
      </c>
      <c r="FB85" s="189"/>
      <c r="FC85" s="131"/>
      <c r="FD85" s="131"/>
      <c r="FE85" s="219"/>
      <c r="FF85" s="219"/>
      <c r="FG85" s="219"/>
    </row>
    <row r="86" spans="2:163" ht="16" outlineLevel="1" thickBot="1" x14ac:dyDescent="0.4">
      <c r="B86" s="356"/>
      <c r="C86" s="353"/>
      <c r="D86" s="133"/>
      <c r="E86" s="134"/>
      <c r="F86" s="135"/>
      <c r="G86" s="136"/>
      <c r="H86" s="137"/>
      <c r="I86" s="138">
        <f>IF(E86&gt;0.0001,9.4,0)</f>
        <v>0</v>
      </c>
      <c r="J86" s="139"/>
      <c r="K86" s="140">
        <f t="shared" ref="K86:K88" si="108">E86*60</f>
        <v>0</v>
      </c>
      <c r="L86" s="141"/>
      <c r="M86" s="142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2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4"/>
      <c r="AN86" s="145">
        <f t="shared" ref="AN86:AN88" si="109">SUM(M86:AM86)</f>
        <v>0</v>
      </c>
      <c r="AO86" s="146"/>
      <c r="AP86" s="147">
        <f t="shared" ref="AP86:AP88" si="110">K86-AN86</f>
        <v>0</v>
      </c>
      <c r="AQ86" s="148"/>
      <c r="AR86" s="149"/>
      <c r="AS86" s="149"/>
      <c r="AT86" s="135"/>
      <c r="AU86" s="150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0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4"/>
      <c r="CD86" s="150"/>
      <c r="CE86" s="142"/>
      <c r="CF86" s="143"/>
      <c r="CG86" s="143"/>
      <c r="CH86" s="143"/>
      <c r="CI86" s="143"/>
      <c r="CJ86" s="143"/>
      <c r="CK86" s="143"/>
      <c r="CL86" s="143"/>
      <c r="CM86" s="143"/>
      <c r="CN86" s="143"/>
      <c r="CO86" s="346"/>
      <c r="CP86" s="151"/>
      <c r="CQ86" s="152"/>
      <c r="CR86" s="154"/>
      <c r="CS86" s="155">
        <f t="shared" ref="CS86:CS88" si="111">SUM(AU86:CR86)</f>
        <v>0</v>
      </c>
      <c r="CT86" s="146"/>
      <c r="CU86" s="147">
        <f t="shared" ref="CU86:CU88" si="112">AP86-CS86</f>
        <v>0</v>
      </c>
      <c r="CV86" s="156"/>
      <c r="CW86" s="157" t="e">
        <f t="shared" ref="CW86:CW88" si="113">(SUM(M86:Z86))/K86</f>
        <v>#DIV/0!</v>
      </c>
      <c r="CX86" s="157" t="e">
        <f t="shared" ref="CX86:CX88" si="114">(SUM(AA86:AM86))/K86</f>
        <v>#DIV/0!</v>
      </c>
      <c r="CY86" s="157" t="e">
        <f t="shared" ref="CY86:CY88" si="115">(SUM(AU86:BQ86))/$K86</f>
        <v>#DIV/0!</v>
      </c>
      <c r="CZ86" s="157" t="e">
        <f t="shared" ref="CZ86:CZ88" si="116">(SUM(BR86:CC86))/K86</f>
        <v>#DIV/0!</v>
      </c>
      <c r="DA86" s="157" t="e">
        <f t="shared" ref="DA86:DA88" si="117">(SUM(CD86:CR86))/K86</f>
        <v>#DIV/0!</v>
      </c>
      <c r="DB86" s="158" t="e">
        <f t="shared" ref="DB86:DB88" si="118">CU86/K86</f>
        <v>#DIV/0!</v>
      </c>
      <c r="DC86" s="131"/>
      <c r="DD86" s="159">
        <f t="shared" ref="DD86:DD88" si="119">AP86</f>
        <v>0</v>
      </c>
      <c r="DE86" s="160">
        <f t="shared" ref="DE86:DE88" si="120">CS86</f>
        <v>0</v>
      </c>
      <c r="DF86" s="161">
        <f t="shared" ref="DF86:DF88" si="121">$DD86-DE86</f>
        <v>0</v>
      </c>
      <c r="DG86" s="162" t="e">
        <f t="shared" ref="DG86:DG88" si="122">DF86/$DD86</f>
        <v>#DIV/0!</v>
      </c>
      <c r="DH86" s="163">
        <f t="shared" ref="DH86:DH88" si="123">IF(AP86&gt;0.01,1,0)</f>
        <v>0</v>
      </c>
      <c r="DI86" s="164"/>
      <c r="DJ86" s="165">
        <f t="shared" ref="DJ86:DJ88" si="124">H86</f>
        <v>0</v>
      </c>
      <c r="DK86" s="166">
        <f t="shared" ref="DK86:DK88" si="125">I86</f>
        <v>0</v>
      </c>
      <c r="DL86" s="167" t="e">
        <f t="shared" ref="DL86:DL88" si="126">DR86/DF86</f>
        <v>#DIV/0!</v>
      </c>
      <c r="DM86" s="168" t="e">
        <f t="shared" ref="DM86:DM88" si="127">DL86/DK86</f>
        <v>#DIV/0!</v>
      </c>
      <c r="DN86" s="163" t="e">
        <f t="shared" ref="DN86:DN88" si="128">IF(DM86&gt;0.01,1,0)</f>
        <v>#DIV/0!</v>
      </c>
      <c r="DO86" s="169"/>
      <c r="DP86" s="170"/>
      <c r="DQ86" s="171"/>
      <c r="DR86" s="172">
        <f t="shared" ref="DR86:DR88" si="129">DP86+DQ86</f>
        <v>0</v>
      </c>
      <c r="DS86" s="173" t="e">
        <f t="shared" ref="DS86:DS88" si="130">IF(DL86=0,0,DP86/DR86)</f>
        <v>#DIV/0!</v>
      </c>
      <c r="DT86" s="163" t="e">
        <f t="shared" ref="DT86:DT88" si="131">IF(DS86&gt;0.01,1,0)</f>
        <v>#DIV/0!</v>
      </c>
      <c r="DU86" s="174"/>
      <c r="DV86" s="175" t="e">
        <f t="shared" ref="DV86:DV88" si="132">DG86*DM86*DS86</f>
        <v>#DIV/0!</v>
      </c>
      <c r="DW86" s="163">
        <f t="shared" si="80"/>
        <v>0</v>
      </c>
      <c r="DX86" s="164"/>
      <c r="DY86" s="176">
        <f t="shared" ref="DY86:DY88" si="133">DP86</f>
        <v>0</v>
      </c>
      <c r="DZ86" s="177">
        <f t="shared" ref="DZ86:DZ88" si="134">DK86</f>
        <v>0</v>
      </c>
      <c r="EA86" s="178">
        <f t="shared" ref="EA86:EA88" si="135">+AP86</f>
        <v>0</v>
      </c>
      <c r="EB86" s="179">
        <f t="shared" ref="EB86:EB88" si="136">DZ86*EA86</f>
        <v>0</v>
      </c>
      <c r="EC86" s="180"/>
      <c r="ED86" s="175" t="e">
        <f t="shared" ref="ED86:ED88" si="137">DY86/EB86</f>
        <v>#DIV/0!</v>
      </c>
      <c r="EE86" s="163">
        <f t="shared" si="86"/>
        <v>0</v>
      </c>
      <c r="EF86" s="164"/>
      <c r="EG86" s="181">
        <f t="shared" ref="EG86:EG88" si="138">DP86</f>
        <v>0</v>
      </c>
      <c r="EH86" s="182">
        <f t="shared" ref="EH86:EH88" si="139">K86</f>
        <v>0</v>
      </c>
      <c r="EI86" s="182">
        <f t="shared" ref="EI86:EI88" si="140">SUM(M86:Z86)</f>
        <v>0</v>
      </c>
      <c r="EJ86" s="182">
        <f t="shared" ref="EJ86:EJ88" si="141">I86</f>
        <v>0</v>
      </c>
      <c r="EK86" s="183">
        <f t="shared" ref="EK86:EK88" si="142">(EH86-EI86)*EJ86</f>
        <v>0</v>
      </c>
      <c r="EL86" s="184" t="e">
        <f t="shared" ref="EL86:EL88" si="143">EG86/EK86</f>
        <v>#DIV/0!</v>
      </c>
      <c r="EM86" s="185">
        <f t="shared" ref="EM86:EM88" si="144">IF(EK86&gt;0.01,1,0)</f>
        <v>0</v>
      </c>
      <c r="EN86" s="164"/>
      <c r="EO86" s="181">
        <f t="shared" ref="EO86:EO88" si="145">EG86</f>
        <v>0</v>
      </c>
      <c r="EP86" s="183">
        <f t="shared" ref="EP86:EP88" si="146">EJ86</f>
        <v>0</v>
      </c>
      <c r="EQ86" s="184" t="e">
        <f t="shared" ref="EQ86:EQ88" si="147">EO86/(EP86*K86)</f>
        <v>#DIV/0!</v>
      </c>
      <c r="ER86" s="185">
        <f t="shared" si="97"/>
        <v>0</v>
      </c>
      <c r="ES86" s="164"/>
      <c r="ET86" s="164"/>
      <c r="EU86" s="186">
        <f t="shared" ref="EU86:EU88" si="148">DK86</f>
        <v>0</v>
      </c>
      <c r="EV86" s="186">
        <f t="shared" ref="EV86:EV88" si="149">CU86</f>
        <v>0</v>
      </c>
      <c r="EW86" s="186">
        <f t="shared" ref="EW86:EW88" si="150">I86*CU86</f>
        <v>0</v>
      </c>
      <c r="EX86" s="186">
        <f t="shared" ref="EX86:EX88" si="151">DR86</f>
        <v>0</v>
      </c>
      <c r="EY86" s="131"/>
      <c r="EZ86" s="187">
        <f t="shared" ref="EZ86:EZ88" si="152">EW86-EX86</f>
        <v>0</v>
      </c>
      <c r="FA86" s="188" t="e">
        <f t="shared" ref="FA86:FA88" si="153">+IF(EZ86/I86&lt;0,0,(EZ86/I86))</f>
        <v>#DIV/0!</v>
      </c>
      <c r="FB86" s="189"/>
      <c r="FC86" s="131"/>
      <c r="FD86" s="131"/>
      <c r="FE86" s="131"/>
      <c r="FF86" s="131"/>
      <c r="FG86" s="131"/>
    </row>
    <row r="87" spans="2:163" ht="16" outlineLevel="1" thickBot="1" x14ac:dyDescent="0.4">
      <c r="B87" s="357"/>
      <c r="C87" s="354"/>
      <c r="D87" s="190"/>
      <c r="E87" s="191"/>
      <c r="F87" s="135"/>
      <c r="G87" s="192"/>
      <c r="H87" s="137"/>
      <c r="I87" s="138">
        <f t="shared" ref="I87:I88" si="154">IF(E87&gt;0.0001,0,0)</f>
        <v>0</v>
      </c>
      <c r="J87" s="139"/>
      <c r="K87" s="193">
        <f t="shared" si="108"/>
        <v>0</v>
      </c>
      <c r="L87" s="141"/>
      <c r="M87" s="194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4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6"/>
      <c r="AN87" s="197">
        <f t="shared" si="109"/>
        <v>0</v>
      </c>
      <c r="AO87" s="146"/>
      <c r="AP87" s="147">
        <f t="shared" si="110"/>
        <v>0</v>
      </c>
      <c r="AQ87" s="148"/>
      <c r="AR87" s="198"/>
      <c r="AS87" s="198"/>
      <c r="AT87" s="135"/>
      <c r="AU87" s="199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1"/>
      <c r="BG87" s="201"/>
      <c r="BH87" s="201"/>
      <c r="BI87" s="201"/>
      <c r="BJ87" s="201"/>
      <c r="BK87" s="201"/>
      <c r="BL87" s="201"/>
      <c r="BM87" s="201"/>
      <c r="BN87" s="201"/>
      <c r="BO87" s="201"/>
      <c r="BP87" s="201"/>
      <c r="BQ87" s="201"/>
      <c r="BR87" s="199"/>
      <c r="BS87" s="200"/>
      <c r="BT87" s="200"/>
      <c r="BU87" s="200"/>
      <c r="BV87" s="200"/>
      <c r="BW87" s="200"/>
      <c r="BX87" s="200"/>
      <c r="BY87" s="200"/>
      <c r="BZ87" s="200"/>
      <c r="CA87" s="200"/>
      <c r="CB87" s="200"/>
      <c r="CC87" s="202"/>
      <c r="CD87" s="199"/>
      <c r="CE87" s="194"/>
      <c r="CF87" s="195"/>
      <c r="CG87" s="195"/>
      <c r="CH87" s="195"/>
      <c r="CI87" s="195"/>
      <c r="CJ87" s="195"/>
      <c r="CK87" s="195"/>
      <c r="CL87" s="195"/>
      <c r="CM87" s="195"/>
      <c r="CN87" s="195"/>
      <c r="CO87" s="347"/>
      <c r="CP87" s="200"/>
      <c r="CQ87" s="201"/>
      <c r="CR87" s="202"/>
      <c r="CS87" s="203">
        <f t="shared" si="111"/>
        <v>0</v>
      </c>
      <c r="CT87" s="146"/>
      <c r="CU87" s="147">
        <f t="shared" si="112"/>
        <v>0</v>
      </c>
      <c r="CV87" s="156"/>
      <c r="CW87" s="157" t="e">
        <f t="shared" si="113"/>
        <v>#DIV/0!</v>
      </c>
      <c r="CX87" s="157" t="e">
        <f t="shared" si="114"/>
        <v>#DIV/0!</v>
      </c>
      <c r="CY87" s="157" t="e">
        <f t="shared" si="115"/>
        <v>#DIV/0!</v>
      </c>
      <c r="CZ87" s="157" t="e">
        <f t="shared" si="116"/>
        <v>#DIV/0!</v>
      </c>
      <c r="DA87" s="157" t="e">
        <f t="shared" si="117"/>
        <v>#DIV/0!</v>
      </c>
      <c r="DB87" s="158" t="e">
        <f t="shared" si="118"/>
        <v>#DIV/0!</v>
      </c>
      <c r="DC87" s="131"/>
      <c r="DD87" s="159">
        <f t="shared" si="119"/>
        <v>0</v>
      </c>
      <c r="DE87" s="160">
        <f t="shared" si="120"/>
        <v>0</v>
      </c>
      <c r="DF87" s="161">
        <f t="shared" si="121"/>
        <v>0</v>
      </c>
      <c r="DG87" s="162" t="e">
        <f t="shared" si="122"/>
        <v>#DIV/0!</v>
      </c>
      <c r="DH87" s="163">
        <f t="shared" si="123"/>
        <v>0</v>
      </c>
      <c r="DI87" s="164"/>
      <c r="DJ87" s="165">
        <f t="shared" si="124"/>
        <v>0</v>
      </c>
      <c r="DK87" s="166">
        <f t="shared" si="125"/>
        <v>0</v>
      </c>
      <c r="DL87" s="167" t="e">
        <f t="shared" si="126"/>
        <v>#DIV/0!</v>
      </c>
      <c r="DM87" s="168" t="e">
        <f t="shared" si="127"/>
        <v>#DIV/0!</v>
      </c>
      <c r="DN87" s="163" t="e">
        <f t="shared" si="128"/>
        <v>#DIV/0!</v>
      </c>
      <c r="DO87" s="169"/>
      <c r="DP87" s="170"/>
      <c r="DQ87" s="171"/>
      <c r="DR87" s="172">
        <f t="shared" si="129"/>
        <v>0</v>
      </c>
      <c r="DS87" s="173" t="e">
        <f t="shared" si="130"/>
        <v>#DIV/0!</v>
      </c>
      <c r="DT87" s="163" t="e">
        <f t="shared" si="131"/>
        <v>#DIV/0!</v>
      </c>
      <c r="DU87" s="174"/>
      <c r="DV87" s="175" t="e">
        <f t="shared" si="132"/>
        <v>#DIV/0!</v>
      </c>
      <c r="DW87" s="163">
        <f t="shared" si="80"/>
        <v>0</v>
      </c>
      <c r="DX87" s="164"/>
      <c r="DY87" s="176">
        <f t="shared" si="133"/>
        <v>0</v>
      </c>
      <c r="DZ87" s="177">
        <f t="shared" si="134"/>
        <v>0</v>
      </c>
      <c r="EA87" s="178">
        <f t="shared" si="135"/>
        <v>0</v>
      </c>
      <c r="EB87" s="179">
        <f t="shared" si="136"/>
        <v>0</v>
      </c>
      <c r="EC87" s="180"/>
      <c r="ED87" s="175" t="e">
        <f t="shared" si="137"/>
        <v>#DIV/0!</v>
      </c>
      <c r="EE87" s="163">
        <f t="shared" si="86"/>
        <v>0</v>
      </c>
      <c r="EF87" s="164"/>
      <c r="EG87" s="181">
        <f t="shared" si="138"/>
        <v>0</v>
      </c>
      <c r="EH87" s="182">
        <f t="shared" si="139"/>
        <v>0</v>
      </c>
      <c r="EI87" s="182">
        <f t="shared" si="140"/>
        <v>0</v>
      </c>
      <c r="EJ87" s="182">
        <f t="shared" si="141"/>
        <v>0</v>
      </c>
      <c r="EK87" s="183">
        <f t="shared" si="142"/>
        <v>0</v>
      </c>
      <c r="EL87" s="184" t="e">
        <f t="shared" si="143"/>
        <v>#DIV/0!</v>
      </c>
      <c r="EM87" s="185">
        <f t="shared" si="144"/>
        <v>0</v>
      </c>
      <c r="EN87" s="164"/>
      <c r="EO87" s="181">
        <f t="shared" si="145"/>
        <v>0</v>
      </c>
      <c r="EP87" s="183">
        <f t="shared" si="146"/>
        <v>0</v>
      </c>
      <c r="EQ87" s="184" t="e">
        <f t="shared" si="147"/>
        <v>#DIV/0!</v>
      </c>
      <c r="ER87" s="185">
        <f t="shared" si="97"/>
        <v>0</v>
      </c>
      <c r="ES87" s="164"/>
      <c r="ET87" s="164"/>
      <c r="EU87" s="186">
        <f t="shared" si="148"/>
        <v>0</v>
      </c>
      <c r="EV87" s="186">
        <f t="shared" si="149"/>
        <v>0</v>
      </c>
      <c r="EW87" s="186">
        <f t="shared" si="150"/>
        <v>0</v>
      </c>
      <c r="EX87" s="186">
        <f t="shared" si="151"/>
        <v>0</v>
      </c>
      <c r="EY87" s="131"/>
      <c r="EZ87" s="187">
        <f t="shared" si="152"/>
        <v>0</v>
      </c>
      <c r="FA87" s="188" t="e">
        <f t="shared" si="153"/>
        <v>#DIV/0!</v>
      </c>
      <c r="FB87" s="189"/>
      <c r="FC87" s="131"/>
      <c r="FD87" s="131"/>
      <c r="FE87" s="131"/>
      <c r="FF87" s="131"/>
      <c r="FG87" s="131"/>
    </row>
    <row r="88" spans="2:163" ht="16" outlineLevel="1" thickBot="1" x14ac:dyDescent="0.4">
      <c r="B88" s="358"/>
      <c r="C88" s="355"/>
      <c r="D88" s="204"/>
      <c r="E88" s="205"/>
      <c r="F88" s="135"/>
      <c r="G88" s="206"/>
      <c r="H88" s="207"/>
      <c r="I88" s="138">
        <f t="shared" si="154"/>
        <v>0</v>
      </c>
      <c r="J88" s="139"/>
      <c r="K88" s="208">
        <f t="shared" si="108"/>
        <v>0</v>
      </c>
      <c r="L88" s="141"/>
      <c r="M88" s="209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09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1"/>
      <c r="AN88" s="212">
        <f t="shared" si="109"/>
        <v>0</v>
      </c>
      <c r="AO88" s="146"/>
      <c r="AP88" s="147">
        <f t="shared" si="110"/>
        <v>0</v>
      </c>
      <c r="AQ88" s="148"/>
      <c r="AR88" s="213"/>
      <c r="AS88" s="213"/>
      <c r="AT88" s="135"/>
      <c r="AU88" s="214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6"/>
      <c r="BG88" s="216"/>
      <c r="BH88" s="216"/>
      <c r="BI88" s="216"/>
      <c r="BJ88" s="216"/>
      <c r="BK88" s="216"/>
      <c r="BL88" s="216"/>
      <c r="BM88" s="216"/>
      <c r="BN88" s="216"/>
      <c r="BO88" s="216"/>
      <c r="BP88" s="216"/>
      <c r="BQ88" s="216"/>
      <c r="BR88" s="214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7"/>
      <c r="CD88" s="214"/>
      <c r="CE88" s="209"/>
      <c r="CF88" s="210"/>
      <c r="CG88" s="210"/>
      <c r="CH88" s="210"/>
      <c r="CI88" s="210"/>
      <c r="CJ88" s="210"/>
      <c r="CK88" s="210"/>
      <c r="CL88" s="210"/>
      <c r="CM88" s="210"/>
      <c r="CN88" s="210"/>
      <c r="CO88" s="348"/>
      <c r="CP88" s="215"/>
      <c r="CQ88" s="216"/>
      <c r="CR88" s="217"/>
      <c r="CS88" s="218">
        <f t="shared" si="111"/>
        <v>0</v>
      </c>
      <c r="CT88" s="146"/>
      <c r="CU88" s="147">
        <f t="shared" si="112"/>
        <v>0</v>
      </c>
      <c r="CV88" s="156"/>
      <c r="CW88" s="157" t="e">
        <f t="shared" si="113"/>
        <v>#DIV/0!</v>
      </c>
      <c r="CX88" s="157" t="e">
        <f t="shared" si="114"/>
        <v>#DIV/0!</v>
      </c>
      <c r="CY88" s="157" t="e">
        <f t="shared" si="115"/>
        <v>#DIV/0!</v>
      </c>
      <c r="CZ88" s="157" t="e">
        <f t="shared" si="116"/>
        <v>#DIV/0!</v>
      </c>
      <c r="DA88" s="157" t="e">
        <f t="shared" si="117"/>
        <v>#DIV/0!</v>
      </c>
      <c r="DB88" s="158" t="e">
        <f t="shared" si="118"/>
        <v>#DIV/0!</v>
      </c>
      <c r="DC88" s="131"/>
      <c r="DD88" s="159">
        <f t="shared" si="119"/>
        <v>0</v>
      </c>
      <c r="DE88" s="160">
        <f t="shared" si="120"/>
        <v>0</v>
      </c>
      <c r="DF88" s="161">
        <f t="shared" si="121"/>
        <v>0</v>
      </c>
      <c r="DG88" s="162" t="e">
        <f t="shared" si="122"/>
        <v>#DIV/0!</v>
      </c>
      <c r="DH88" s="163">
        <f t="shared" si="123"/>
        <v>0</v>
      </c>
      <c r="DI88" s="164"/>
      <c r="DJ88" s="165">
        <f t="shared" si="124"/>
        <v>0</v>
      </c>
      <c r="DK88" s="166">
        <f t="shared" si="125"/>
        <v>0</v>
      </c>
      <c r="DL88" s="167" t="e">
        <f t="shared" si="126"/>
        <v>#DIV/0!</v>
      </c>
      <c r="DM88" s="168" t="e">
        <f t="shared" si="127"/>
        <v>#DIV/0!</v>
      </c>
      <c r="DN88" s="163" t="e">
        <f t="shared" si="128"/>
        <v>#DIV/0!</v>
      </c>
      <c r="DO88" s="169"/>
      <c r="DP88" s="170"/>
      <c r="DQ88" s="171"/>
      <c r="DR88" s="172">
        <f t="shared" si="129"/>
        <v>0</v>
      </c>
      <c r="DS88" s="173" t="e">
        <f t="shared" si="130"/>
        <v>#DIV/0!</v>
      </c>
      <c r="DT88" s="163" t="e">
        <f t="shared" si="131"/>
        <v>#DIV/0!</v>
      </c>
      <c r="DU88" s="174"/>
      <c r="DV88" s="175" t="e">
        <f t="shared" si="132"/>
        <v>#DIV/0!</v>
      </c>
      <c r="DW88" s="163">
        <f t="shared" si="80"/>
        <v>0</v>
      </c>
      <c r="DX88" s="164"/>
      <c r="DY88" s="176">
        <f t="shared" si="133"/>
        <v>0</v>
      </c>
      <c r="DZ88" s="177">
        <f t="shared" si="134"/>
        <v>0</v>
      </c>
      <c r="EA88" s="178">
        <f t="shared" si="135"/>
        <v>0</v>
      </c>
      <c r="EB88" s="179">
        <f t="shared" si="136"/>
        <v>0</v>
      </c>
      <c r="EC88" s="180"/>
      <c r="ED88" s="175" t="e">
        <f t="shared" si="137"/>
        <v>#DIV/0!</v>
      </c>
      <c r="EE88" s="163">
        <f t="shared" si="86"/>
        <v>0</v>
      </c>
      <c r="EF88" s="164"/>
      <c r="EG88" s="181">
        <f t="shared" si="138"/>
        <v>0</v>
      </c>
      <c r="EH88" s="182">
        <f t="shared" si="139"/>
        <v>0</v>
      </c>
      <c r="EI88" s="182">
        <f t="shared" si="140"/>
        <v>0</v>
      </c>
      <c r="EJ88" s="182">
        <f t="shared" si="141"/>
        <v>0</v>
      </c>
      <c r="EK88" s="183">
        <f t="shared" si="142"/>
        <v>0</v>
      </c>
      <c r="EL88" s="184" t="e">
        <f t="shared" si="143"/>
        <v>#DIV/0!</v>
      </c>
      <c r="EM88" s="185">
        <f t="shared" si="144"/>
        <v>0</v>
      </c>
      <c r="EN88" s="164"/>
      <c r="EO88" s="181">
        <f t="shared" si="145"/>
        <v>0</v>
      </c>
      <c r="EP88" s="183">
        <f t="shared" si="146"/>
        <v>0</v>
      </c>
      <c r="EQ88" s="184" t="e">
        <f t="shared" si="147"/>
        <v>#DIV/0!</v>
      </c>
      <c r="ER88" s="185">
        <f t="shared" si="97"/>
        <v>0</v>
      </c>
      <c r="ES88" s="164"/>
      <c r="ET88" s="164"/>
      <c r="EU88" s="186">
        <f t="shared" si="148"/>
        <v>0</v>
      </c>
      <c r="EV88" s="186">
        <f t="shared" si="149"/>
        <v>0</v>
      </c>
      <c r="EW88" s="186">
        <f t="shared" si="150"/>
        <v>0</v>
      </c>
      <c r="EX88" s="186">
        <f t="shared" si="151"/>
        <v>0</v>
      </c>
      <c r="EY88" s="131"/>
      <c r="EZ88" s="187">
        <f t="shared" si="152"/>
        <v>0</v>
      </c>
      <c r="FA88" s="188" t="e">
        <f t="shared" si="153"/>
        <v>#DIV/0!</v>
      </c>
      <c r="FB88" s="189"/>
      <c r="FC88" s="131"/>
      <c r="FD88" s="131"/>
      <c r="FE88" s="131"/>
      <c r="FF88" s="131"/>
      <c r="FG88" s="131"/>
    </row>
    <row r="89" spans="2:163" ht="16" outlineLevel="1" thickBot="1" x14ac:dyDescent="0.4">
      <c r="B89" s="356"/>
      <c r="C89" s="353"/>
      <c r="D89" s="133"/>
      <c r="E89" s="134"/>
      <c r="F89" s="135"/>
      <c r="G89" s="136"/>
      <c r="H89" s="137"/>
      <c r="I89" s="138">
        <f>IF(E89&gt;0.0001,9.4,0)</f>
        <v>0</v>
      </c>
      <c r="J89" s="139"/>
      <c r="K89" s="140">
        <f t="shared" si="107"/>
        <v>0</v>
      </c>
      <c r="L89" s="141"/>
      <c r="M89" s="142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2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4"/>
      <c r="AN89" s="145">
        <f t="shared" si="58"/>
        <v>0</v>
      </c>
      <c r="AO89" s="146"/>
      <c r="AP89" s="147">
        <f t="shared" si="59"/>
        <v>0</v>
      </c>
      <c r="AQ89" s="148"/>
      <c r="AR89" s="149"/>
      <c r="AS89" s="149"/>
      <c r="AT89" s="135"/>
      <c r="AU89" s="150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0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4"/>
      <c r="CD89" s="150"/>
      <c r="CE89" s="142"/>
      <c r="CF89" s="143"/>
      <c r="CG89" s="143"/>
      <c r="CH89" s="143"/>
      <c r="CI89" s="143"/>
      <c r="CJ89" s="143"/>
      <c r="CK89" s="143"/>
      <c r="CL89" s="143"/>
      <c r="CM89" s="143"/>
      <c r="CN89" s="143"/>
      <c r="CO89" s="346"/>
      <c r="CP89" s="151"/>
      <c r="CQ89" s="152"/>
      <c r="CR89" s="154"/>
      <c r="CS89" s="155">
        <f t="shared" si="60"/>
        <v>0</v>
      </c>
      <c r="CT89" s="146"/>
      <c r="CU89" s="147">
        <f t="shared" si="61"/>
        <v>0</v>
      </c>
      <c r="CV89" s="156"/>
      <c r="CW89" s="157" t="e">
        <f t="shared" si="62"/>
        <v>#DIV/0!</v>
      </c>
      <c r="CX89" s="157" t="e">
        <f t="shared" si="63"/>
        <v>#DIV/0!</v>
      </c>
      <c r="CY89" s="157" t="e">
        <f t="shared" si="64"/>
        <v>#DIV/0!</v>
      </c>
      <c r="CZ89" s="157" t="e">
        <f t="shared" si="65"/>
        <v>#DIV/0!</v>
      </c>
      <c r="DA89" s="157" t="e">
        <f t="shared" si="66"/>
        <v>#DIV/0!</v>
      </c>
      <c r="DB89" s="158" t="e">
        <f t="shared" si="67"/>
        <v>#DIV/0!</v>
      </c>
      <c r="DC89" s="131"/>
      <c r="DD89" s="159">
        <f t="shared" si="68"/>
        <v>0</v>
      </c>
      <c r="DE89" s="160">
        <f t="shared" si="69"/>
        <v>0</v>
      </c>
      <c r="DF89" s="161">
        <f t="shared" si="70"/>
        <v>0</v>
      </c>
      <c r="DG89" s="162" t="e">
        <f t="shared" si="71"/>
        <v>#DIV/0!</v>
      </c>
      <c r="DH89" s="163">
        <f t="shared" si="72"/>
        <v>0</v>
      </c>
      <c r="DI89" s="164"/>
      <c r="DJ89" s="165">
        <f t="shared" si="55"/>
        <v>0</v>
      </c>
      <c r="DK89" s="166">
        <f t="shared" si="55"/>
        <v>0</v>
      </c>
      <c r="DL89" s="167" t="e">
        <f t="shared" si="73"/>
        <v>#DIV/0!</v>
      </c>
      <c r="DM89" s="168" t="e">
        <f t="shared" si="74"/>
        <v>#DIV/0!</v>
      </c>
      <c r="DN89" s="163" t="e">
        <f t="shared" si="75"/>
        <v>#DIV/0!</v>
      </c>
      <c r="DO89" s="169"/>
      <c r="DP89" s="170"/>
      <c r="DQ89" s="171"/>
      <c r="DR89" s="172">
        <f t="shared" si="76"/>
        <v>0</v>
      </c>
      <c r="DS89" s="173" t="e">
        <f t="shared" si="77"/>
        <v>#DIV/0!</v>
      </c>
      <c r="DT89" s="163" t="e">
        <f t="shared" si="78"/>
        <v>#DIV/0!</v>
      </c>
      <c r="DU89" s="174"/>
      <c r="DV89" s="175" t="e">
        <f t="shared" si="79"/>
        <v>#DIV/0!</v>
      </c>
      <c r="DW89" s="163">
        <f t="shared" si="80"/>
        <v>0</v>
      </c>
      <c r="DX89" s="164"/>
      <c r="DY89" s="176">
        <f t="shared" si="81"/>
        <v>0</v>
      </c>
      <c r="DZ89" s="177">
        <f t="shared" si="82"/>
        <v>0</v>
      </c>
      <c r="EA89" s="178">
        <f t="shared" si="83"/>
        <v>0</v>
      </c>
      <c r="EB89" s="179">
        <f t="shared" si="84"/>
        <v>0</v>
      </c>
      <c r="EC89" s="180"/>
      <c r="ED89" s="175" t="e">
        <f t="shared" si="85"/>
        <v>#DIV/0!</v>
      </c>
      <c r="EE89" s="163">
        <f t="shared" si="86"/>
        <v>0</v>
      </c>
      <c r="EF89" s="164"/>
      <c r="EG89" s="181">
        <f t="shared" si="87"/>
        <v>0</v>
      </c>
      <c r="EH89" s="182">
        <f t="shared" si="88"/>
        <v>0</v>
      </c>
      <c r="EI89" s="182">
        <f t="shared" si="89"/>
        <v>0</v>
      </c>
      <c r="EJ89" s="182">
        <f t="shared" si="90"/>
        <v>0</v>
      </c>
      <c r="EK89" s="183">
        <f t="shared" si="91"/>
        <v>0</v>
      </c>
      <c r="EL89" s="184" t="e">
        <f t="shared" si="92"/>
        <v>#DIV/0!</v>
      </c>
      <c r="EM89" s="185">
        <f t="shared" si="93"/>
        <v>0</v>
      </c>
      <c r="EN89" s="164"/>
      <c r="EO89" s="181">
        <f t="shared" si="94"/>
        <v>0</v>
      </c>
      <c r="EP89" s="183">
        <f t="shared" si="95"/>
        <v>0</v>
      </c>
      <c r="EQ89" s="184" t="e">
        <f t="shared" si="96"/>
        <v>#DIV/0!</v>
      </c>
      <c r="ER89" s="185">
        <f t="shared" si="97"/>
        <v>0</v>
      </c>
      <c r="ES89" s="164"/>
      <c r="ET89" s="164"/>
      <c r="EU89" s="186">
        <f t="shared" si="98"/>
        <v>0</v>
      </c>
      <c r="EV89" s="186">
        <f t="shared" si="99"/>
        <v>0</v>
      </c>
      <c r="EW89" s="186">
        <f t="shared" si="100"/>
        <v>0</v>
      </c>
      <c r="EX89" s="186">
        <f t="shared" si="101"/>
        <v>0</v>
      </c>
      <c r="EY89" s="131"/>
      <c r="EZ89" s="187">
        <f t="shared" si="102"/>
        <v>0</v>
      </c>
      <c r="FA89" s="188" t="e">
        <f t="shared" si="103"/>
        <v>#DIV/0!</v>
      </c>
      <c r="FB89" s="189"/>
      <c r="FC89" s="131"/>
      <c r="FD89" s="131"/>
      <c r="FE89" s="131"/>
      <c r="FF89" s="131"/>
      <c r="FG89" s="131"/>
    </row>
    <row r="90" spans="2:163" ht="16" outlineLevel="1" thickBot="1" x14ac:dyDescent="0.4">
      <c r="B90" s="357"/>
      <c r="C90" s="354"/>
      <c r="D90" s="190"/>
      <c r="E90" s="191"/>
      <c r="F90" s="135"/>
      <c r="G90" s="192"/>
      <c r="H90" s="137"/>
      <c r="I90" s="138">
        <f t="shared" ref="I90:I91" si="155">IF(E90&gt;0.0001,0,0)</f>
        <v>0</v>
      </c>
      <c r="J90" s="139"/>
      <c r="K90" s="193">
        <f t="shared" si="107"/>
        <v>0</v>
      </c>
      <c r="L90" s="141"/>
      <c r="M90" s="194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4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6"/>
      <c r="AN90" s="197">
        <f t="shared" si="58"/>
        <v>0</v>
      </c>
      <c r="AO90" s="146"/>
      <c r="AP90" s="147">
        <f t="shared" si="59"/>
        <v>0</v>
      </c>
      <c r="AQ90" s="148"/>
      <c r="AR90" s="198"/>
      <c r="AS90" s="198"/>
      <c r="AT90" s="135"/>
      <c r="AU90" s="199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199"/>
      <c r="BS90" s="200"/>
      <c r="BT90" s="200"/>
      <c r="BU90" s="200"/>
      <c r="BV90" s="200"/>
      <c r="BW90" s="200"/>
      <c r="BX90" s="200"/>
      <c r="BY90" s="200"/>
      <c r="BZ90" s="200"/>
      <c r="CA90" s="200"/>
      <c r="CB90" s="200"/>
      <c r="CC90" s="202"/>
      <c r="CD90" s="199"/>
      <c r="CE90" s="194"/>
      <c r="CF90" s="195"/>
      <c r="CG90" s="195"/>
      <c r="CH90" s="195"/>
      <c r="CI90" s="195"/>
      <c r="CJ90" s="195"/>
      <c r="CK90" s="195"/>
      <c r="CL90" s="195"/>
      <c r="CM90" s="195"/>
      <c r="CN90" s="195"/>
      <c r="CO90" s="347"/>
      <c r="CP90" s="200"/>
      <c r="CQ90" s="201"/>
      <c r="CR90" s="202"/>
      <c r="CS90" s="203">
        <f t="shared" si="60"/>
        <v>0</v>
      </c>
      <c r="CT90" s="146"/>
      <c r="CU90" s="147">
        <f t="shared" si="61"/>
        <v>0</v>
      </c>
      <c r="CV90" s="156"/>
      <c r="CW90" s="157" t="e">
        <f t="shared" si="62"/>
        <v>#DIV/0!</v>
      </c>
      <c r="CX90" s="157" t="e">
        <f t="shared" si="63"/>
        <v>#DIV/0!</v>
      </c>
      <c r="CY90" s="157" t="e">
        <f t="shared" si="64"/>
        <v>#DIV/0!</v>
      </c>
      <c r="CZ90" s="157" t="e">
        <f t="shared" si="65"/>
        <v>#DIV/0!</v>
      </c>
      <c r="DA90" s="157" t="e">
        <f t="shared" si="66"/>
        <v>#DIV/0!</v>
      </c>
      <c r="DB90" s="158" t="e">
        <f t="shared" si="67"/>
        <v>#DIV/0!</v>
      </c>
      <c r="DC90" s="131"/>
      <c r="DD90" s="159">
        <f t="shared" si="68"/>
        <v>0</v>
      </c>
      <c r="DE90" s="160">
        <f t="shared" si="69"/>
        <v>0</v>
      </c>
      <c r="DF90" s="161">
        <f t="shared" si="70"/>
        <v>0</v>
      </c>
      <c r="DG90" s="162" t="e">
        <f t="shared" si="71"/>
        <v>#DIV/0!</v>
      </c>
      <c r="DH90" s="163">
        <f t="shared" si="72"/>
        <v>0</v>
      </c>
      <c r="DI90" s="164"/>
      <c r="DJ90" s="165">
        <f t="shared" si="55"/>
        <v>0</v>
      </c>
      <c r="DK90" s="166">
        <f t="shared" si="55"/>
        <v>0</v>
      </c>
      <c r="DL90" s="167" t="e">
        <f t="shared" si="73"/>
        <v>#DIV/0!</v>
      </c>
      <c r="DM90" s="168" t="e">
        <f t="shared" si="74"/>
        <v>#DIV/0!</v>
      </c>
      <c r="DN90" s="163" t="e">
        <f t="shared" si="75"/>
        <v>#DIV/0!</v>
      </c>
      <c r="DO90" s="169"/>
      <c r="DP90" s="170"/>
      <c r="DQ90" s="171"/>
      <c r="DR90" s="172">
        <f t="shared" si="76"/>
        <v>0</v>
      </c>
      <c r="DS90" s="173" t="e">
        <f t="shared" si="77"/>
        <v>#DIV/0!</v>
      </c>
      <c r="DT90" s="163" t="e">
        <f t="shared" si="78"/>
        <v>#DIV/0!</v>
      </c>
      <c r="DU90" s="174"/>
      <c r="DV90" s="175" t="e">
        <f t="shared" si="79"/>
        <v>#DIV/0!</v>
      </c>
      <c r="DW90" s="163">
        <f t="shared" si="80"/>
        <v>0</v>
      </c>
      <c r="DX90" s="164"/>
      <c r="DY90" s="176">
        <f t="shared" si="81"/>
        <v>0</v>
      </c>
      <c r="DZ90" s="177">
        <f t="shared" si="82"/>
        <v>0</v>
      </c>
      <c r="EA90" s="178">
        <f t="shared" si="83"/>
        <v>0</v>
      </c>
      <c r="EB90" s="179">
        <f t="shared" si="84"/>
        <v>0</v>
      </c>
      <c r="EC90" s="180"/>
      <c r="ED90" s="175" t="e">
        <f t="shared" si="85"/>
        <v>#DIV/0!</v>
      </c>
      <c r="EE90" s="163">
        <f t="shared" si="86"/>
        <v>0</v>
      </c>
      <c r="EF90" s="164"/>
      <c r="EG90" s="181">
        <f t="shared" si="87"/>
        <v>0</v>
      </c>
      <c r="EH90" s="182">
        <f t="shared" si="88"/>
        <v>0</v>
      </c>
      <c r="EI90" s="182">
        <f t="shared" si="89"/>
        <v>0</v>
      </c>
      <c r="EJ90" s="182">
        <f t="shared" si="90"/>
        <v>0</v>
      </c>
      <c r="EK90" s="183">
        <f t="shared" si="91"/>
        <v>0</v>
      </c>
      <c r="EL90" s="184" t="e">
        <f t="shared" si="92"/>
        <v>#DIV/0!</v>
      </c>
      <c r="EM90" s="185">
        <f t="shared" si="93"/>
        <v>0</v>
      </c>
      <c r="EN90" s="164"/>
      <c r="EO90" s="181">
        <f t="shared" si="94"/>
        <v>0</v>
      </c>
      <c r="EP90" s="183">
        <f t="shared" si="95"/>
        <v>0</v>
      </c>
      <c r="EQ90" s="184" t="e">
        <f t="shared" si="96"/>
        <v>#DIV/0!</v>
      </c>
      <c r="ER90" s="185">
        <f t="shared" si="97"/>
        <v>0</v>
      </c>
      <c r="ES90" s="164"/>
      <c r="ET90" s="164"/>
      <c r="EU90" s="186">
        <f t="shared" si="98"/>
        <v>0</v>
      </c>
      <c r="EV90" s="186">
        <f t="shared" si="99"/>
        <v>0</v>
      </c>
      <c r="EW90" s="186">
        <f t="shared" si="100"/>
        <v>0</v>
      </c>
      <c r="EX90" s="186">
        <f t="shared" si="101"/>
        <v>0</v>
      </c>
      <c r="EY90" s="131"/>
      <c r="EZ90" s="187">
        <f t="shared" si="102"/>
        <v>0</v>
      </c>
      <c r="FA90" s="188" t="e">
        <f t="shared" si="103"/>
        <v>#DIV/0!</v>
      </c>
      <c r="FB90" s="189"/>
      <c r="FC90" s="131"/>
      <c r="FD90" s="131"/>
      <c r="FE90" s="131"/>
      <c r="FF90" s="131"/>
      <c r="FG90" s="131"/>
    </row>
    <row r="91" spans="2:163" ht="16" outlineLevel="1" thickBot="1" x14ac:dyDescent="0.4">
      <c r="B91" s="358"/>
      <c r="C91" s="355"/>
      <c r="D91" s="204"/>
      <c r="E91" s="205"/>
      <c r="F91" s="135"/>
      <c r="G91" s="206"/>
      <c r="H91" s="207"/>
      <c r="I91" s="138">
        <f t="shared" si="155"/>
        <v>0</v>
      </c>
      <c r="J91" s="139"/>
      <c r="K91" s="208">
        <f t="shared" si="107"/>
        <v>0</v>
      </c>
      <c r="L91" s="141"/>
      <c r="M91" s="209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09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1"/>
      <c r="AN91" s="212">
        <f t="shared" si="58"/>
        <v>0</v>
      </c>
      <c r="AO91" s="146"/>
      <c r="AP91" s="147">
        <f t="shared" si="59"/>
        <v>0</v>
      </c>
      <c r="AQ91" s="148"/>
      <c r="AR91" s="213"/>
      <c r="AS91" s="213"/>
      <c r="AT91" s="135"/>
      <c r="AU91" s="214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4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7"/>
      <c r="CD91" s="214"/>
      <c r="CE91" s="209"/>
      <c r="CF91" s="210"/>
      <c r="CG91" s="210"/>
      <c r="CH91" s="210"/>
      <c r="CI91" s="210"/>
      <c r="CJ91" s="210"/>
      <c r="CK91" s="210"/>
      <c r="CL91" s="210"/>
      <c r="CM91" s="210"/>
      <c r="CN91" s="210"/>
      <c r="CO91" s="348"/>
      <c r="CP91" s="215"/>
      <c r="CQ91" s="216"/>
      <c r="CR91" s="217"/>
      <c r="CS91" s="218">
        <f t="shared" si="60"/>
        <v>0</v>
      </c>
      <c r="CT91" s="146"/>
      <c r="CU91" s="147">
        <f t="shared" si="61"/>
        <v>0</v>
      </c>
      <c r="CV91" s="156"/>
      <c r="CW91" s="157" t="e">
        <f t="shared" si="62"/>
        <v>#DIV/0!</v>
      </c>
      <c r="CX91" s="157" t="e">
        <f t="shared" si="63"/>
        <v>#DIV/0!</v>
      </c>
      <c r="CY91" s="157" t="e">
        <f t="shared" si="64"/>
        <v>#DIV/0!</v>
      </c>
      <c r="CZ91" s="157" t="e">
        <f t="shared" si="65"/>
        <v>#DIV/0!</v>
      </c>
      <c r="DA91" s="157" t="e">
        <f t="shared" si="66"/>
        <v>#DIV/0!</v>
      </c>
      <c r="DB91" s="158" t="e">
        <f t="shared" si="67"/>
        <v>#DIV/0!</v>
      </c>
      <c r="DC91" s="131"/>
      <c r="DD91" s="159">
        <f t="shared" si="68"/>
        <v>0</v>
      </c>
      <c r="DE91" s="160">
        <f t="shared" si="69"/>
        <v>0</v>
      </c>
      <c r="DF91" s="161">
        <f t="shared" si="70"/>
        <v>0</v>
      </c>
      <c r="DG91" s="162" t="e">
        <f t="shared" si="71"/>
        <v>#DIV/0!</v>
      </c>
      <c r="DH91" s="163">
        <f t="shared" si="72"/>
        <v>0</v>
      </c>
      <c r="DI91" s="164"/>
      <c r="DJ91" s="165">
        <f t="shared" si="55"/>
        <v>0</v>
      </c>
      <c r="DK91" s="166">
        <f t="shared" si="55"/>
        <v>0</v>
      </c>
      <c r="DL91" s="167" t="e">
        <f t="shared" si="73"/>
        <v>#DIV/0!</v>
      </c>
      <c r="DM91" s="168" t="e">
        <f t="shared" si="74"/>
        <v>#DIV/0!</v>
      </c>
      <c r="DN91" s="163" t="e">
        <f t="shared" si="75"/>
        <v>#DIV/0!</v>
      </c>
      <c r="DO91" s="169"/>
      <c r="DP91" s="170"/>
      <c r="DQ91" s="171"/>
      <c r="DR91" s="172">
        <f t="shared" si="76"/>
        <v>0</v>
      </c>
      <c r="DS91" s="173" t="e">
        <f t="shared" si="77"/>
        <v>#DIV/0!</v>
      </c>
      <c r="DT91" s="163" t="e">
        <f t="shared" si="78"/>
        <v>#DIV/0!</v>
      </c>
      <c r="DU91" s="174"/>
      <c r="DV91" s="175" t="e">
        <f t="shared" si="79"/>
        <v>#DIV/0!</v>
      </c>
      <c r="DW91" s="163">
        <f t="shared" si="80"/>
        <v>0</v>
      </c>
      <c r="DX91" s="164"/>
      <c r="DY91" s="176">
        <f t="shared" si="81"/>
        <v>0</v>
      </c>
      <c r="DZ91" s="177">
        <f t="shared" si="82"/>
        <v>0</v>
      </c>
      <c r="EA91" s="178">
        <f t="shared" si="83"/>
        <v>0</v>
      </c>
      <c r="EB91" s="179">
        <f t="shared" si="84"/>
        <v>0</v>
      </c>
      <c r="EC91" s="180"/>
      <c r="ED91" s="175" t="e">
        <f t="shared" si="85"/>
        <v>#DIV/0!</v>
      </c>
      <c r="EE91" s="163">
        <f t="shared" si="86"/>
        <v>0</v>
      </c>
      <c r="EF91" s="164"/>
      <c r="EG91" s="181">
        <f t="shared" si="87"/>
        <v>0</v>
      </c>
      <c r="EH91" s="182">
        <f t="shared" si="88"/>
        <v>0</v>
      </c>
      <c r="EI91" s="182">
        <f t="shared" si="89"/>
        <v>0</v>
      </c>
      <c r="EJ91" s="182">
        <f t="shared" si="90"/>
        <v>0</v>
      </c>
      <c r="EK91" s="183">
        <f t="shared" si="91"/>
        <v>0</v>
      </c>
      <c r="EL91" s="184" t="e">
        <f t="shared" si="92"/>
        <v>#DIV/0!</v>
      </c>
      <c r="EM91" s="185">
        <f t="shared" si="93"/>
        <v>0</v>
      </c>
      <c r="EN91" s="164"/>
      <c r="EO91" s="181">
        <f t="shared" si="94"/>
        <v>0</v>
      </c>
      <c r="EP91" s="183">
        <f t="shared" si="95"/>
        <v>0</v>
      </c>
      <c r="EQ91" s="184" t="e">
        <f t="shared" si="96"/>
        <v>#DIV/0!</v>
      </c>
      <c r="ER91" s="185">
        <f t="shared" si="97"/>
        <v>0</v>
      </c>
      <c r="ES91" s="164"/>
      <c r="ET91" s="164"/>
      <c r="EU91" s="186">
        <f t="shared" si="98"/>
        <v>0</v>
      </c>
      <c r="EV91" s="186">
        <f t="shared" si="99"/>
        <v>0</v>
      </c>
      <c r="EW91" s="186">
        <f t="shared" si="100"/>
        <v>0</v>
      </c>
      <c r="EX91" s="186">
        <f t="shared" si="101"/>
        <v>0</v>
      </c>
      <c r="EY91" s="131"/>
      <c r="EZ91" s="187">
        <f t="shared" si="102"/>
        <v>0</v>
      </c>
      <c r="FA91" s="188" t="e">
        <f t="shared" si="103"/>
        <v>#DIV/0!</v>
      </c>
      <c r="FB91" s="189"/>
      <c r="FC91" s="131"/>
      <c r="FD91" s="131"/>
      <c r="FE91" s="131"/>
      <c r="FF91" s="131"/>
      <c r="FG91" s="131"/>
    </row>
    <row r="92" spans="2:163" ht="16" outlineLevel="1" thickBot="1" x14ac:dyDescent="0.4">
      <c r="B92" s="356"/>
      <c r="C92" s="353"/>
      <c r="D92" s="133"/>
      <c r="E92" s="134"/>
      <c r="F92" s="135"/>
      <c r="G92" s="136"/>
      <c r="H92" s="137"/>
      <c r="I92" s="138">
        <f>IF(E92&gt;0.0001,9.4,0)</f>
        <v>0</v>
      </c>
      <c r="J92" s="139"/>
      <c r="K92" s="140">
        <f t="shared" ref="K92:K94" si="156">E92*60</f>
        <v>0</v>
      </c>
      <c r="L92" s="141"/>
      <c r="M92" s="142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2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4"/>
      <c r="AN92" s="145">
        <f t="shared" ref="AN92:AN94" si="157">SUM(M92:AM92)</f>
        <v>0</v>
      </c>
      <c r="AO92" s="146"/>
      <c r="AP92" s="147">
        <f t="shared" ref="AP92:AP94" si="158">K92-AN92</f>
        <v>0</v>
      </c>
      <c r="AQ92" s="148"/>
      <c r="AR92" s="149"/>
      <c r="AS92" s="149"/>
      <c r="AT92" s="135"/>
      <c r="AU92" s="150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0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4"/>
      <c r="CD92" s="150"/>
      <c r="CE92" s="142"/>
      <c r="CF92" s="143"/>
      <c r="CG92" s="143"/>
      <c r="CH92" s="143"/>
      <c r="CI92" s="143"/>
      <c r="CJ92" s="143"/>
      <c r="CK92" s="143"/>
      <c r="CL92" s="143"/>
      <c r="CM92" s="143"/>
      <c r="CN92" s="143"/>
      <c r="CO92" s="346"/>
      <c r="CP92" s="151"/>
      <c r="CQ92" s="152"/>
      <c r="CR92" s="154"/>
      <c r="CS92" s="155">
        <f t="shared" ref="CS92:CS94" si="159">SUM(AU92:CR92)</f>
        <v>0</v>
      </c>
      <c r="CT92" s="146"/>
      <c r="CU92" s="147">
        <f t="shared" ref="CU92:CU94" si="160">AP92-CS92</f>
        <v>0</v>
      </c>
      <c r="CV92" s="156"/>
      <c r="CW92" s="157" t="e">
        <f t="shared" ref="CW92:CW94" si="161">(SUM(M92:Z92))/K92</f>
        <v>#DIV/0!</v>
      </c>
      <c r="CX92" s="157" t="e">
        <f t="shared" ref="CX92:CX94" si="162">(SUM(AA92:AM92))/K92</f>
        <v>#DIV/0!</v>
      </c>
      <c r="CY92" s="157" t="e">
        <f t="shared" ref="CY92:CY94" si="163">(SUM(AU92:BQ92))/$K92</f>
        <v>#DIV/0!</v>
      </c>
      <c r="CZ92" s="157" t="e">
        <f t="shared" ref="CZ92:CZ94" si="164">(SUM(BR92:CC92))/K92</f>
        <v>#DIV/0!</v>
      </c>
      <c r="DA92" s="157" t="e">
        <f t="shared" ref="DA92:DA94" si="165">(SUM(CD92:CR92))/K92</f>
        <v>#DIV/0!</v>
      </c>
      <c r="DB92" s="158" t="e">
        <f t="shared" ref="DB92:DB94" si="166">CU92/K92</f>
        <v>#DIV/0!</v>
      </c>
      <c r="DC92" s="131"/>
      <c r="DD92" s="159">
        <f t="shared" ref="DD92:DD94" si="167">AP92</f>
        <v>0</v>
      </c>
      <c r="DE92" s="160">
        <f t="shared" ref="DE92:DE94" si="168">CS92</f>
        <v>0</v>
      </c>
      <c r="DF92" s="161">
        <f t="shared" ref="DF92:DF94" si="169">$DD92-DE92</f>
        <v>0</v>
      </c>
      <c r="DG92" s="162" t="e">
        <f t="shared" ref="DG92:DG94" si="170">DF92/$DD92</f>
        <v>#DIV/0!</v>
      </c>
      <c r="DH92" s="163">
        <f t="shared" ref="DH92:DH94" si="171">IF(AP92&gt;0.01,1,0)</f>
        <v>0</v>
      </c>
      <c r="DI92" s="164"/>
      <c r="DJ92" s="165">
        <f t="shared" ref="DJ92:DJ94" si="172">H92</f>
        <v>0</v>
      </c>
      <c r="DK92" s="166">
        <f t="shared" ref="DK92:DK94" si="173">I92</f>
        <v>0</v>
      </c>
      <c r="DL92" s="167" t="e">
        <f t="shared" ref="DL92:DL94" si="174">DR92/DF92</f>
        <v>#DIV/0!</v>
      </c>
      <c r="DM92" s="168" t="e">
        <f t="shared" ref="DM92:DM94" si="175">DL92/DK92</f>
        <v>#DIV/0!</v>
      </c>
      <c r="DN92" s="163" t="e">
        <f t="shared" ref="DN92:DN94" si="176">IF(DM92&gt;0.01,1,0)</f>
        <v>#DIV/0!</v>
      </c>
      <c r="DO92" s="169"/>
      <c r="DP92" s="170"/>
      <c r="DQ92" s="171"/>
      <c r="DR92" s="172">
        <f t="shared" ref="DR92:DR94" si="177">DP92+DQ92</f>
        <v>0</v>
      </c>
      <c r="DS92" s="173" t="e">
        <f t="shared" ref="DS92:DS94" si="178">IF(DL92=0,0,DP92/DR92)</f>
        <v>#DIV/0!</v>
      </c>
      <c r="DT92" s="163" t="e">
        <f t="shared" ref="DT92:DT94" si="179">IF(DS92&gt;0.01,1,0)</f>
        <v>#DIV/0!</v>
      </c>
      <c r="DU92" s="174"/>
      <c r="DV92" s="175" t="e">
        <f t="shared" ref="DV92:DV94" si="180">DG92*DM92*DS92</f>
        <v>#DIV/0!</v>
      </c>
      <c r="DW92" s="163">
        <f t="shared" si="80"/>
        <v>0</v>
      </c>
      <c r="DX92" s="164"/>
      <c r="DY92" s="176">
        <f t="shared" ref="DY92:DY94" si="181">DP92</f>
        <v>0</v>
      </c>
      <c r="DZ92" s="177">
        <f t="shared" ref="DZ92:DZ94" si="182">DK92</f>
        <v>0</v>
      </c>
      <c r="EA92" s="178">
        <f t="shared" ref="EA92:EA94" si="183">+AP92</f>
        <v>0</v>
      </c>
      <c r="EB92" s="179">
        <f t="shared" ref="EB92:EB94" si="184">DZ92*EA92</f>
        <v>0</v>
      </c>
      <c r="EC92" s="180"/>
      <c r="ED92" s="175" t="e">
        <f t="shared" ref="ED92:ED94" si="185">DY92/EB92</f>
        <v>#DIV/0!</v>
      </c>
      <c r="EE92" s="163">
        <f t="shared" si="86"/>
        <v>0</v>
      </c>
      <c r="EF92" s="164"/>
      <c r="EG92" s="181">
        <f t="shared" ref="EG92:EG94" si="186">DP92</f>
        <v>0</v>
      </c>
      <c r="EH92" s="182">
        <f t="shared" ref="EH92:EH94" si="187">K92</f>
        <v>0</v>
      </c>
      <c r="EI92" s="182">
        <f t="shared" ref="EI92:EI94" si="188">SUM(M92:Z92)</f>
        <v>0</v>
      </c>
      <c r="EJ92" s="182">
        <f t="shared" ref="EJ92:EJ94" si="189">I92</f>
        <v>0</v>
      </c>
      <c r="EK92" s="183">
        <f t="shared" ref="EK92:EK94" si="190">(EH92-EI92)*EJ92</f>
        <v>0</v>
      </c>
      <c r="EL92" s="184" t="e">
        <f t="shared" ref="EL92:EL94" si="191">EG92/EK92</f>
        <v>#DIV/0!</v>
      </c>
      <c r="EM92" s="185">
        <f t="shared" ref="EM92:EM94" si="192">IF(EK92&gt;0.01,1,0)</f>
        <v>0</v>
      </c>
      <c r="EN92" s="164"/>
      <c r="EO92" s="181">
        <f t="shared" ref="EO92:EO94" si="193">EG92</f>
        <v>0</v>
      </c>
      <c r="EP92" s="183">
        <f t="shared" ref="EP92:EP94" si="194">EJ92</f>
        <v>0</v>
      </c>
      <c r="EQ92" s="184" t="e">
        <f t="shared" ref="EQ92:EQ94" si="195">EO92/(EP92*K92)</f>
        <v>#DIV/0!</v>
      </c>
      <c r="ER92" s="185">
        <f t="shared" si="97"/>
        <v>0</v>
      </c>
      <c r="ES92" s="164"/>
      <c r="ET92" s="164"/>
      <c r="EU92" s="186">
        <f t="shared" ref="EU92:EU94" si="196">DK92</f>
        <v>0</v>
      </c>
      <c r="EV92" s="186">
        <f t="shared" ref="EV92:EV94" si="197">CU92</f>
        <v>0</v>
      </c>
      <c r="EW92" s="186">
        <f t="shared" ref="EW92:EW94" si="198">I92*CU92</f>
        <v>0</v>
      </c>
      <c r="EX92" s="186">
        <f t="shared" ref="EX92:EX94" si="199">DR92</f>
        <v>0</v>
      </c>
      <c r="EY92" s="131"/>
      <c r="EZ92" s="187">
        <f t="shared" ref="EZ92:EZ94" si="200">EW92-EX92</f>
        <v>0</v>
      </c>
      <c r="FA92" s="188" t="e">
        <f t="shared" ref="FA92:FA94" si="201">+IF(EZ92/I92&lt;0,0,(EZ92/I92))</f>
        <v>#DIV/0!</v>
      </c>
      <c r="FB92" s="189"/>
      <c r="FC92" s="131"/>
      <c r="FD92" s="131"/>
      <c r="FE92" s="131"/>
      <c r="FF92" s="131"/>
      <c r="FG92" s="131"/>
    </row>
    <row r="93" spans="2:163" ht="16" outlineLevel="1" thickBot="1" x14ac:dyDescent="0.4">
      <c r="B93" s="357"/>
      <c r="C93" s="354"/>
      <c r="D93" s="190"/>
      <c r="E93" s="191"/>
      <c r="F93" s="135"/>
      <c r="G93" s="192"/>
      <c r="H93" s="137"/>
      <c r="I93" s="138">
        <f t="shared" ref="I93:I94" si="202">IF(E93&gt;0.0001,0,0)</f>
        <v>0</v>
      </c>
      <c r="J93" s="139"/>
      <c r="K93" s="193">
        <f t="shared" si="156"/>
        <v>0</v>
      </c>
      <c r="L93" s="141"/>
      <c r="M93" s="194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4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6"/>
      <c r="AN93" s="197">
        <f t="shared" si="157"/>
        <v>0</v>
      </c>
      <c r="AO93" s="146"/>
      <c r="AP93" s="147">
        <f t="shared" si="158"/>
        <v>0</v>
      </c>
      <c r="AQ93" s="148"/>
      <c r="AR93" s="198"/>
      <c r="AS93" s="198"/>
      <c r="AT93" s="135"/>
      <c r="AU93" s="199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199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2"/>
      <c r="CD93" s="199"/>
      <c r="CE93" s="194"/>
      <c r="CF93" s="195"/>
      <c r="CG93" s="195"/>
      <c r="CH93" s="195"/>
      <c r="CI93" s="195"/>
      <c r="CJ93" s="195"/>
      <c r="CK93" s="195"/>
      <c r="CL93" s="195"/>
      <c r="CM93" s="195"/>
      <c r="CN93" s="195"/>
      <c r="CO93" s="347"/>
      <c r="CP93" s="200"/>
      <c r="CQ93" s="201"/>
      <c r="CR93" s="202"/>
      <c r="CS93" s="203">
        <f t="shared" si="159"/>
        <v>0</v>
      </c>
      <c r="CT93" s="146"/>
      <c r="CU93" s="147">
        <f t="shared" si="160"/>
        <v>0</v>
      </c>
      <c r="CV93" s="156"/>
      <c r="CW93" s="157" t="e">
        <f t="shared" si="161"/>
        <v>#DIV/0!</v>
      </c>
      <c r="CX93" s="157" t="e">
        <f t="shared" si="162"/>
        <v>#DIV/0!</v>
      </c>
      <c r="CY93" s="157" t="e">
        <f t="shared" si="163"/>
        <v>#DIV/0!</v>
      </c>
      <c r="CZ93" s="157" t="e">
        <f t="shared" si="164"/>
        <v>#DIV/0!</v>
      </c>
      <c r="DA93" s="157" t="e">
        <f t="shared" si="165"/>
        <v>#DIV/0!</v>
      </c>
      <c r="DB93" s="158" t="e">
        <f t="shared" si="166"/>
        <v>#DIV/0!</v>
      </c>
      <c r="DC93" s="131"/>
      <c r="DD93" s="159">
        <f t="shared" si="167"/>
        <v>0</v>
      </c>
      <c r="DE93" s="160">
        <f t="shared" si="168"/>
        <v>0</v>
      </c>
      <c r="DF93" s="161">
        <f t="shared" si="169"/>
        <v>0</v>
      </c>
      <c r="DG93" s="162" t="e">
        <f t="shared" si="170"/>
        <v>#DIV/0!</v>
      </c>
      <c r="DH93" s="163">
        <f t="shared" si="171"/>
        <v>0</v>
      </c>
      <c r="DI93" s="164"/>
      <c r="DJ93" s="165">
        <f t="shared" si="172"/>
        <v>0</v>
      </c>
      <c r="DK93" s="166">
        <f t="shared" si="173"/>
        <v>0</v>
      </c>
      <c r="DL93" s="167" t="e">
        <f t="shared" si="174"/>
        <v>#DIV/0!</v>
      </c>
      <c r="DM93" s="168" t="e">
        <f t="shared" si="175"/>
        <v>#DIV/0!</v>
      </c>
      <c r="DN93" s="163" t="e">
        <f t="shared" si="176"/>
        <v>#DIV/0!</v>
      </c>
      <c r="DO93" s="169"/>
      <c r="DP93" s="170"/>
      <c r="DQ93" s="171"/>
      <c r="DR93" s="172">
        <f t="shared" si="177"/>
        <v>0</v>
      </c>
      <c r="DS93" s="173" t="e">
        <f t="shared" si="178"/>
        <v>#DIV/0!</v>
      </c>
      <c r="DT93" s="163" t="e">
        <f t="shared" si="179"/>
        <v>#DIV/0!</v>
      </c>
      <c r="DU93" s="174"/>
      <c r="DV93" s="175" t="e">
        <f t="shared" si="180"/>
        <v>#DIV/0!</v>
      </c>
      <c r="DW93" s="163">
        <f t="shared" si="80"/>
        <v>0</v>
      </c>
      <c r="DX93" s="164"/>
      <c r="DY93" s="176">
        <f t="shared" si="181"/>
        <v>0</v>
      </c>
      <c r="DZ93" s="177">
        <f t="shared" si="182"/>
        <v>0</v>
      </c>
      <c r="EA93" s="178">
        <f t="shared" si="183"/>
        <v>0</v>
      </c>
      <c r="EB93" s="179">
        <f t="shared" si="184"/>
        <v>0</v>
      </c>
      <c r="EC93" s="180"/>
      <c r="ED93" s="175" t="e">
        <f t="shared" si="185"/>
        <v>#DIV/0!</v>
      </c>
      <c r="EE93" s="163">
        <f t="shared" si="86"/>
        <v>0</v>
      </c>
      <c r="EF93" s="164"/>
      <c r="EG93" s="181">
        <f t="shared" si="186"/>
        <v>0</v>
      </c>
      <c r="EH93" s="182">
        <f t="shared" si="187"/>
        <v>0</v>
      </c>
      <c r="EI93" s="182">
        <f t="shared" si="188"/>
        <v>0</v>
      </c>
      <c r="EJ93" s="182">
        <f t="shared" si="189"/>
        <v>0</v>
      </c>
      <c r="EK93" s="183">
        <f t="shared" si="190"/>
        <v>0</v>
      </c>
      <c r="EL93" s="184" t="e">
        <f t="shared" si="191"/>
        <v>#DIV/0!</v>
      </c>
      <c r="EM93" s="185">
        <f t="shared" si="192"/>
        <v>0</v>
      </c>
      <c r="EN93" s="164"/>
      <c r="EO93" s="181">
        <f t="shared" si="193"/>
        <v>0</v>
      </c>
      <c r="EP93" s="183">
        <f t="shared" si="194"/>
        <v>0</v>
      </c>
      <c r="EQ93" s="184" t="e">
        <f t="shared" si="195"/>
        <v>#DIV/0!</v>
      </c>
      <c r="ER93" s="185">
        <f t="shared" si="97"/>
        <v>0</v>
      </c>
      <c r="ES93" s="164"/>
      <c r="ET93" s="164"/>
      <c r="EU93" s="186">
        <f t="shared" si="196"/>
        <v>0</v>
      </c>
      <c r="EV93" s="186">
        <f t="shared" si="197"/>
        <v>0</v>
      </c>
      <c r="EW93" s="186">
        <f t="shared" si="198"/>
        <v>0</v>
      </c>
      <c r="EX93" s="186">
        <f t="shared" si="199"/>
        <v>0</v>
      </c>
      <c r="EY93" s="131"/>
      <c r="EZ93" s="187">
        <f t="shared" si="200"/>
        <v>0</v>
      </c>
      <c r="FA93" s="188" t="e">
        <f t="shared" si="201"/>
        <v>#DIV/0!</v>
      </c>
      <c r="FB93" s="189"/>
      <c r="FC93" s="131"/>
      <c r="FD93" s="131"/>
      <c r="FE93" s="131"/>
      <c r="FF93" s="131"/>
      <c r="FG93" s="131"/>
    </row>
    <row r="94" spans="2:163" ht="16" outlineLevel="1" thickBot="1" x14ac:dyDescent="0.4">
      <c r="B94" s="358"/>
      <c r="C94" s="355"/>
      <c r="D94" s="204"/>
      <c r="E94" s="205"/>
      <c r="F94" s="135"/>
      <c r="G94" s="206"/>
      <c r="H94" s="207"/>
      <c r="I94" s="138">
        <f t="shared" si="202"/>
        <v>0</v>
      </c>
      <c r="J94" s="139"/>
      <c r="K94" s="208">
        <f t="shared" si="156"/>
        <v>0</v>
      </c>
      <c r="L94" s="141"/>
      <c r="M94" s="209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09"/>
      <c r="AB94" s="210"/>
      <c r="AC94" s="210"/>
      <c r="AD94" s="210"/>
      <c r="AE94" s="210"/>
      <c r="AF94" s="210"/>
      <c r="AG94" s="210"/>
      <c r="AH94" s="210"/>
      <c r="AI94" s="210"/>
      <c r="AJ94" s="210"/>
      <c r="AK94" s="210"/>
      <c r="AL94" s="210"/>
      <c r="AM94" s="211"/>
      <c r="AN94" s="212">
        <f t="shared" si="157"/>
        <v>0</v>
      </c>
      <c r="AO94" s="146"/>
      <c r="AP94" s="147">
        <f t="shared" si="158"/>
        <v>0</v>
      </c>
      <c r="AQ94" s="148"/>
      <c r="AR94" s="213"/>
      <c r="AS94" s="213"/>
      <c r="AT94" s="135"/>
      <c r="AU94" s="214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6"/>
      <c r="BG94" s="216"/>
      <c r="BH94" s="216"/>
      <c r="BI94" s="216"/>
      <c r="BJ94" s="216"/>
      <c r="BK94" s="216"/>
      <c r="BL94" s="216"/>
      <c r="BM94" s="216"/>
      <c r="BN94" s="216"/>
      <c r="BO94" s="216"/>
      <c r="BP94" s="216"/>
      <c r="BQ94" s="216"/>
      <c r="BR94" s="214"/>
      <c r="BS94" s="215"/>
      <c r="BT94" s="215"/>
      <c r="BU94" s="215"/>
      <c r="BV94" s="215"/>
      <c r="BW94" s="215"/>
      <c r="BX94" s="215"/>
      <c r="BY94" s="215"/>
      <c r="BZ94" s="215"/>
      <c r="CA94" s="215"/>
      <c r="CB94" s="215"/>
      <c r="CC94" s="217"/>
      <c r="CD94" s="214"/>
      <c r="CE94" s="209"/>
      <c r="CF94" s="210"/>
      <c r="CG94" s="210"/>
      <c r="CH94" s="210"/>
      <c r="CI94" s="210"/>
      <c r="CJ94" s="210"/>
      <c r="CK94" s="210"/>
      <c r="CL94" s="210"/>
      <c r="CM94" s="210"/>
      <c r="CN94" s="210"/>
      <c r="CO94" s="348"/>
      <c r="CP94" s="215"/>
      <c r="CQ94" s="216"/>
      <c r="CR94" s="217"/>
      <c r="CS94" s="218">
        <f t="shared" si="159"/>
        <v>0</v>
      </c>
      <c r="CT94" s="146"/>
      <c r="CU94" s="147">
        <f t="shared" si="160"/>
        <v>0</v>
      </c>
      <c r="CV94" s="156"/>
      <c r="CW94" s="157" t="e">
        <f t="shared" si="161"/>
        <v>#DIV/0!</v>
      </c>
      <c r="CX94" s="157" t="e">
        <f t="shared" si="162"/>
        <v>#DIV/0!</v>
      </c>
      <c r="CY94" s="157" t="e">
        <f t="shared" si="163"/>
        <v>#DIV/0!</v>
      </c>
      <c r="CZ94" s="157" t="e">
        <f t="shared" si="164"/>
        <v>#DIV/0!</v>
      </c>
      <c r="DA94" s="157" t="e">
        <f t="shared" si="165"/>
        <v>#DIV/0!</v>
      </c>
      <c r="DB94" s="158" t="e">
        <f t="shared" si="166"/>
        <v>#DIV/0!</v>
      </c>
      <c r="DC94" s="131"/>
      <c r="DD94" s="159">
        <f t="shared" si="167"/>
        <v>0</v>
      </c>
      <c r="DE94" s="160">
        <f t="shared" si="168"/>
        <v>0</v>
      </c>
      <c r="DF94" s="161">
        <f t="shared" si="169"/>
        <v>0</v>
      </c>
      <c r="DG94" s="162" t="e">
        <f t="shared" si="170"/>
        <v>#DIV/0!</v>
      </c>
      <c r="DH94" s="163">
        <f t="shared" si="171"/>
        <v>0</v>
      </c>
      <c r="DI94" s="164"/>
      <c r="DJ94" s="165">
        <f t="shared" si="172"/>
        <v>0</v>
      </c>
      <c r="DK94" s="166">
        <f t="shared" si="173"/>
        <v>0</v>
      </c>
      <c r="DL94" s="167" t="e">
        <f t="shared" si="174"/>
        <v>#DIV/0!</v>
      </c>
      <c r="DM94" s="168" t="e">
        <f t="shared" si="175"/>
        <v>#DIV/0!</v>
      </c>
      <c r="DN94" s="163" t="e">
        <f t="shared" si="176"/>
        <v>#DIV/0!</v>
      </c>
      <c r="DO94" s="169"/>
      <c r="DP94" s="170"/>
      <c r="DQ94" s="171"/>
      <c r="DR94" s="172">
        <f t="shared" si="177"/>
        <v>0</v>
      </c>
      <c r="DS94" s="173" t="e">
        <f t="shared" si="178"/>
        <v>#DIV/0!</v>
      </c>
      <c r="DT94" s="163" t="e">
        <f t="shared" si="179"/>
        <v>#DIV/0!</v>
      </c>
      <c r="DU94" s="174"/>
      <c r="DV94" s="175" t="e">
        <f t="shared" si="180"/>
        <v>#DIV/0!</v>
      </c>
      <c r="DW94" s="163">
        <f t="shared" si="80"/>
        <v>0</v>
      </c>
      <c r="DX94" s="164"/>
      <c r="DY94" s="176">
        <f t="shared" si="181"/>
        <v>0</v>
      </c>
      <c r="DZ94" s="177">
        <f t="shared" si="182"/>
        <v>0</v>
      </c>
      <c r="EA94" s="178">
        <f t="shared" si="183"/>
        <v>0</v>
      </c>
      <c r="EB94" s="179">
        <f t="shared" si="184"/>
        <v>0</v>
      </c>
      <c r="EC94" s="180"/>
      <c r="ED94" s="175" t="e">
        <f t="shared" si="185"/>
        <v>#DIV/0!</v>
      </c>
      <c r="EE94" s="163">
        <f t="shared" si="86"/>
        <v>0</v>
      </c>
      <c r="EF94" s="164"/>
      <c r="EG94" s="181">
        <f t="shared" si="186"/>
        <v>0</v>
      </c>
      <c r="EH94" s="182">
        <f t="shared" si="187"/>
        <v>0</v>
      </c>
      <c r="EI94" s="182">
        <f t="shared" si="188"/>
        <v>0</v>
      </c>
      <c r="EJ94" s="182">
        <f t="shared" si="189"/>
        <v>0</v>
      </c>
      <c r="EK94" s="183">
        <f t="shared" si="190"/>
        <v>0</v>
      </c>
      <c r="EL94" s="184" t="e">
        <f t="shared" si="191"/>
        <v>#DIV/0!</v>
      </c>
      <c r="EM94" s="185">
        <f t="shared" si="192"/>
        <v>0</v>
      </c>
      <c r="EN94" s="164"/>
      <c r="EO94" s="181">
        <f t="shared" si="193"/>
        <v>0</v>
      </c>
      <c r="EP94" s="183">
        <f t="shared" si="194"/>
        <v>0</v>
      </c>
      <c r="EQ94" s="184" t="e">
        <f t="shared" si="195"/>
        <v>#DIV/0!</v>
      </c>
      <c r="ER94" s="185">
        <f t="shared" si="97"/>
        <v>0</v>
      </c>
      <c r="ES94" s="164"/>
      <c r="ET94" s="164"/>
      <c r="EU94" s="186">
        <f t="shared" si="196"/>
        <v>0</v>
      </c>
      <c r="EV94" s="186">
        <f t="shared" si="197"/>
        <v>0</v>
      </c>
      <c r="EW94" s="186">
        <f t="shared" si="198"/>
        <v>0</v>
      </c>
      <c r="EX94" s="186">
        <f t="shared" si="199"/>
        <v>0</v>
      </c>
      <c r="EY94" s="131"/>
      <c r="EZ94" s="187">
        <f t="shared" si="200"/>
        <v>0</v>
      </c>
      <c r="FA94" s="188" t="e">
        <f t="shared" si="201"/>
        <v>#DIV/0!</v>
      </c>
      <c r="FB94" s="189"/>
      <c r="FC94" s="131"/>
      <c r="FD94" s="131"/>
      <c r="FE94" s="131"/>
      <c r="FF94" s="131"/>
      <c r="FG94" s="131"/>
    </row>
    <row r="95" spans="2:163" ht="16" outlineLevel="1" thickBot="1" x14ac:dyDescent="0.4">
      <c r="B95" s="356"/>
      <c r="C95" s="353"/>
      <c r="D95" s="133"/>
      <c r="E95" s="134"/>
      <c r="F95" s="135"/>
      <c r="G95" s="136"/>
      <c r="H95" s="137"/>
      <c r="I95" s="138">
        <f>IF(E95&gt;0.0001,9.4,0)</f>
        <v>0</v>
      </c>
      <c r="J95" s="139"/>
      <c r="K95" s="140">
        <f t="shared" si="107"/>
        <v>0</v>
      </c>
      <c r="L95" s="141"/>
      <c r="M95" s="142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2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4"/>
      <c r="AN95" s="145">
        <f t="shared" si="58"/>
        <v>0</v>
      </c>
      <c r="AO95" s="146"/>
      <c r="AP95" s="147">
        <f t="shared" si="59"/>
        <v>0</v>
      </c>
      <c r="AQ95" s="148"/>
      <c r="AR95" s="149"/>
      <c r="AS95" s="149"/>
      <c r="AT95" s="135"/>
      <c r="AU95" s="150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0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4"/>
      <c r="CD95" s="150"/>
      <c r="CE95" s="142"/>
      <c r="CF95" s="143"/>
      <c r="CG95" s="143"/>
      <c r="CH95" s="143"/>
      <c r="CI95" s="143"/>
      <c r="CJ95" s="143"/>
      <c r="CK95" s="143"/>
      <c r="CL95" s="143"/>
      <c r="CM95" s="143"/>
      <c r="CN95" s="143"/>
      <c r="CO95" s="346"/>
      <c r="CP95" s="151"/>
      <c r="CQ95" s="152"/>
      <c r="CR95" s="154"/>
      <c r="CS95" s="155">
        <f t="shared" si="60"/>
        <v>0</v>
      </c>
      <c r="CT95" s="146"/>
      <c r="CU95" s="147">
        <f t="shared" si="61"/>
        <v>0</v>
      </c>
      <c r="CV95" s="156"/>
      <c r="CW95" s="157" t="e">
        <f t="shared" si="62"/>
        <v>#DIV/0!</v>
      </c>
      <c r="CX95" s="157" t="e">
        <f t="shared" si="63"/>
        <v>#DIV/0!</v>
      </c>
      <c r="CY95" s="157" t="e">
        <f t="shared" si="64"/>
        <v>#DIV/0!</v>
      </c>
      <c r="CZ95" s="157" t="e">
        <f t="shared" si="65"/>
        <v>#DIV/0!</v>
      </c>
      <c r="DA95" s="157" t="e">
        <f t="shared" si="66"/>
        <v>#DIV/0!</v>
      </c>
      <c r="DB95" s="158" t="e">
        <f t="shared" si="67"/>
        <v>#DIV/0!</v>
      </c>
      <c r="DC95" s="131"/>
      <c r="DD95" s="159">
        <f t="shared" si="68"/>
        <v>0</v>
      </c>
      <c r="DE95" s="160">
        <f t="shared" si="69"/>
        <v>0</v>
      </c>
      <c r="DF95" s="161">
        <f t="shared" si="70"/>
        <v>0</v>
      </c>
      <c r="DG95" s="162" t="e">
        <f t="shared" si="71"/>
        <v>#DIV/0!</v>
      </c>
      <c r="DH95" s="163">
        <f t="shared" si="72"/>
        <v>0</v>
      </c>
      <c r="DI95" s="164"/>
      <c r="DJ95" s="165">
        <f t="shared" si="55"/>
        <v>0</v>
      </c>
      <c r="DK95" s="166">
        <f t="shared" si="55"/>
        <v>0</v>
      </c>
      <c r="DL95" s="167" t="e">
        <f t="shared" si="73"/>
        <v>#DIV/0!</v>
      </c>
      <c r="DM95" s="168" t="e">
        <f t="shared" si="74"/>
        <v>#DIV/0!</v>
      </c>
      <c r="DN95" s="163" t="e">
        <f t="shared" si="75"/>
        <v>#DIV/0!</v>
      </c>
      <c r="DO95" s="169"/>
      <c r="DP95" s="170"/>
      <c r="DQ95" s="171"/>
      <c r="DR95" s="172">
        <f t="shared" si="76"/>
        <v>0</v>
      </c>
      <c r="DS95" s="173" t="e">
        <f t="shared" si="77"/>
        <v>#DIV/0!</v>
      </c>
      <c r="DT95" s="163" t="e">
        <f t="shared" si="78"/>
        <v>#DIV/0!</v>
      </c>
      <c r="DU95" s="174"/>
      <c r="DV95" s="175" t="e">
        <f t="shared" si="79"/>
        <v>#DIV/0!</v>
      </c>
      <c r="DW95" s="163">
        <f t="shared" si="80"/>
        <v>0</v>
      </c>
      <c r="DX95" s="164"/>
      <c r="DY95" s="176">
        <f t="shared" si="81"/>
        <v>0</v>
      </c>
      <c r="DZ95" s="177">
        <f t="shared" si="82"/>
        <v>0</v>
      </c>
      <c r="EA95" s="178">
        <f t="shared" si="83"/>
        <v>0</v>
      </c>
      <c r="EB95" s="179">
        <f t="shared" si="84"/>
        <v>0</v>
      </c>
      <c r="EC95" s="180"/>
      <c r="ED95" s="175" t="e">
        <f t="shared" si="85"/>
        <v>#DIV/0!</v>
      </c>
      <c r="EE95" s="163">
        <f t="shared" si="86"/>
        <v>0</v>
      </c>
      <c r="EF95" s="164"/>
      <c r="EG95" s="181">
        <f t="shared" si="87"/>
        <v>0</v>
      </c>
      <c r="EH95" s="182">
        <f t="shared" si="88"/>
        <v>0</v>
      </c>
      <c r="EI95" s="182">
        <f t="shared" si="89"/>
        <v>0</v>
      </c>
      <c r="EJ95" s="182">
        <f t="shared" si="90"/>
        <v>0</v>
      </c>
      <c r="EK95" s="183">
        <f t="shared" si="91"/>
        <v>0</v>
      </c>
      <c r="EL95" s="184" t="e">
        <f t="shared" si="92"/>
        <v>#DIV/0!</v>
      </c>
      <c r="EM95" s="185">
        <f t="shared" si="93"/>
        <v>0</v>
      </c>
      <c r="EN95" s="164"/>
      <c r="EO95" s="181">
        <f t="shared" si="94"/>
        <v>0</v>
      </c>
      <c r="EP95" s="183">
        <f t="shared" si="95"/>
        <v>0</v>
      </c>
      <c r="EQ95" s="184" t="e">
        <f t="shared" si="96"/>
        <v>#DIV/0!</v>
      </c>
      <c r="ER95" s="185">
        <f t="shared" si="97"/>
        <v>0</v>
      </c>
      <c r="ES95" s="164"/>
      <c r="ET95" s="164"/>
      <c r="EU95" s="186">
        <f t="shared" si="98"/>
        <v>0</v>
      </c>
      <c r="EV95" s="186">
        <f t="shared" si="99"/>
        <v>0</v>
      </c>
      <c r="EW95" s="186">
        <f t="shared" si="100"/>
        <v>0</v>
      </c>
      <c r="EX95" s="186">
        <f t="shared" si="101"/>
        <v>0</v>
      </c>
      <c r="EY95" s="131"/>
      <c r="EZ95" s="187">
        <f t="shared" si="102"/>
        <v>0</v>
      </c>
      <c r="FA95" s="188" t="e">
        <f t="shared" si="103"/>
        <v>#DIV/0!</v>
      </c>
      <c r="FB95" s="189"/>
      <c r="FC95" s="131"/>
      <c r="FD95" s="131"/>
      <c r="FE95" s="131"/>
      <c r="FF95" s="131"/>
      <c r="FG95" s="131"/>
    </row>
    <row r="96" spans="2:163" ht="16" outlineLevel="1" thickBot="1" x14ac:dyDescent="0.4">
      <c r="B96" s="357"/>
      <c r="C96" s="354"/>
      <c r="D96" s="190"/>
      <c r="E96" s="191"/>
      <c r="F96" s="135"/>
      <c r="G96" s="192"/>
      <c r="H96" s="137"/>
      <c r="I96" s="138">
        <f t="shared" si="56"/>
        <v>0</v>
      </c>
      <c r="J96" s="139"/>
      <c r="K96" s="193">
        <f t="shared" si="107"/>
        <v>0</v>
      </c>
      <c r="L96" s="141"/>
      <c r="M96" s="194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4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6"/>
      <c r="AN96" s="197">
        <f t="shared" si="58"/>
        <v>0</v>
      </c>
      <c r="AO96" s="146"/>
      <c r="AP96" s="147">
        <f t="shared" si="59"/>
        <v>0</v>
      </c>
      <c r="AQ96" s="148"/>
      <c r="AR96" s="198"/>
      <c r="AS96" s="198"/>
      <c r="AT96" s="135"/>
      <c r="AU96" s="199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1"/>
      <c r="BG96" s="201"/>
      <c r="BH96" s="201"/>
      <c r="BI96" s="201"/>
      <c r="BJ96" s="201"/>
      <c r="BK96" s="201"/>
      <c r="BL96" s="201"/>
      <c r="BM96" s="201"/>
      <c r="BN96" s="201"/>
      <c r="BO96" s="201"/>
      <c r="BP96" s="201"/>
      <c r="BQ96" s="201"/>
      <c r="BR96" s="199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2"/>
      <c r="CD96" s="199"/>
      <c r="CE96" s="194"/>
      <c r="CF96" s="195"/>
      <c r="CG96" s="195"/>
      <c r="CH96" s="195"/>
      <c r="CI96" s="195"/>
      <c r="CJ96" s="195"/>
      <c r="CK96" s="195"/>
      <c r="CL96" s="195"/>
      <c r="CM96" s="195"/>
      <c r="CN96" s="195"/>
      <c r="CO96" s="347"/>
      <c r="CP96" s="200"/>
      <c r="CQ96" s="201"/>
      <c r="CR96" s="202"/>
      <c r="CS96" s="203">
        <f t="shared" si="60"/>
        <v>0</v>
      </c>
      <c r="CT96" s="146"/>
      <c r="CU96" s="147">
        <f t="shared" si="61"/>
        <v>0</v>
      </c>
      <c r="CV96" s="156"/>
      <c r="CW96" s="157" t="e">
        <f t="shared" si="62"/>
        <v>#DIV/0!</v>
      </c>
      <c r="CX96" s="157" t="e">
        <f t="shared" si="63"/>
        <v>#DIV/0!</v>
      </c>
      <c r="CY96" s="157" t="e">
        <f t="shared" si="64"/>
        <v>#DIV/0!</v>
      </c>
      <c r="CZ96" s="157" t="e">
        <f t="shared" si="65"/>
        <v>#DIV/0!</v>
      </c>
      <c r="DA96" s="157" t="e">
        <f t="shared" si="66"/>
        <v>#DIV/0!</v>
      </c>
      <c r="DB96" s="158" t="e">
        <f t="shared" si="67"/>
        <v>#DIV/0!</v>
      </c>
      <c r="DC96" s="131"/>
      <c r="DD96" s="159">
        <f t="shared" si="68"/>
        <v>0</v>
      </c>
      <c r="DE96" s="160">
        <f t="shared" si="69"/>
        <v>0</v>
      </c>
      <c r="DF96" s="161">
        <f t="shared" si="70"/>
        <v>0</v>
      </c>
      <c r="DG96" s="162" t="e">
        <f t="shared" si="71"/>
        <v>#DIV/0!</v>
      </c>
      <c r="DH96" s="163">
        <f t="shared" si="72"/>
        <v>0</v>
      </c>
      <c r="DI96" s="164"/>
      <c r="DJ96" s="165">
        <f t="shared" si="55"/>
        <v>0</v>
      </c>
      <c r="DK96" s="166">
        <f t="shared" si="55"/>
        <v>0</v>
      </c>
      <c r="DL96" s="167" t="e">
        <f t="shared" si="73"/>
        <v>#DIV/0!</v>
      </c>
      <c r="DM96" s="168" t="e">
        <f t="shared" si="74"/>
        <v>#DIV/0!</v>
      </c>
      <c r="DN96" s="163" t="e">
        <f t="shared" si="75"/>
        <v>#DIV/0!</v>
      </c>
      <c r="DO96" s="169"/>
      <c r="DP96" s="170"/>
      <c r="DQ96" s="171"/>
      <c r="DR96" s="172">
        <f t="shared" si="76"/>
        <v>0</v>
      </c>
      <c r="DS96" s="173" t="e">
        <f t="shared" si="77"/>
        <v>#DIV/0!</v>
      </c>
      <c r="DT96" s="163" t="e">
        <f t="shared" si="78"/>
        <v>#DIV/0!</v>
      </c>
      <c r="DU96" s="174"/>
      <c r="DV96" s="175" t="e">
        <f t="shared" si="79"/>
        <v>#DIV/0!</v>
      </c>
      <c r="DW96" s="163">
        <f t="shared" si="80"/>
        <v>0</v>
      </c>
      <c r="DX96" s="164"/>
      <c r="DY96" s="176">
        <f t="shared" si="81"/>
        <v>0</v>
      </c>
      <c r="DZ96" s="177">
        <f t="shared" si="82"/>
        <v>0</v>
      </c>
      <c r="EA96" s="178">
        <f t="shared" si="83"/>
        <v>0</v>
      </c>
      <c r="EB96" s="179">
        <f t="shared" si="84"/>
        <v>0</v>
      </c>
      <c r="EC96" s="180"/>
      <c r="ED96" s="175" t="e">
        <f t="shared" si="85"/>
        <v>#DIV/0!</v>
      </c>
      <c r="EE96" s="163">
        <f t="shared" si="86"/>
        <v>0</v>
      </c>
      <c r="EF96" s="164"/>
      <c r="EG96" s="181">
        <f t="shared" si="87"/>
        <v>0</v>
      </c>
      <c r="EH96" s="182">
        <f t="shared" si="88"/>
        <v>0</v>
      </c>
      <c r="EI96" s="182">
        <f t="shared" si="89"/>
        <v>0</v>
      </c>
      <c r="EJ96" s="182">
        <f t="shared" si="90"/>
        <v>0</v>
      </c>
      <c r="EK96" s="183">
        <f t="shared" si="91"/>
        <v>0</v>
      </c>
      <c r="EL96" s="184" t="e">
        <f t="shared" si="92"/>
        <v>#DIV/0!</v>
      </c>
      <c r="EM96" s="185">
        <f t="shared" si="93"/>
        <v>0</v>
      </c>
      <c r="EN96" s="164"/>
      <c r="EO96" s="181">
        <f t="shared" si="94"/>
        <v>0</v>
      </c>
      <c r="EP96" s="183">
        <f t="shared" si="95"/>
        <v>0</v>
      </c>
      <c r="EQ96" s="184" t="e">
        <f t="shared" si="96"/>
        <v>#DIV/0!</v>
      </c>
      <c r="ER96" s="185">
        <f t="shared" si="97"/>
        <v>0</v>
      </c>
      <c r="ES96" s="164"/>
      <c r="ET96" s="164"/>
      <c r="EU96" s="186">
        <f t="shared" si="98"/>
        <v>0</v>
      </c>
      <c r="EV96" s="186">
        <f t="shared" si="99"/>
        <v>0</v>
      </c>
      <c r="EW96" s="186">
        <f t="shared" si="100"/>
        <v>0</v>
      </c>
      <c r="EX96" s="186">
        <f t="shared" si="101"/>
        <v>0</v>
      </c>
      <c r="EY96" s="131"/>
      <c r="EZ96" s="187">
        <f t="shared" si="102"/>
        <v>0</v>
      </c>
      <c r="FA96" s="188" t="e">
        <f t="shared" si="103"/>
        <v>#DIV/0!</v>
      </c>
      <c r="FB96" s="189"/>
      <c r="FC96" s="131"/>
      <c r="FD96" s="131"/>
      <c r="FE96" s="131"/>
      <c r="FF96" s="131"/>
      <c r="FG96" s="131"/>
    </row>
    <row r="97" spans="1:164" ht="16" outlineLevel="1" thickBot="1" x14ac:dyDescent="0.4">
      <c r="B97" s="358"/>
      <c r="C97" s="355"/>
      <c r="D97" s="204"/>
      <c r="E97" s="205"/>
      <c r="F97" s="135"/>
      <c r="G97" s="206"/>
      <c r="H97" s="207"/>
      <c r="I97" s="138">
        <f t="shared" si="56"/>
        <v>0</v>
      </c>
      <c r="J97" s="139"/>
      <c r="K97" s="208">
        <f t="shared" si="107"/>
        <v>0</v>
      </c>
      <c r="L97" s="141"/>
      <c r="M97" s="209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09"/>
      <c r="AB97" s="210"/>
      <c r="AC97" s="210"/>
      <c r="AD97" s="210"/>
      <c r="AE97" s="210"/>
      <c r="AF97" s="210"/>
      <c r="AG97" s="210"/>
      <c r="AH97" s="210"/>
      <c r="AI97" s="210"/>
      <c r="AJ97" s="210"/>
      <c r="AK97" s="210"/>
      <c r="AL97" s="210"/>
      <c r="AM97" s="211"/>
      <c r="AN97" s="212">
        <f t="shared" si="58"/>
        <v>0</v>
      </c>
      <c r="AO97" s="146"/>
      <c r="AP97" s="147">
        <f t="shared" si="59"/>
        <v>0</v>
      </c>
      <c r="AQ97" s="148"/>
      <c r="AR97" s="213"/>
      <c r="AS97" s="213"/>
      <c r="AT97" s="135"/>
      <c r="AU97" s="214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4"/>
      <c r="BS97" s="215"/>
      <c r="BT97" s="215"/>
      <c r="BU97" s="215"/>
      <c r="BV97" s="215"/>
      <c r="BW97" s="215"/>
      <c r="BX97" s="215"/>
      <c r="BY97" s="215"/>
      <c r="BZ97" s="215"/>
      <c r="CA97" s="215"/>
      <c r="CB97" s="215"/>
      <c r="CC97" s="217"/>
      <c r="CD97" s="214"/>
      <c r="CE97" s="209"/>
      <c r="CF97" s="210"/>
      <c r="CG97" s="210"/>
      <c r="CH97" s="210"/>
      <c r="CI97" s="210"/>
      <c r="CJ97" s="210"/>
      <c r="CK97" s="210"/>
      <c r="CL97" s="210"/>
      <c r="CM97" s="210"/>
      <c r="CN97" s="210"/>
      <c r="CO97" s="348"/>
      <c r="CP97" s="215"/>
      <c r="CQ97" s="216"/>
      <c r="CR97" s="217"/>
      <c r="CS97" s="218">
        <f t="shared" si="60"/>
        <v>0</v>
      </c>
      <c r="CT97" s="146"/>
      <c r="CU97" s="147">
        <f t="shared" si="61"/>
        <v>0</v>
      </c>
      <c r="CV97" s="156"/>
      <c r="CW97" s="157" t="e">
        <f t="shared" si="62"/>
        <v>#DIV/0!</v>
      </c>
      <c r="CX97" s="157" t="e">
        <f t="shared" si="63"/>
        <v>#DIV/0!</v>
      </c>
      <c r="CY97" s="157" t="e">
        <f t="shared" si="64"/>
        <v>#DIV/0!</v>
      </c>
      <c r="CZ97" s="157" t="e">
        <f t="shared" si="65"/>
        <v>#DIV/0!</v>
      </c>
      <c r="DA97" s="157" t="e">
        <f t="shared" si="66"/>
        <v>#DIV/0!</v>
      </c>
      <c r="DB97" s="158" t="e">
        <f t="shared" si="67"/>
        <v>#DIV/0!</v>
      </c>
      <c r="DC97" s="131"/>
      <c r="DD97" s="159">
        <f t="shared" si="68"/>
        <v>0</v>
      </c>
      <c r="DE97" s="160">
        <f t="shared" si="69"/>
        <v>0</v>
      </c>
      <c r="DF97" s="161">
        <f t="shared" si="70"/>
        <v>0</v>
      </c>
      <c r="DG97" s="162" t="e">
        <f t="shared" si="71"/>
        <v>#DIV/0!</v>
      </c>
      <c r="DH97" s="163">
        <f t="shared" si="72"/>
        <v>0</v>
      </c>
      <c r="DI97" s="164"/>
      <c r="DJ97" s="165">
        <f t="shared" si="55"/>
        <v>0</v>
      </c>
      <c r="DK97" s="166">
        <f t="shared" si="55"/>
        <v>0</v>
      </c>
      <c r="DL97" s="167" t="e">
        <f t="shared" si="73"/>
        <v>#DIV/0!</v>
      </c>
      <c r="DM97" s="168" t="e">
        <f t="shared" si="74"/>
        <v>#DIV/0!</v>
      </c>
      <c r="DN97" s="163" t="e">
        <f t="shared" si="75"/>
        <v>#DIV/0!</v>
      </c>
      <c r="DO97" s="169"/>
      <c r="DP97" s="170"/>
      <c r="DQ97" s="171"/>
      <c r="DR97" s="172">
        <f t="shared" si="76"/>
        <v>0</v>
      </c>
      <c r="DS97" s="173" t="e">
        <f t="shared" si="77"/>
        <v>#DIV/0!</v>
      </c>
      <c r="DT97" s="163" t="e">
        <f t="shared" si="78"/>
        <v>#DIV/0!</v>
      </c>
      <c r="DU97" s="174"/>
      <c r="DV97" s="175" t="e">
        <f t="shared" si="79"/>
        <v>#DIV/0!</v>
      </c>
      <c r="DW97" s="163">
        <f t="shared" si="80"/>
        <v>0</v>
      </c>
      <c r="DX97" s="164"/>
      <c r="DY97" s="176">
        <f t="shared" si="81"/>
        <v>0</v>
      </c>
      <c r="DZ97" s="177">
        <f t="shared" si="82"/>
        <v>0</v>
      </c>
      <c r="EA97" s="178">
        <f t="shared" si="83"/>
        <v>0</v>
      </c>
      <c r="EB97" s="179">
        <f t="shared" si="84"/>
        <v>0</v>
      </c>
      <c r="EC97" s="180"/>
      <c r="ED97" s="175" t="e">
        <f t="shared" si="85"/>
        <v>#DIV/0!</v>
      </c>
      <c r="EE97" s="163">
        <f t="shared" si="86"/>
        <v>0</v>
      </c>
      <c r="EF97" s="164"/>
      <c r="EG97" s="181">
        <f t="shared" si="87"/>
        <v>0</v>
      </c>
      <c r="EH97" s="182">
        <f t="shared" si="88"/>
        <v>0</v>
      </c>
      <c r="EI97" s="182">
        <f t="shared" si="89"/>
        <v>0</v>
      </c>
      <c r="EJ97" s="182">
        <f t="shared" si="90"/>
        <v>0</v>
      </c>
      <c r="EK97" s="183">
        <f t="shared" si="91"/>
        <v>0</v>
      </c>
      <c r="EL97" s="184" t="e">
        <f t="shared" si="92"/>
        <v>#DIV/0!</v>
      </c>
      <c r="EM97" s="185">
        <f t="shared" si="93"/>
        <v>0</v>
      </c>
      <c r="EN97" s="164"/>
      <c r="EO97" s="181">
        <f t="shared" si="94"/>
        <v>0</v>
      </c>
      <c r="EP97" s="183">
        <f t="shared" si="95"/>
        <v>0</v>
      </c>
      <c r="EQ97" s="184" t="e">
        <f t="shared" si="96"/>
        <v>#DIV/0!</v>
      </c>
      <c r="ER97" s="185">
        <f t="shared" si="97"/>
        <v>0</v>
      </c>
      <c r="ES97" s="164"/>
      <c r="ET97" s="164"/>
      <c r="EU97" s="186">
        <f t="shared" si="98"/>
        <v>0</v>
      </c>
      <c r="EV97" s="186">
        <f t="shared" si="99"/>
        <v>0</v>
      </c>
      <c r="EW97" s="186">
        <f t="shared" si="100"/>
        <v>0</v>
      </c>
      <c r="EX97" s="186">
        <f t="shared" si="101"/>
        <v>0</v>
      </c>
      <c r="EY97" s="131"/>
      <c r="EZ97" s="187">
        <f t="shared" si="102"/>
        <v>0</v>
      </c>
      <c r="FA97" s="188" t="e">
        <f t="shared" si="103"/>
        <v>#DIV/0!</v>
      </c>
      <c r="FB97" s="189"/>
      <c r="FC97" s="131"/>
      <c r="FD97" s="131"/>
      <c r="FE97" s="131"/>
      <c r="FF97" s="131"/>
      <c r="FG97" s="131"/>
    </row>
    <row r="98" spans="1:164" s="169" customFormat="1" ht="16" hidden="1" outlineLevel="1" thickBot="1" x14ac:dyDescent="0.4">
      <c r="B98" s="356">
        <v>44863</v>
      </c>
      <c r="C98" s="353"/>
      <c r="D98" s="133"/>
      <c r="E98" s="134"/>
      <c r="F98" s="135"/>
      <c r="G98" s="136"/>
      <c r="H98" s="137"/>
      <c r="I98" s="138">
        <f t="shared" si="56"/>
        <v>0</v>
      </c>
      <c r="J98" s="139"/>
      <c r="K98" s="140">
        <f>E98*60</f>
        <v>0</v>
      </c>
      <c r="L98" s="141"/>
      <c r="M98" s="142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2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4"/>
      <c r="AN98" s="145">
        <f t="shared" si="58"/>
        <v>0</v>
      </c>
      <c r="AO98" s="146"/>
      <c r="AP98" s="147">
        <f t="shared" si="59"/>
        <v>0</v>
      </c>
      <c r="AQ98" s="148"/>
      <c r="AR98" s="149"/>
      <c r="AS98" s="149"/>
      <c r="AT98" s="135"/>
      <c r="AU98" s="150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0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4"/>
      <c r="CD98" s="150"/>
      <c r="CE98" s="142"/>
      <c r="CF98" s="143"/>
      <c r="CG98" s="143"/>
      <c r="CH98" s="143"/>
      <c r="CI98" s="143"/>
      <c r="CJ98" s="143"/>
      <c r="CK98" s="143"/>
      <c r="CL98" s="143"/>
      <c r="CM98" s="143"/>
      <c r="CN98" s="144"/>
      <c r="CO98" s="151"/>
      <c r="CP98" s="151"/>
      <c r="CQ98" s="152"/>
      <c r="CR98" s="154"/>
      <c r="CS98" s="155">
        <f t="shared" si="60"/>
        <v>0</v>
      </c>
      <c r="CT98" s="146"/>
      <c r="CU98" s="147">
        <f t="shared" si="61"/>
        <v>0</v>
      </c>
      <c r="CV98" s="156"/>
      <c r="CW98" s="157" t="e">
        <f t="shared" si="62"/>
        <v>#DIV/0!</v>
      </c>
      <c r="CX98" s="157" t="e">
        <f t="shared" si="63"/>
        <v>#DIV/0!</v>
      </c>
      <c r="CY98" s="157" t="e">
        <f t="shared" si="64"/>
        <v>#DIV/0!</v>
      </c>
      <c r="CZ98" s="157" t="e">
        <f t="shared" si="65"/>
        <v>#DIV/0!</v>
      </c>
      <c r="DA98" s="157" t="e">
        <f t="shared" si="66"/>
        <v>#DIV/0!</v>
      </c>
      <c r="DB98" s="158" t="e">
        <f t="shared" si="67"/>
        <v>#DIV/0!</v>
      </c>
      <c r="DC98" s="131"/>
      <c r="DD98" s="159">
        <f t="shared" si="68"/>
        <v>0</v>
      </c>
      <c r="DE98" s="160">
        <f t="shared" si="69"/>
        <v>0</v>
      </c>
      <c r="DF98" s="161">
        <f t="shared" si="70"/>
        <v>0</v>
      </c>
      <c r="DG98" s="162" t="e">
        <f t="shared" si="71"/>
        <v>#DIV/0!</v>
      </c>
      <c r="DH98" s="163">
        <f t="shared" si="72"/>
        <v>0</v>
      </c>
      <c r="DI98" s="164"/>
      <c r="DJ98" s="165">
        <f t="shared" si="55"/>
        <v>0</v>
      </c>
      <c r="DK98" s="166">
        <f t="shared" si="55"/>
        <v>0</v>
      </c>
      <c r="DL98" s="167" t="e">
        <f t="shared" si="73"/>
        <v>#DIV/0!</v>
      </c>
      <c r="DM98" s="168" t="e">
        <f t="shared" si="74"/>
        <v>#DIV/0!</v>
      </c>
      <c r="DN98" s="163" t="e">
        <f t="shared" si="75"/>
        <v>#DIV/0!</v>
      </c>
      <c r="DP98" s="170"/>
      <c r="DQ98" s="171"/>
      <c r="DR98" s="172">
        <f t="shared" si="76"/>
        <v>0</v>
      </c>
      <c r="DS98" s="173" t="e">
        <f t="shared" si="77"/>
        <v>#DIV/0!</v>
      </c>
      <c r="DT98" s="163" t="e">
        <f t="shared" si="78"/>
        <v>#DIV/0!</v>
      </c>
      <c r="DU98" s="174"/>
      <c r="DV98" s="175" t="e">
        <f t="shared" si="79"/>
        <v>#DIV/0!</v>
      </c>
      <c r="DW98" s="163">
        <f t="shared" si="80"/>
        <v>0</v>
      </c>
      <c r="DX98" s="164"/>
      <c r="DY98" s="176">
        <f t="shared" si="81"/>
        <v>0</v>
      </c>
      <c r="DZ98" s="177">
        <f t="shared" si="82"/>
        <v>0</v>
      </c>
      <c r="EA98" s="178">
        <f t="shared" si="83"/>
        <v>0</v>
      </c>
      <c r="EB98" s="179">
        <f t="shared" si="84"/>
        <v>0</v>
      </c>
      <c r="EC98" s="180"/>
      <c r="ED98" s="175" t="e">
        <f t="shared" si="85"/>
        <v>#DIV/0!</v>
      </c>
      <c r="EE98" s="163">
        <f t="shared" si="86"/>
        <v>0</v>
      </c>
      <c r="EF98" s="164"/>
      <c r="EG98" s="181">
        <f t="shared" si="87"/>
        <v>0</v>
      </c>
      <c r="EH98" s="182">
        <f t="shared" si="88"/>
        <v>0</v>
      </c>
      <c r="EI98" s="182">
        <f t="shared" si="89"/>
        <v>0</v>
      </c>
      <c r="EJ98" s="182">
        <f t="shared" si="90"/>
        <v>0</v>
      </c>
      <c r="EK98" s="183">
        <f t="shared" si="91"/>
        <v>0</v>
      </c>
      <c r="EL98" s="184" t="e">
        <f t="shared" si="92"/>
        <v>#DIV/0!</v>
      </c>
      <c r="EM98" s="185">
        <f t="shared" si="93"/>
        <v>0</v>
      </c>
      <c r="EN98" s="164"/>
      <c r="EO98" s="181">
        <f t="shared" si="94"/>
        <v>0</v>
      </c>
      <c r="EP98" s="183">
        <f t="shared" si="95"/>
        <v>0</v>
      </c>
      <c r="EQ98" s="184" t="e">
        <f t="shared" si="96"/>
        <v>#DIV/0!</v>
      </c>
      <c r="ER98" s="185">
        <f t="shared" si="97"/>
        <v>0</v>
      </c>
      <c r="ES98" s="164"/>
      <c r="ET98" s="164"/>
      <c r="EU98" s="186">
        <f t="shared" si="98"/>
        <v>0</v>
      </c>
      <c r="EV98" s="186">
        <f t="shared" si="99"/>
        <v>0</v>
      </c>
      <c r="EW98" s="186">
        <f t="shared" si="100"/>
        <v>0</v>
      </c>
      <c r="EX98" s="186">
        <f t="shared" si="101"/>
        <v>0</v>
      </c>
      <c r="EY98" s="131"/>
      <c r="EZ98" s="187">
        <f t="shared" si="102"/>
        <v>0</v>
      </c>
      <c r="FA98" s="188" t="e">
        <f t="shared" si="103"/>
        <v>#DIV/0!</v>
      </c>
      <c r="FB98" s="189"/>
      <c r="FC98" s="131"/>
      <c r="FD98" s="131"/>
      <c r="FE98" s="131"/>
      <c r="FF98" s="131"/>
      <c r="FG98" s="131"/>
    </row>
    <row r="99" spans="1:164" s="169" customFormat="1" ht="16" hidden="1" outlineLevel="1" thickBot="1" x14ac:dyDescent="0.4">
      <c r="B99" s="357"/>
      <c r="C99" s="354"/>
      <c r="D99" s="240"/>
      <c r="E99" s="241"/>
      <c r="F99" s="135"/>
      <c r="G99" s="192"/>
      <c r="H99" s="242"/>
      <c r="I99" s="138">
        <f t="shared" si="56"/>
        <v>0</v>
      </c>
      <c r="J99" s="139"/>
      <c r="K99" s="193">
        <f t="shared" si="107"/>
        <v>0</v>
      </c>
      <c r="L99" s="141"/>
      <c r="M99" s="194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4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6"/>
      <c r="AN99" s="197">
        <f t="shared" si="58"/>
        <v>0</v>
      </c>
      <c r="AO99" s="146"/>
      <c r="AP99" s="147">
        <f t="shared" si="59"/>
        <v>0</v>
      </c>
      <c r="AQ99" s="148"/>
      <c r="AR99" s="198"/>
      <c r="AS99" s="198"/>
      <c r="AT99" s="135"/>
      <c r="AU99" s="199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199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2"/>
      <c r="CD99" s="199"/>
      <c r="CE99" s="194"/>
      <c r="CF99" s="195"/>
      <c r="CG99" s="195"/>
      <c r="CH99" s="195"/>
      <c r="CI99" s="195"/>
      <c r="CJ99" s="195"/>
      <c r="CK99" s="195"/>
      <c r="CL99" s="195"/>
      <c r="CM99" s="195"/>
      <c r="CN99" s="196"/>
      <c r="CO99" s="200"/>
      <c r="CP99" s="200"/>
      <c r="CQ99" s="201"/>
      <c r="CR99" s="202"/>
      <c r="CS99" s="203">
        <f t="shared" si="60"/>
        <v>0</v>
      </c>
      <c r="CT99" s="146"/>
      <c r="CU99" s="147">
        <f t="shared" si="61"/>
        <v>0</v>
      </c>
      <c r="CV99" s="156"/>
      <c r="CW99" s="157" t="e">
        <f t="shared" si="62"/>
        <v>#DIV/0!</v>
      </c>
      <c r="CX99" s="157" t="e">
        <f t="shared" si="63"/>
        <v>#DIV/0!</v>
      </c>
      <c r="CY99" s="157" t="e">
        <f t="shared" si="64"/>
        <v>#DIV/0!</v>
      </c>
      <c r="CZ99" s="157" t="e">
        <f t="shared" si="65"/>
        <v>#DIV/0!</v>
      </c>
      <c r="DA99" s="157" t="e">
        <f t="shared" si="66"/>
        <v>#DIV/0!</v>
      </c>
      <c r="DB99" s="158" t="e">
        <f t="shared" si="67"/>
        <v>#DIV/0!</v>
      </c>
      <c r="DC99" s="131"/>
      <c r="DD99" s="159">
        <f t="shared" si="68"/>
        <v>0</v>
      </c>
      <c r="DE99" s="160">
        <f t="shared" si="69"/>
        <v>0</v>
      </c>
      <c r="DF99" s="161">
        <f t="shared" si="70"/>
        <v>0</v>
      </c>
      <c r="DG99" s="162" t="e">
        <f t="shared" si="71"/>
        <v>#DIV/0!</v>
      </c>
      <c r="DH99" s="163">
        <f t="shared" si="72"/>
        <v>0</v>
      </c>
      <c r="DI99" s="164"/>
      <c r="DJ99" s="165">
        <f t="shared" si="55"/>
        <v>0</v>
      </c>
      <c r="DK99" s="166">
        <f t="shared" si="55"/>
        <v>0</v>
      </c>
      <c r="DL99" s="167" t="e">
        <f t="shared" si="73"/>
        <v>#DIV/0!</v>
      </c>
      <c r="DM99" s="168" t="e">
        <f t="shared" si="74"/>
        <v>#DIV/0!</v>
      </c>
      <c r="DN99" s="163" t="e">
        <f t="shared" si="75"/>
        <v>#DIV/0!</v>
      </c>
      <c r="DP99" s="170"/>
      <c r="DQ99" s="171"/>
      <c r="DR99" s="172">
        <f t="shared" si="76"/>
        <v>0</v>
      </c>
      <c r="DS99" s="173" t="e">
        <f t="shared" si="77"/>
        <v>#DIV/0!</v>
      </c>
      <c r="DT99" s="163" t="e">
        <f t="shared" si="78"/>
        <v>#DIV/0!</v>
      </c>
      <c r="DU99" s="174"/>
      <c r="DV99" s="175" t="e">
        <f t="shared" si="79"/>
        <v>#DIV/0!</v>
      </c>
      <c r="DW99" s="163">
        <f t="shared" si="80"/>
        <v>0</v>
      </c>
      <c r="DX99" s="164"/>
      <c r="DY99" s="176">
        <f t="shared" si="81"/>
        <v>0</v>
      </c>
      <c r="DZ99" s="177">
        <f t="shared" si="82"/>
        <v>0</v>
      </c>
      <c r="EA99" s="178">
        <f t="shared" si="83"/>
        <v>0</v>
      </c>
      <c r="EB99" s="179">
        <f t="shared" si="84"/>
        <v>0</v>
      </c>
      <c r="EC99" s="180"/>
      <c r="ED99" s="175" t="e">
        <f t="shared" si="85"/>
        <v>#DIV/0!</v>
      </c>
      <c r="EE99" s="163">
        <f t="shared" si="86"/>
        <v>0</v>
      </c>
      <c r="EF99" s="164"/>
      <c r="EG99" s="181">
        <f t="shared" si="87"/>
        <v>0</v>
      </c>
      <c r="EH99" s="182">
        <f t="shared" si="88"/>
        <v>0</v>
      </c>
      <c r="EI99" s="182">
        <f t="shared" si="89"/>
        <v>0</v>
      </c>
      <c r="EJ99" s="182">
        <f t="shared" si="90"/>
        <v>0</v>
      </c>
      <c r="EK99" s="183">
        <f t="shared" si="91"/>
        <v>0</v>
      </c>
      <c r="EL99" s="184" t="e">
        <f t="shared" si="92"/>
        <v>#DIV/0!</v>
      </c>
      <c r="EM99" s="185">
        <f t="shared" si="93"/>
        <v>0</v>
      </c>
      <c r="EN99" s="164"/>
      <c r="EO99" s="181">
        <f t="shared" si="94"/>
        <v>0</v>
      </c>
      <c r="EP99" s="183">
        <f t="shared" si="95"/>
        <v>0</v>
      </c>
      <c r="EQ99" s="184" t="e">
        <f t="shared" si="96"/>
        <v>#DIV/0!</v>
      </c>
      <c r="ER99" s="185">
        <f t="shared" si="97"/>
        <v>0</v>
      </c>
      <c r="ES99" s="164"/>
      <c r="ET99" s="164"/>
      <c r="EU99" s="186">
        <f t="shared" si="98"/>
        <v>0</v>
      </c>
      <c r="EV99" s="186">
        <f t="shared" si="99"/>
        <v>0</v>
      </c>
      <c r="EW99" s="186">
        <f t="shared" si="100"/>
        <v>0</v>
      </c>
      <c r="EX99" s="186">
        <f t="shared" si="101"/>
        <v>0</v>
      </c>
      <c r="EY99" s="131"/>
      <c r="EZ99" s="187">
        <f t="shared" si="102"/>
        <v>0</v>
      </c>
      <c r="FA99" s="188" t="e">
        <f t="shared" si="103"/>
        <v>#DIV/0!</v>
      </c>
      <c r="FB99" s="189"/>
      <c r="FC99" s="131"/>
      <c r="FD99" s="131"/>
      <c r="FE99" s="131"/>
      <c r="FF99" s="131"/>
      <c r="FG99" s="131"/>
    </row>
    <row r="100" spans="1:164" s="169" customFormat="1" ht="16" hidden="1" outlineLevel="1" thickBot="1" x14ac:dyDescent="0.4">
      <c r="B100" s="358"/>
      <c r="C100" s="355"/>
      <c r="D100" s="243"/>
      <c r="E100" s="244"/>
      <c r="F100" s="135"/>
      <c r="G100" s="192"/>
      <c r="H100" s="245"/>
      <c r="I100" s="138">
        <f t="shared" si="56"/>
        <v>0</v>
      </c>
      <c r="J100" s="139"/>
      <c r="K100" s="208">
        <f t="shared" si="107"/>
        <v>0</v>
      </c>
      <c r="L100" s="141"/>
      <c r="M100" s="209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09"/>
      <c r="AB100" s="210"/>
      <c r="AC100" s="210"/>
      <c r="AD100" s="210"/>
      <c r="AE100" s="210"/>
      <c r="AF100" s="210"/>
      <c r="AG100" s="210"/>
      <c r="AH100" s="210"/>
      <c r="AI100" s="210"/>
      <c r="AJ100" s="210"/>
      <c r="AK100" s="210"/>
      <c r="AL100" s="210"/>
      <c r="AM100" s="211"/>
      <c r="AN100" s="212">
        <f t="shared" si="58"/>
        <v>0</v>
      </c>
      <c r="AO100" s="146"/>
      <c r="AP100" s="147">
        <f t="shared" si="59"/>
        <v>0</v>
      </c>
      <c r="AQ100" s="148"/>
      <c r="AR100" s="213"/>
      <c r="AS100" s="213"/>
      <c r="AT100" s="135"/>
      <c r="AU100" s="214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4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7"/>
      <c r="CD100" s="214"/>
      <c r="CE100" s="209"/>
      <c r="CF100" s="210"/>
      <c r="CG100" s="210"/>
      <c r="CH100" s="210"/>
      <c r="CI100" s="210"/>
      <c r="CJ100" s="210"/>
      <c r="CK100" s="210"/>
      <c r="CL100" s="210"/>
      <c r="CM100" s="210"/>
      <c r="CN100" s="211"/>
      <c r="CO100" s="215"/>
      <c r="CP100" s="215"/>
      <c r="CQ100" s="216"/>
      <c r="CR100" s="217"/>
      <c r="CS100" s="218">
        <f t="shared" si="60"/>
        <v>0</v>
      </c>
      <c r="CT100" s="146"/>
      <c r="CU100" s="147">
        <f t="shared" si="61"/>
        <v>0</v>
      </c>
      <c r="CV100" s="156"/>
      <c r="CW100" s="157" t="e">
        <f t="shared" si="62"/>
        <v>#DIV/0!</v>
      </c>
      <c r="CX100" s="157" t="e">
        <f t="shared" si="63"/>
        <v>#DIV/0!</v>
      </c>
      <c r="CY100" s="157" t="e">
        <f t="shared" si="64"/>
        <v>#DIV/0!</v>
      </c>
      <c r="CZ100" s="157" t="e">
        <f t="shared" si="65"/>
        <v>#DIV/0!</v>
      </c>
      <c r="DA100" s="157" t="e">
        <f t="shared" si="66"/>
        <v>#DIV/0!</v>
      </c>
      <c r="DB100" s="158" t="e">
        <f t="shared" si="67"/>
        <v>#DIV/0!</v>
      </c>
      <c r="DC100" s="131"/>
      <c r="DD100" s="159">
        <f t="shared" si="68"/>
        <v>0</v>
      </c>
      <c r="DE100" s="160">
        <f t="shared" si="69"/>
        <v>0</v>
      </c>
      <c r="DF100" s="161">
        <f t="shared" si="70"/>
        <v>0</v>
      </c>
      <c r="DG100" s="162" t="e">
        <f t="shared" si="71"/>
        <v>#DIV/0!</v>
      </c>
      <c r="DH100" s="163">
        <f t="shared" si="72"/>
        <v>0</v>
      </c>
      <c r="DI100" s="164"/>
      <c r="DJ100" s="165">
        <f t="shared" si="55"/>
        <v>0</v>
      </c>
      <c r="DK100" s="166">
        <f t="shared" si="55"/>
        <v>0</v>
      </c>
      <c r="DL100" s="167" t="e">
        <f t="shared" si="73"/>
        <v>#DIV/0!</v>
      </c>
      <c r="DM100" s="168" t="e">
        <f t="shared" si="74"/>
        <v>#DIV/0!</v>
      </c>
      <c r="DN100" s="163" t="e">
        <f t="shared" si="75"/>
        <v>#DIV/0!</v>
      </c>
      <c r="DP100" s="170"/>
      <c r="DQ100" s="171"/>
      <c r="DR100" s="172">
        <f t="shared" si="76"/>
        <v>0</v>
      </c>
      <c r="DS100" s="173" t="e">
        <f t="shared" si="77"/>
        <v>#DIV/0!</v>
      </c>
      <c r="DT100" s="163" t="e">
        <f t="shared" si="78"/>
        <v>#DIV/0!</v>
      </c>
      <c r="DU100" s="174"/>
      <c r="DV100" s="175" t="e">
        <f t="shared" si="79"/>
        <v>#DIV/0!</v>
      </c>
      <c r="DW100" s="163">
        <f t="shared" si="80"/>
        <v>0</v>
      </c>
      <c r="DX100" s="164"/>
      <c r="DY100" s="176">
        <f t="shared" si="81"/>
        <v>0</v>
      </c>
      <c r="DZ100" s="177">
        <f t="shared" si="82"/>
        <v>0</v>
      </c>
      <c r="EA100" s="178">
        <f t="shared" si="83"/>
        <v>0</v>
      </c>
      <c r="EB100" s="179">
        <f t="shared" si="84"/>
        <v>0</v>
      </c>
      <c r="EC100" s="180"/>
      <c r="ED100" s="175" t="e">
        <f t="shared" si="85"/>
        <v>#DIV/0!</v>
      </c>
      <c r="EE100" s="163">
        <f t="shared" si="86"/>
        <v>0</v>
      </c>
      <c r="EF100" s="164"/>
      <c r="EG100" s="181">
        <f t="shared" si="87"/>
        <v>0</v>
      </c>
      <c r="EH100" s="182">
        <f t="shared" si="88"/>
        <v>0</v>
      </c>
      <c r="EI100" s="182">
        <f t="shared" si="89"/>
        <v>0</v>
      </c>
      <c r="EJ100" s="182">
        <f t="shared" si="90"/>
        <v>0</v>
      </c>
      <c r="EK100" s="183">
        <f t="shared" si="91"/>
        <v>0</v>
      </c>
      <c r="EL100" s="184" t="e">
        <f t="shared" si="92"/>
        <v>#DIV/0!</v>
      </c>
      <c r="EM100" s="185">
        <f t="shared" si="93"/>
        <v>0</v>
      </c>
      <c r="EN100" s="164"/>
      <c r="EO100" s="181">
        <f t="shared" si="94"/>
        <v>0</v>
      </c>
      <c r="EP100" s="183">
        <f t="shared" si="95"/>
        <v>0</v>
      </c>
      <c r="EQ100" s="184" t="e">
        <f t="shared" si="96"/>
        <v>#DIV/0!</v>
      </c>
      <c r="ER100" s="185">
        <f t="shared" si="97"/>
        <v>0</v>
      </c>
      <c r="ES100" s="164"/>
      <c r="ET100" s="164"/>
      <c r="EU100" s="186">
        <f t="shared" si="98"/>
        <v>0</v>
      </c>
      <c r="EV100" s="186">
        <f t="shared" si="99"/>
        <v>0</v>
      </c>
      <c r="EW100" s="186">
        <f t="shared" si="100"/>
        <v>0</v>
      </c>
      <c r="EX100" s="186">
        <f t="shared" si="101"/>
        <v>0</v>
      </c>
      <c r="EY100" s="131"/>
      <c r="EZ100" s="187">
        <f t="shared" si="102"/>
        <v>0</v>
      </c>
      <c r="FA100" s="188" t="e">
        <f t="shared" si="103"/>
        <v>#DIV/0!</v>
      </c>
      <c r="FB100" s="189"/>
      <c r="FC100" s="131"/>
      <c r="FD100" s="131"/>
      <c r="FE100" s="131"/>
      <c r="FF100" s="131"/>
      <c r="FG100" s="131"/>
    </row>
    <row r="101" spans="1:164" s="169" customFormat="1" ht="16" hidden="1" outlineLevel="1" thickBot="1" x14ac:dyDescent="0.4">
      <c r="B101" s="356">
        <v>44864</v>
      </c>
      <c r="C101" s="353"/>
      <c r="D101" s="133"/>
      <c r="E101" s="134"/>
      <c r="F101" s="135"/>
      <c r="G101" s="136"/>
      <c r="H101" s="137"/>
      <c r="I101" s="138">
        <f t="shared" si="56"/>
        <v>0</v>
      </c>
      <c r="J101" s="139"/>
      <c r="K101" s="140">
        <f>E101*60</f>
        <v>0</v>
      </c>
      <c r="L101" s="141"/>
      <c r="M101" s="142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2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4"/>
      <c r="AN101" s="145">
        <f t="shared" si="58"/>
        <v>0</v>
      </c>
      <c r="AO101" s="146"/>
      <c r="AP101" s="147">
        <f t="shared" si="59"/>
        <v>0</v>
      </c>
      <c r="AQ101" s="148"/>
      <c r="AR101" s="149"/>
      <c r="AS101" s="149"/>
      <c r="AT101" s="135"/>
      <c r="AU101" s="150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0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4"/>
      <c r="CD101" s="150"/>
      <c r="CE101" s="142"/>
      <c r="CF101" s="143"/>
      <c r="CG101" s="143"/>
      <c r="CH101" s="143"/>
      <c r="CI101" s="143"/>
      <c r="CJ101" s="143"/>
      <c r="CK101" s="143"/>
      <c r="CL101" s="143"/>
      <c r="CM101" s="143"/>
      <c r="CN101" s="144"/>
      <c r="CO101" s="151"/>
      <c r="CP101" s="151"/>
      <c r="CQ101" s="152"/>
      <c r="CR101" s="154"/>
      <c r="CS101" s="155">
        <f t="shared" ref="CS101:CS106" si="203">SUM(AU101:CR101)</f>
        <v>0</v>
      </c>
      <c r="CT101" s="146"/>
      <c r="CU101" s="147">
        <f t="shared" si="61"/>
        <v>0</v>
      </c>
      <c r="CV101" s="156"/>
      <c r="CW101" s="157" t="e">
        <f t="shared" si="62"/>
        <v>#DIV/0!</v>
      </c>
      <c r="CX101" s="157" t="e">
        <f t="shared" si="63"/>
        <v>#DIV/0!</v>
      </c>
      <c r="CY101" s="157" t="e">
        <f t="shared" ref="CY101:CY106" si="204">(SUM(AU101:BQ101))/$K101</f>
        <v>#DIV/0!</v>
      </c>
      <c r="CZ101" s="157" t="e">
        <f t="shared" si="65"/>
        <v>#DIV/0!</v>
      </c>
      <c r="DA101" s="157" t="e">
        <f t="shared" si="66"/>
        <v>#DIV/0!</v>
      </c>
      <c r="DB101" s="158" t="e">
        <f t="shared" si="67"/>
        <v>#DIV/0!</v>
      </c>
      <c r="DC101" s="131"/>
      <c r="DD101" s="159">
        <f t="shared" ref="DD101:DD106" si="205">AP101</f>
        <v>0</v>
      </c>
      <c r="DE101" s="160">
        <f t="shared" ref="DE101:DE106" si="206">CS101</f>
        <v>0</v>
      </c>
      <c r="DF101" s="161">
        <f t="shared" ref="DF101:DF107" si="207">$DD101-DE101</f>
        <v>0</v>
      </c>
      <c r="DG101" s="162" t="e">
        <f t="shared" ref="DG101:DG106" si="208">DF101/$DD101</f>
        <v>#DIV/0!</v>
      </c>
      <c r="DH101" s="163">
        <f t="shared" ref="DH101:DH106" si="209">IF(AP101&gt;0.01,1,0)</f>
        <v>0</v>
      </c>
      <c r="DI101" s="164"/>
      <c r="DJ101" s="165">
        <f t="shared" si="55"/>
        <v>0</v>
      </c>
      <c r="DK101" s="166">
        <f t="shared" si="55"/>
        <v>0</v>
      </c>
      <c r="DL101" s="167" t="e">
        <f t="shared" ref="DL101:DL106" si="210">DR101/DF101</f>
        <v>#DIV/0!</v>
      </c>
      <c r="DM101" s="168" t="e">
        <f t="shared" ref="DM101:DM106" si="211">DL101/DK101</f>
        <v>#DIV/0!</v>
      </c>
      <c r="DN101" s="163" t="e">
        <f t="shared" ref="DN101:DN106" si="212">IF(DM101&gt;0.01,1,0)</f>
        <v>#DIV/0!</v>
      </c>
      <c r="DP101" s="170"/>
      <c r="DQ101" s="171"/>
      <c r="DR101" s="172">
        <f t="shared" ref="DR101:DR107" si="213">DP101+DQ101</f>
        <v>0</v>
      </c>
      <c r="DS101" s="173" t="e">
        <f t="shared" ref="DS101:DS106" si="214">IF(DL101=0,0,DP101/DR101)</f>
        <v>#DIV/0!</v>
      </c>
      <c r="DT101" s="163" t="e">
        <f t="shared" ref="DT101:DT106" si="215">IF(DS101&gt;0.01,1,0)</f>
        <v>#DIV/0!</v>
      </c>
      <c r="DU101" s="174"/>
      <c r="DV101" s="175" t="e">
        <f t="shared" ref="DV101:DV106" si="216">DG101*DM101*DS101</f>
        <v>#DIV/0!</v>
      </c>
      <c r="DW101" s="163">
        <f t="shared" si="80"/>
        <v>0</v>
      </c>
      <c r="DX101" s="164"/>
      <c r="DY101" s="176">
        <f t="shared" ref="DY101:DY106" si="217">DP101</f>
        <v>0</v>
      </c>
      <c r="DZ101" s="177">
        <f t="shared" ref="DZ101:DZ106" si="218">DK101</f>
        <v>0</v>
      </c>
      <c r="EA101" s="178">
        <f t="shared" ref="EA101:EA106" si="219">+AP101</f>
        <v>0</v>
      </c>
      <c r="EB101" s="179">
        <f t="shared" ref="EB101:EB106" si="220">DZ101*EA101</f>
        <v>0</v>
      </c>
      <c r="EC101" s="180"/>
      <c r="ED101" s="175" t="e">
        <f t="shared" ref="ED101:ED106" si="221">DY101/EB101</f>
        <v>#DIV/0!</v>
      </c>
      <c r="EE101" s="163">
        <f t="shared" si="86"/>
        <v>0</v>
      </c>
      <c r="EF101" s="164"/>
      <c r="EG101" s="181">
        <f t="shared" ref="EG101:EG106" si="222">DP101</f>
        <v>0</v>
      </c>
      <c r="EH101" s="182">
        <f t="shared" si="88"/>
        <v>0</v>
      </c>
      <c r="EI101" s="182">
        <f t="shared" si="89"/>
        <v>0</v>
      </c>
      <c r="EJ101" s="182">
        <f t="shared" si="90"/>
        <v>0</v>
      </c>
      <c r="EK101" s="183">
        <f t="shared" ref="EK101:EK106" si="223">(EH101-EI101)*EJ101</f>
        <v>0</v>
      </c>
      <c r="EL101" s="184" t="e">
        <f t="shared" ref="EL101:EL106" si="224">EG101/EK101</f>
        <v>#DIV/0!</v>
      </c>
      <c r="EM101" s="185">
        <f t="shared" ref="EM101:EM106" si="225">IF(EK101&gt;0.01,1,0)</f>
        <v>0</v>
      </c>
      <c r="EN101" s="164"/>
      <c r="EO101" s="181">
        <f t="shared" ref="EO101:EO106" si="226">EG101</f>
        <v>0</v>
      </c>
      <c r="EP101" s="183">
        <f t="shared" ref="EP101:EP106" si="227">EJ101</f>
        <v>0</v>
      </c>
      <c r="EQ101" s="184" t="e">
        <f t="shared" si="96"/>
        <v>#DIV/0!</v>
      </c>
      <c r="ER101" s="185">
        <f t="shared" si="97"/>
        <v>0</v>
      </c>
      <c r="ES101" s="164"/>
      <c r="ET101" s="164"/>
      <c r="EU101" s="186">
        <f t="shared" ref="EU101:EU106" si="228">DK101</f>
        <v>0</v>
      </c>
      <c r="EV101" s="186">
        <f t="shared" ref="EV101:EV106" si="229">CU101</f>
        <v>0</v>
      </c>
      <c r="EW101" s="186">
        <f t="shared" si="100"/>
        <v>0</v>
      </c>
      <c r="EX101" s="186">
        <f t="shared" ref="EX101:EX106" si="230">DR101</f>
        <v>0</v>
      </c>
      <c r="EY101" s="131"/>
      <c r="EZ101" s="187">
        <f t="shared" ref="EZ101:EZ106" si="231">EW101-EX101</f>
        <v>0</v>
      </c>
      <c r="FA101" s="188" t="e">
        <f t="shared" si="103"/>
        <v>#DIV/0!</v>
      </c>
      <c r="FB101" s="189"/>
      <c r="FC101" s="131"/>
      <c r="FD101" s="131"/>
      <c r="FE101" s="131"/>
      <c r="FF101" s="131"/>
      <c r="FG101" s="131"/>
    </row>
    <row r="102" spans="1:164" s="169" customFormat="1" ht="16" hidden="1" outlineLevel="1" thickBot="1" x14ac:dyDescent="0.4">
      <c r="B102" s="357"/>
      <c r="C102" s="354"/>
      <c r="D102" s="240"/>
      <c r="E102" s="241"/>
      <c r="F102" s="135"/>
      <c r="G102" s="192"/>
      <c r="H102" s="242"/>
      <c r="I102" s="138">
        <f t="shared" si="56"/>
        <v>0</v>
      </c>
      <c r="J102" s="139"/>
      <c r="K102" s="193">
        <f t="shared" si="107"/>
        <v>0</v>
      </c>
      <c r="L102" s="141"/>
      <c r="M102" s="194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4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6"/>
      <c r="AN102" s="197">
        <f t="shared" si="58"/>
        <v>0</v>
      </c>
      <c r="AO102" s="146"/>
      <c r="AP102" s="147">
        <f t="shared" si="59"/>
        <v>0</v>
      </c>
      <c r="AQ102" s="148"/>
      <c r="AR102" s="198"/>
      <c r="AS102" s="198"/>
      <c r="AT102" s="135"/>
      <c r="AU102" s="199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199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2"/>
      <c r="CD102" s="199"/>
      <c r="CE102" s="194"/>
      <c r="CF102" s="195"/>
      <c r="CG102" s="195"/>
      <c r="CH102" s="195"/>
      <c r="CI102" s="195"/>
      <c r="CJ102" s="195"/>
      <c r="CK102" s="195"/>
      <c r="CL102" s="195"/>
      <c r="CM102" s="195"/>
      <c r="CN102" s="196"/>
      <c r="CO102" s="200"/>
      <c r="CP102" s="200"/>
      <c r="CQ102" s="201"/>
      <c r="CR102" s="202"/>
      <c r="CS102" s="203">
        <f t="shared" si="203"/>
        <v>0</v>
      </c>
      <c r="CT102" s="146"/>
      <c r="CU102" s="147">
        <f t="shared" si="61"/>
        <v>0</v>
      </c>
      <c r="CV102" s="156"/>
      <c r="CW102" s="157" t="e">
        <f t="shared" si="62"/>
        <v>#DIV/0!</v>
      </c>
      <c r="CX102" s="157" t="e">
        <f t="shared" si="63"/>
        <v>#DIV/0!</v>
      </c>
      <c r="CY102" s="157" t="e">
        <f t="shared" si="204"/>
        <v>#DIV/0!</v>
      </c>
      <c r="CZ102" s="157" t="e">
        <f t="shared" si="65"/>
        <v>#DIV/0!</v>
      </c>
      <c r="DA102" s="157" t="e">
        <f t="shared" si="66"/>
        <v>#DIV/0!</v>
      </c>
      <c r="DB102" s="158" t="e">
        <f t="shared" si="67"/>
        <v>#DIV/0!</v>
      </c>
      <c r="DC102" s="131"/>
      <c r="DD102" s="159">
        <f t="shared" si="205"/>
        <v>0</v>
      </c>
      <c r="DE102" s="160">
        <f t="shared" si="206"/>
        <v>0</v>
      </c>
      <c r="DF102" s="161">
        <f t="shared" si="207"/>
        <v>0</v>
      </c>
      <c r="DG102" s="162" t="e">
        <f t="shared" si="208"/>
        <v>#DIV/0!</v>
      </c>
      <c r="DH102" s="163">
        <f t="shared" si="209"/>
        <v>0</v>
      </c>
      <c r="DI102" s="164"/>
      <c r="DJ102" s="165">
        <f t="shared" si="55"/>
        <v>0</v>
      </c>
      <c r="DK102" s="166">
        <f t="shared" si="55"/>
        <v>0</v>
      </c>
      <c r="DL102" s="167" t="e">
        <f t="shared" si="210"/>
        <v>#DIV/0!</v>
      </c>
      <c r="DM102" s="168" t="e">
        <f t="shared" si="211"/>
        <v>#DIV/0!</v>
      </c>
      <c r="DN102" s="163" t="e">
        <f t="shared" si="212"/>
        <v>#DIV/0!</v>
      </c>
      <c r="DP102" s="170"/>
      <c r="DQ102" s="171"/>
      <c r="DR102" s="172">
        <f t="shared" si="213"/>
        <v>0</v>
      </c>
      <c r="DS102" s="173" t="e">
        <f t="shared" si="214"/>
        <v>#DIV/0!</v>
      </c>
      <c r="DT102" s="163" t="e">
        <f t="shared" si="215"/>
        <v>#DIV/0!</v>
      </c>
      <c r="DU102" s="174"/>
      <c r="DV102" s="175" t="e">
        <f t="shared" si="216"/>
        <v>#DIV/0!</v>
      </c>
      <c r="DW102" s="163">
        <f t="shared" si="80"/>
        <v>0</v>
      </c>
      <c r="DX102" s="164"/>
      <c r="DY102" s="176">
        <f t="shared" si="217"/>
        <v>0</v>
      </c>
      <c r="DZ102" s="177">
        <f t="shared" si="218"/>
        <v>0</v>
      </c>
      <c r="EA102" s="178">
        <f t="shared" si="219"/>
        <v>0</v>
      </c>
      <c r="EB102" s="179">
        <f t="shared" si="220"/>
        <v>0</v>
      </c>
      <c r="EC102" s="180"/>
      <c r="ED102" s="175" t="e">
        <f t="shared" si="221"/>
        <v>#DIV/0!</v>
      </c>
      <c r="EE102" s="163">
        <f t="shared" si="86"/>
        <v>0</v>
      </c>
      <c r="EF102" s="164"/>
      <c r="EG102" s="181">
        <f t="shared" si="222"/>
        <v>0</v>
      </c>
      <c r="EH102" s="182">
        <f t="shared" si="88"/>
        <v>0</v>
      </c>
      <c r="EI102" s="182">
        <f t="shared" si="89"/>
        <v>0</v>
      </c>
      <c r="EJ102" s="182">
        <f t="shared" si="90"/>
        <v>0</v>
      </c>
      <c r="EK102" s="183">
        <f t="shared" si="223"/>
        <v>0</v>
      </c>
      <c r="EL102" s="184" t="e">
        <f t="shared" si="224"/>
        <v>#DIV/0!</v>
      </c>
      <c r="EM102" s="185">
        <f t="shared" si="225"/>
        <v>0</v>
      </c>
      <c r="EN102" s="164"/>
      <c r="EO102" s="181">
        <f t="shared" si="226"/>
        <v>0</v>
      </c>
      <c r="EP102" s="183">
        <f t="shared" si="227"/>
        <v>0</v>
      </c>
      <c r="EQ102" s="184" t="e">
        <f t="shared" si="96"/>
        <v>#DIV/0!</v>
      </c>
      <c r="ER102" s="185">
        <f t="shared" si="97"/>
        <v>0</v>
      </c>
      <c r="ES102" s="164"/>
      <c r="ET102" s="164"/>
      <c r="EU102" s="186">
        <f t="shared" si="228"/>
        <v>0</v>
      </c>
      <c r="EV102" s="186">
        <f t="shared" si="229"/>
        <v>0</v>
      </c>
      <c r="EW102" s="186">
        <f t="shared" si="100"/>
        <v>0</v>
      </c>
      <c r="EX102" s="186">
        <f t="shared" si="230"/>
        <v>0</v>
      </c>
      <c r="EY102" s="131"/>
      <c r="EZ102" s="187">
        <f t="shared" si="231"/>
        <v>0</v>
      </c>
      <c r="FA102" s="188" t="e">
        <f t="shared" si="103"/>
        <v>#DIV/0!</v>
      </c>
      <c r="FB102" s="189"/>
      <c r="FC102" s="131"/>
      <c r="FD102" s="131"/>
      <c r="FE102" s="131"/>
      <c r="FF102" s="131"/>
      <c r="FG102" s="131"/>
    </row>
    <row r="103" spans="1:164" s="169" customFormat="1" ht="16" hidden="1" outlineLevel="1" thickBot="1" x14ac:dyDescent="0.4">
      <c r="B103" s="358"/>
      <c r="C103" s="355"/>
      <c r="D103" s="243"/>
      <c r="E103" s="244"/>
      <c r="F103" s="135"/>
      <c r="G103" s="192"/>
      <c r="H103" s="245"/>
      <c r="I103" s="138">
        <f t="shared" si="56"/>
        <v>0</v>
      </c>
      <c r="J103" s="139"/>
      <c r="K103" s="208">
        <f t="shared" si="107"/>
        <v>0</v>
      </c>
      <c r="L103" s="141"/>
      <c r="M103" s="209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09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1"/>
      <c r="AN103" s="212">
        <f t="shared" si="58"/>
        <v>0</v>
      </c>
      <c r="AO103" s="146"/>
      <c r="AP103" s="147">
        <f t="shared" si="59"/>
        <v>0</v>
      </c>
      <c r="AQ103" s="148"/>
      <c r="AR103" s="213"/>
      <c r="AS103" s="213"/>
      <c r="AT103" s="135"/>
      <c r="AU103" s="214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215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4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7"/>
      <c r="CD103" s="214"/>
      <c r="CE103" s="209"/>
      <c r="CF103" s="210"/>
      <c r="CG103" s="210"/>
      <c r="CH103" s="210"/>
      <c r="CI103" s="210"/>
      <c r="CJ103" s="210"/>
      <c r="CK103" s="210"/>
      <c r="CL103" s="210"/>
      <c r="CM103" s="210"/>
      <c r="CN103" s="211"/>
      <c r="CO103" s="215"/>
      <c r="CP103" s="215"/>
      <c r="CQ103" s="216"/>
      <c r="CR103" s="217"/>
      <c r="CS103" s="218">
        <f t="shared" si="203"/>
        <v>0</v>
      </c>
      <c r="CT103" s="146"/>
      <c r="CU103" s="147">
        <f t="shared" si="61"/>
        <v>0</v>
      </c>
      <c r="CV103" s="156"/>
      <c r="CW103" s="157" t="e">
        <f t="shared" si="62"/>
        <v>#DIV/0!</v>
      </c>
      <c r="CX103" s="157" t="e">
        <f t="shared" si="63"/>
        <v>#DIV/0!</v>
      </c>
      <c r="CY103" s="157" t="e">
        <f t="shared" si="204"/>
        <v>#DIV/0!</v>
      </c>
      <c r="CZ103" s="157" t="e">
        <f t="shared" si="65"/>
        <v>#DIV/0!</v>
      </c>
      <c r="DA103" s="157" t="e">
        <f t="shared" si="66"/>
        <v>#DIV/0!</v>
      </c>
      <c r="DB103" s="158" t="e">
        <f t="shared" si="67"/>
        <v>#DIV/0!</v>
      </c>
      <c r="DC103" s="131"/>
      <c r="DD103" s="159">
        <f t="shared" si="205"/>
        <v>0</v>
      </c>
      <c r="DE103" s="160">
        <f t="shared" si="206"/>
        <v>0</v>
      </c>
      <c r="DF103" s="161">
        <f t="shared" si="207"/>
        <v>0</v>
      </c>
      <c r="DG103" s="162" t="e">
        <f t="shared" si="208"/>
        <v>#DIV/0!</v>
      </c>
      <c r="DH103" s="163">
        <f t="shared" si="209"/>
        <v>0</v>
      </c>
      <c r="DI103" s="164"/>
      <c r="DJ103" s="165">
        <f t="shared" si="55"/>
        <v>0</v>
      </c>
      <c r="DK103" s="166">
        <f t="shared" si="55"/>
        <v>0</v>
      </c>
      <c r="DL103" s="167" t="e">
        <f t="shared" si="210"/>
        <v>#DIV/0!</v>
      </c>
      <c r="DM103" s="168" t="e">
        <f t="shared" si="211"/>
        <v>#DIV/0!</v>
      </c>
      <c r="DN103" s="163" t="e">
        <f t="shared" si="212"/>
        <v>#DIV/0!</v>
      </c>
      <c r="DP103" s="170"/>
      <c r="DQ103" s="171"/>
      <c r="DR103" s="172">
        <f t="shared" si="213"/>
        <v>0</v>
      </c>
      <c r="DS103" s="173" t="e">
        <f t="shared" si="214"/>
        <v>#DIV/0!</v>
      </c>
      <c r="DT103" s="163" t="e">
        <f t="shared" si="215"/>
        <v>#DIV/0!</v>
      </c>
      <c r="DU103" s="174"/>
      <c r="DV103" s="175" t="e">
        <f t="shared" si="216"/>
        <v>#DIV/0!</v>
      </c>
      <c r="DW103" s="163">
        <f t="shared" si="80"/>
        <v>0</v>
      </c>
      <c r="DX103" s="164"/>
      <c r="DY103" s="176">
        <f t="shared" si="217"/>
        <v>0</v>
      </c>
      <c r="DZ103" s="177">
        <f t="shared" si="218"/>
        <v>0</v>
      </c>
      <c r="EA103" s="178">
        <f t="shared" si="219"/>
        <v>0</v>
      </c>
      <c r="EB103" s="179">
        <f t="shared" si="220"/>
        <v>0</v>
      </c>
      <c r="EC103" s="180"/>
      <c r="ED103" s="175" t="e">
        <f t="shared" si="221"/>
        <v>#DIV/0!</v>
      </c>
      <c r="EE103" s="163">
        <f t="shared" si="86"/>
        <v>0</v>
      </c>
      <c r="EF103" s="164"/>
      <c r="EG103" s="181">
        <f t="shared" si="222"/>
        <v>0</v>
      </c>
      <c r="EH103" s="182">
        <f t="shared" si="88"/>
        <v>0</v>
      </c>
      <c r="EI103" s="182">
        <f t="shared" si="89"/>
        <v>0</v>
      </c>
      <c r="EJ103" s="182">
        <f t="shared" si="90"/>
        <v>0</v>
      </c>
      <c r="EK103" s="183">
        <f t="shared" si="223"/>
        <v>0</v>
      </c>
      <c r="EL103" s="184" t="e">
        <f t="shared" si="224"/>
        <v>#DIV/0!</v>
      </c>
      <c r="EM103" s="185">
        <f t="shared" si="225"/>
        <v>0</v>
      </c>
      <c r="EN103" s="164"/>
      <c r="EO103" s="181">
        <f t="shared" si="226"/>
        <v>0</v>
      </c>
      <c r="EP103" s="183">
        <f t="shared" si="227"/>
        <v>0</v>
      </c>
      <c r="EQ103" s="184" t="e">
        <f t="shared" si="96"/>
        <v>#DIV/0!</v>
      </c>
      <c r="ER103" s="185">
        <f t="shared" si="97"/>
        <v>0</v>
      </c>
      <c r="ES103" s="164"/>
      <c r="ET103" s="164"/>
      <c r="EU103" s="186">
        <f t="shared" si="228"/>
        <v>0</v>
      </c>
      <c r="EV103" s="186">
        <f t="shared" si="229"/>
        <v>0</v>
      </c>
      <c r="EW103" s="186">
        <f t="shared" si="100"/>
        <v>0</v>
      </c>
      <c r="EX103" s="186">
        <f t="shared" si="230"/>
        <v>0</v>
      </c>
      <c r="EY103" s="131"/>
      <c r="EZ103" s="187">
        <f t="shared" si="231"/>
        <v>0</v>
      </c>
      <c r="FA103" s="188" t="e">
        <f t="shared" si="103"/>
        <v>#DIV/0!</v>
      </c>
      <c r="FB103" s="189"/>
      <c r="FC103" s="131"/>
      <c r="FD103" s="131"/>
      <c r="FE103" s="131"/>
      <c r="FF103" s="131"/>
      <c r="FG103" s="131"/>
    </row>
    <row r="104" spans="1:164" s="169" customFormat="1" ht="16" hidden="1" outlineLevel="1" thickBot="1" x14ac:dyDescent="0.4">
      <c r="B104" s="356">
        <v>44865</v>
      </c>
      <c r="C104" s="353"/>
      <c r="D104" s="133"/>
      <c r="E104" s="134"/>
      <c r="F104" s="135"/>
      <c r="G104" s="136"/>
      <c r="H104" s="137"/>
      <c r="I104" s="138">
        <f t="shared" si="56"/>
        <v>0</v>
      </c>
      <c r="J104" s="139"/>
      <c r="K104" s="140">
        <f>E104*60</f>
        <v>0</v>
      </c>
      <c r="L104" s="141"/>
      <c r="M104" s="142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2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4"/>
      <c r="AN104" s="145">
        <f t="shared" si="58"/>
        <v>0</v>
      </c>
      <c r="AO104" s="146"/>
      <c r="AP104" s="147">
        <f t="shared" si="59"/>
        <v>0</v>
      </c>
      <c r="AQ104" s="148"/>
      <c r="AR104" s="149"/>
      <c r="AS104" s="149"/>
      <c r="AT104" s="135"/>
      <c r="AU104" s="150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0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4"/>
      <c r="CD104" s="150"/>
      <c r="CE104" s="142"/>
      <c r="CF104" s="143"/>
      <c r="CG104" s="143"/>
      <c r="CH104" s="143"/>
      <c r="CI104" s="143"/>
      <c r="CJ104" s="143"/>
      <c r="CK104" s="143"/>
      <c r="CL104" s="143"/>
      <c r="CM104" s="143"/>
      <c r="CN104" s="144"/>
      <c r="CO104" s="151"/>
      <c r="CP104" s="151"/>
      <c r="CQ104" s="152"/>
      <c r="CR104" s="154"/>
      <c r="CS104" s="155">
        <f t="shared" si="203"/>
        <v>0</v>
      </c>
      <c r="CT104" s="146"/>
      <c r="CU104" s="147">
        <f t="shared" si="61"/>
        <v>0</v>
      </c>
      <c r="CV104" s="156"/>
      <c r="CW104" s="157" t="e">
        <f t="shared" si="62"/>
        <v>#DIV/0!</v>
      </c>
      <c r="CX104" s="157" t="e">
        <f t="shared" si="63"/>
        <v>#DIV/0!</v>
      </c>
      <c r="CY104" s="157" t="e">
        <f t="shared" si="204"/>
        <v>#DIV/0!</v>
      </c>
      <c r="CZ104" s="157" t="e">
        <f t="shared" si="65"/>
        <v>#DIV/0!</v>
      </c>
      <c r="DA104" s="157" t="e">
        <f t="shared" si="66"/>
        <v>#DIV/0!</v>
      </c>
      <c r="DB104" s="158" t="e">
        <f t="shared" si="67"/>
        <v>#DIV/0!</v>
      </c>
      <c r="DC104" s="131"/>
      <c r="DD104" s="159">
        <f t="shared" si="205"/>
        <v>0</v>
      </c>
      <c r="DE104" s="160">
        <f t="shared" si="206"/>
        <v>0</v>
      </c>
      <c r="DF104" s="161">
        <f t="shared" si="207"/>
        <v>0</v>
      </c>
      <c r="DG104" s="162" t="e">
        <f t="shared" si="208"/>
        <v>#DIV/0!</v>
      </c>
      <c r="DH104" s="163">
        <f t="shared" si="209"/>
        <v>0</v>
      </c>
      <c r="DI104" s="164"/>
      <c r="DJ104" s="165">
        <f t="shared" ref="DJ104:DK106" si="232">H104</f>
        <v>0</v>
      </c>
      <c r="DK104" s="166">
        <f t="shared" si="232"/>
        <v>0</v>
      </c>
      <c r="DL104" s="167" t="e">
        <f t="shared" si="210"/>
        <v>#DIV/0!</v>
      </c>
      <c r="DM104" s="168" t="e">
        <f t="shared" si="211"/>
        <v>#DIV/0!</v>
      </c>
      <c r="DN104" s="163" t="e">
        <f t="shared" si="212"/>
        <v>#DIV/0!</v>
      </c>
      <c r="DP104" s="170"/>
      <c r="DQ104" s="171"/>
      <c r="DR104" s="172">
        <f t="shared" si="213"/>
        <v>0</v>
      </c>
      <c r="DS104" s="173" t="e">
        <f t="shared" si="214"/>
        <v>#DIV/0!</v>
      </c>
      <c r="DT104" s="163" t="e">
        <f t="shared" si="215"/>
        <v>#DIV/0!</v>
      </c>
      <c r="DU104" s="174"/>
      <c r="DV104" s="175" t="e">
        <f t="shared" si="216"/>
        <v>#DIV/0!</v>
      </c>
      <c r="DW104" s="163">
        <f t="shared" si="80"/>
        <v>0</v>
      </c>
      <c r="DX104" s="164"/>
      <c r="DY104" s="176">
        <f t="shared" si="217"/>
        <v>0</v>
      </c>
      <c r="DZ104" s="177">
        <f t="shared" si="218"/>
        <v>0</v>
      </c>
      <c r="EA104" s="178">
        <f t="shared" si="219"/>
        <v>0</v>
      </c>
      <c r="EB104" s="179">
        <f t="shared" si="220"/>
        <v>0</v>
      </c>
      <c r="EC104" s="180"/>
      <c r="ED104" s="175" t="e">
        <f t="shared" si="221"/>
        <v>#DIV/0!</v>
      </c>
      <c r="EE104" s="163">
        <f t="shared" si="86"/>
        <v>0</v>
      </c>
      <c r="EF104" s="164"/>
      <c r="EG104" s="181">
        <f t="shared" si="222"/>
        <v>0</v>
      </c>
      <c r="EH104" s="182">
        <f t="shared" si="88"/>
        <v>0</v>
      </c>
      <c r="EI104" s="182">
        <f t="shared" si="89"/>
        <v>0</v>
      </c>
      <c r="EJ104" s="182">
        <f t="shared" si="90"/>
        <v>0</v>
      </c>
      <c r="EK104" s="183">
        <f t="shared" si="223"/>
        <v>0</v>
      </c>
      <c r="EL104" s="184" t="e">
        <f t="shared" si="224"/>
        <v>#DIV/0!</v>
      </c>
      <c r="EM104" s="185">
        <f t="shared" si="225"/>
        <v>0</v>
      </c>
      <c r="EN104" s="164"/>
      <c r="EO104" s="181">
        <f t="shared" si="226"/>
        <v>0</v>
      </c>
      <c r="EP104" s="183">
        <f t="shared" si="227"/>
        <v>0</v>
      </c>
      <c r="EQ104" s="184" t="e">
        <f t="shared" si="96"/>
        <v>#DIV/0!</v>
      </c>
      <c r="ER104" s="185">
        <f t="shared" si="97"/>
        <v>0</v>
      </c>
      <c r="ES104" s="164"/>
      <c r="ET104" s="164"/>
      <c r="EU104" s="186">
        <f t="shared" si="228"/>
        <v>0</v>
      </c>
      <c r="EV104" s="186">
        <f t="shared" si="229"/>
        <v>0</v>
      </c>
      <c r="EW104" s="186">
        <f t="shared" si="100"/>
        <v>0</v>
      </c>
      <c r="EX104" s="186">
        <f t="shared" si="230"/>
        <v>0</v>
      </c>
      <c r="EY104" s="131"/>
      <c r="EZ104" s="187">
        <f t="shared" si="231"/>
        <v>0</v>
      </c>
      <c r="FA104" s="188" t="e">
        <f t="shared" si="103"/>
        <v>#DIV/0!</v>
      </c>
      <c r="FB104" s="189"/>
      <c r="FC104" s="131"/>
      <c r="FD104" s="131"/>
      <c r="FE104" s="131"/>
      <c r="FF104" s="131"/>
      <c r="FG104" s="131"/>
    </row>
    <row r="105" spans="1:164" s="169" customFormat="1" ht="16" hidden="1" outlineLevel="1" thickBot="1" x14ac:dyDescent="0.4">
      <c r="B105" s="357"/>
      <c r="C105" s="354"/>
      <c r="D105" s="240"/>
      <c r="E105" s="241"/>
      <c r="F105" s="135"/>
      <c r="G105" s="192"/>
      <c r="H105" s="242"/>
      <c r="I105" s="138">
        <f t="shared" si="56"/>
        <v>0</v>
      </c>
      <c r="J105" s="139"/>
      <c r="K105" s="193">
        <f t="shared" ref="K105:K106" si="233">E105*60</f>
        <v>0</v>
      </c>
      <c r="L105" s="141"/>
      <c r="M105" s="194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4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6"/>
      <c r="AN105" s="197">
        <f t="shared" si="58"/>
        <v>0</v>
      </c>
      <c r="AO105" s="146"/>
      <c r="AP105" s="147">
        <f t="shared" si="59"/>
        <v>0</v>
      </c>
      <c r="AQ105" s="148"/>
      <c r="AR105" s="198"/>
      <c r="AS105" s="198"/>
      <c r="AT105" s="135"/>
      <c r="AU105" s="199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1"/>
      <c r="BG105" s="201"/>
      <c r="BH105" s="201"/>
      <c r="BI105" s="201"/>
      <c r="BJ105" s="201"/>
      <c r="BK105" s="201"/>
      <c r="BL105" s="201"/>
      <c r="BM105" s="201"/>
      <c r="BN105" s="201"/>
      <c r="BO105" s="201"/>
      <c r="BP105" s="201"/>
      <c r="BQ105" s="201"/>
      <c r="BR105" s="199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2"/>
      <c r="CD105" s="199"/>
      <c r="CE105" s="194"/>
      <c r="CF105" s="195"/>
      <c r="CG105" s="195"/>
      <c r="CH105" s="195"/>
      <c r="CI105" s="195"/>
      <c r="CJ105" s="195"/>
      <c r="CK105" s="195"/>
      <c r="CL105" s="195"/>
      <c r="CM105" s="195"/>
      <c r="CN105" s="196"/>
      <c r="CO105" s="200"/>
      <c r="CP105" s="200"/>
      <c r="CQ105" s="201"/>
      <c r="CR105" s="202"/>
      <c r="CS105" s="203">
        <f t="shared" si="203"/>
        <v>0</v>
      </c>
      <c r="CT105" s="146"/>
      <c r="CU105" s="147">
        <f t="shared" si="61"/>
        <v>0</v>
      </c>
      <c r="CV105" s="156"/>
      <c r="CW105" s="157" t="e">
        <f t="shared" si="62"/>
        <v>#DIV/0!</v>
      </c>
      <c r="CX105" s="157" t="e">
        <f t="shared" si="63"/>
        <v>#DIV/0!</v>
      </c>
      <c r="CY105" s="157" t="e">
        <f t="shared" si="204"/>
        <v>#DIV/0!</v>
      </c>
      <c r="CZ105" s="157" t="e">
        <f t="shared" si="65"/>
        <v>#DIV/0!</v>
      </c>
      <c r="DA105" s="157" t="e">
        <f t="shared" si="66"/>
        <v>#DIV/0!</v>
      </c>
      <c r="DB105" s="158" t="e">
        <f t="shared" si="67"/>
        <v>#DIV/0!</v>
      </c>
      <c r="DC105" s="131"/>
      <c r="DD105" s="159">
        <f t="shared" si="205"/>
        <v>0</v>
      </c>
      <c r="DE105" s="160">
        <f t="shared" si="206"/>
        <v>0</v>
      </c>
      <c r="DF105" s="161">
        <f t="shared" si="207"/>
        <v>0</v>
      </c>
      <c r="DG105" s="162" t="e">
        <f t="shared" si="208"/>
        <v>#DIV/0!</v>
      </c>
      <c r="DH105" s="163">
        <f t="shared" si="209"/>
        <v>0</v>
      </c>
      <c r="DI105" s="164"/>
      <c r="DJ105" s="165">
        <f t="shared" si="232"/>
        <v>0</v>
      </c>
      <c r="DK105" s="166">
        <f t="shared" si="232"/>
        <v>0</v>
      </c>
      <c r="DL105" s="167" t="e">
        <f t="shared" si="210"/>
        <v>#DIV/0!</v>
      </c>
      <c r="DM105" s="168" t="e">
        <f t="shared" si="211"/>
        <v>#DIV/0!</v>
      </c>
      <c r="DN105" s="163" t="e">
        <f t="shared" si="212"/>
        <v>#DIV/0!</v>
      </c>
      <c r="DP105" s="170"/>
      <c r="DQ105" s="171"/>
      <c r="DR105" s="172">
        <f t="shared" si="213"/>
        <v>0</v>
      </c>
      <c r="DS105" s="173" t="e">
        <f t="shared" si="214"/>
        <v>#DIV/0!</v>
      </c>
      <c r="DT105" s="163" t="e">
        <f t="shared" si="215"/>
        <v>#DIV/0!</v>
      </c>
      <c r="DU105" s="174"/>
      <c r="DV105" s="175" t="e">
        <f t="shared" si="216"/>
        <v>#DIV/0!</v>
      </c>
      <c r="DW105" s="163">
        <f t="shared" si="80"/>
        <v>0</v>
      </c>
      <c r="DX105" s="164"/>
      <c r="DY105" s="176">
        <f t="shared" si="217"/>
        <v>0</v>
      </c>
      <c r="DZ105" s="177">
        <f t="shared" si="218"/>
        <v>0</v>
      </c>
      <c r="EA105" s="178">
        <f t="shared" si="219"/>
        <v>0</v>
      </c>
      <c r="EB105" s="179">
        <f t="shared" si="220"/>
        <v>0</v>
      </c>
      <c r="EC105" s="180"/>
      <c r="ED105" s="175" t="e">
        <f t="shared" si="221"/>
        <v>#DIV/0!</v>
      </c>
      <c r="EE105" s="163">
        <f t="shared" si="86"/>
        <v>0</v>
      </c>
      <c r="EF105" s="164"/>
      <c r="EG105" s="181">
        <f t="shared" si="222"/>
        <v>0</v>
      </c>
      <c r="EH105" s="182">
        <f t="shared" si="88"/>
        <v>0</v>
      </c>
      <c r="EI105" s="182">
        <f t="shared" si="89"/>
        <v>0</v>
      </c>
      <c r="EJ105" s="182">
        <f t="shared" si="90"/>
        <v>0</v>
      </c>
      <c r="EK105" s="183">
        <f t="shared" si="223"/>
        <v>0</v>
      </c>
      <c r="EL105" s="184" t="e">
        <f t="shared" si="224"/>
        <v>#DIV/0!</v>
      </c>
      <c r="EM105" s="185">
        <f t="shared" si="225"/>
        <v>0</v>
      </c>
      <c r="EN105" s="164"/>
      <c r="EO105" s="181">
        <f t="shared" si="226"/>
        <v>0</v>
      </c>
      <c r="EP105" s="183">
        <f t="shared" si="227"/>
        <v>0</v>
      </c>
      <c r="EQ105" s="184" t="e">
        <f t="shared" si="96"/>
        <v>#DIV/0!</v>
      </c>
      <c r="ER105" s="185">
        <f t="shared" si="97"/>
        <v>0</v>
      </c>
      <c r="ES105" s="164"/>
      <c r="ET105" s="164"/>
      <c r="EU105" s="186">
        <f t="shared" si="228"/>
        <v>0</v>
      </c>
      <c r="EV105" s="186">
        <f t="shared" si="229"/>
        <v>0</v>
      </c>
      <c r="EW105" s="186">
        <f t="shared" si="100"/>
        <v>0</v>
      </c>
      <c r="EX105" s="186">
        <f t="shared" si="230"/>
        <v>0</v>
      </c>
      <c r="EY105" s="131"/>
      <c r="EZ105" s="187">
        <f t="shared" si="231"/>
        <v>0</v>
      </c>
      <c r="FA105" s="188" t="e">
        <f t="shared" si="103"/>
        <v>#DIV/0!</v>
      </c>
      <c r="FB105" s="189"/>
      <c r="FC105" s="131"/>
      <c r="FD105" s="131"/>
      <c r="FE105" s="131"/>
      <c r="FF105" s="131"/>
      <c r="FG105" s="131"/>
    </row>
    <row r="106" spans="1:164" s="169" customFormat="1" ht="16" hidden="1" outlineLevel="1" thickBot="1" x14ac:dyDescent="0.4">
      <c r="B106" s="358"/>
      <c r="C106" s="355"/>
      <c r="D106" s="243"/>
      <c r="E106" s="244"/>
      <c r="F106" s="135"/>
      <c r="G106" s="192"/>
      <c r="H106" s="245"/>
      <c r="I106" s="138">
        <f t="shared" si="56"/>
        <v>0</v>
      </c>
      <c r="J106" s="139"/>
      <c r="K106" s="208">
        <f t="shared" si="233"/>
        <v>0</v>
      </c>
      <c r="L106" s="141"/>
      <c r="M106" s="209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09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1"/>
      <c r="AN106" s="212">
        <f t="shared" si="58"/>
        <v>0</v>
      </c>
      <c r="AO106" s="146"/>
      <c r="AP106" s="147">
        <f t="shared" si="59"/>
        <v>0</v>
      </c>
      <c r="AQ106" s="148"/>
      <c r="AR106" s="213"/>
      <c r="AS106" s="213"/>
      <c r="AT106" s="135"/>
      <c r="AU106" s="214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6"/>
      <c r="BG106" s="216"/>
      <c r="BH106" s="216"/>
      <c r="BI106" s="216"/>
      <c r="BJ106" s="216"/>
      <c r="BK106" s="216"/>
      <c r="BL106" s="216"/>
      <c r="BM106" s="216"/>
      <c r="BN106" s="216"/>
      <c r="BO106" s="216"/>
      <c r="BP106" s="216"/>
      <c r="BQ106" s="216"/>
      <c r="BR106" s="214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7"/>
      <c r="CD106" s="214"/>
      <c r="CE106" s="209"/>
      <c r="CF106" s="210"/>
      <c r="CG106" s="210"/>
      <c r="CH106" s="210"/>
      <c r="CI106" s="210"/>
      <c r="CJ106" s="210"/>
      <c r="CK106" s="210"/>
      <c r="CL106" s="210"/>
      <c r="CM106" s="210"/>
      <c r="CN106" s="211"/>
      <c r="CO106" s="215"/>
      <c r="CP106" s="215"/>
      <c r="CQ106" s="216"/>
      <c r="CR106" s="217"/>
      <c r="CS106" s="218">
        <f t="shared" si="203"/>
        <v>0</v>
      </c>
      <c r="CT106" s="146"/>
      <c r="CU106" s="147">
        <f t="shared" si="61"/>
        <v>0</v>
      </c>
      <c r="CV106" s="156"/>
      <c r="CW106" s="157" t="e">
        <f t="shared" si="62"/>
        <v>#DIV/0!</v>
      </c>
      <c r="CX106" s="157" t="e">
        <f t="shared" si="63"/>
        <v>#DIV/0!</v>
      </c>
      <c r="CY106" s="157" t="e">
        <f t="shared" si="204"/>
        <v>#DIV/0!</v>
      </c>
      <c r="CZ106" s="157" t="e">
        <f t="shared" si="65"/>
        <v>#DIV/0!</v>
      </c>
      <c r="DA106" s="157" t="e">
        <f t="shared" si="66"/>
        <v>#DIV/0!</v>
      </c>
      <c r="DB106" s="158" t="e">
        <f t="shared" si="67"/>
        <v>#DIV/0!</v>
      </c>
      <c r="DC106" s="131"/>
      <c r="DD106" s="159">
        <f t="shared" si="205"/>
        <v>0</v>
      </c>
      <c r="DE106" s="160">
        <f t="shared" si="206"/>
        <v>0</v>
      </c>
      <c r="DF106" s="161">
        <f t="shared" si="207"/>
        <v>0</v>
      </c>
      <c r="DG106" s="162" t="e">
        <f t="shared" si="208"/>
        <v>#DIV/0!</v>
      </c>
      <c r="DH106" s="163">
        <f t="shared" si="209"/>
        <v>0</v>
      </c>
      <c r="DI106" s="164"/>
      <c r="DJ106" s="165">
        <f t="shared" si="232"/>
        <v>0</v>
      </c>
      <c r="DK106" s="166">
        <f t="shared" si="232"/>
        <v>0</v>
      </c>
      <c r="DL106" s="167" t="e">
        <f t="shared" si="210"/>
        <v>#DIV/0!</v>
      </c>
      <c r="DM106" s="168" t="e">
        <f t="shared" si="211"/>
        <v>#DIV/0!</v>
      </c>
      <c r="DN106" s="163" t="e">
        <f t="shared" si="212"/>
        <v>#DIV/0!</v>
      </c>
      <c r="DP106" s="170"/>
      <c r="DQ106" s="171"/>
      <c r="DR106" s="172">
        <f t="shared" si="213"/>
        <v>0</v>
      </c>
      <c r="DS106" s="173" t="e">
        <f t="shared" si="214"/>
        <v>#DIV/0!</v>
      </c>
      <c r="DT106" s="163" t="e">
        <f t="shared" si="215"/>
        <v>#DIV/0!</v>
      </c>
      <c r="DU106" s="174"/>
      <c r="DV106" s="175" t="e">
        <f t="shared" si="216"/>
        <v>#DIV/0!</v>
      </c>
      <c r="DW106" s="163">
        <f t="shared" si="80"/>
        <v>0</v>
      </c>
      <c r="DX106" s="164"/>
      <c r="DY106" s="176">
        <f t="shared" si="217"/>
        <v>0</v>
      </c>
      <c r="DZ106" s="177">
        <f t="shared" si="218"/>
        <v>0</v>
      </c>
      <c r="EA106" s="178">
        <f t="shared" si="219"/>
        <v>0</v>
      </c>
      <c r="EB106" s="179">
        <f t="shared" si="220"/>
        <v>0</v>
      </c>
      <c r="EC106" s="180"/>
      <c r="ED106" s="175" t="e">
        <f t="shared" si="221"/>
        <v>#DIV/0!</v>
      </c>
      <c r="EE106" s="163">
        <f t="shared" si="86"/>
        <v>0</v>
      </c>
      <c r="EF106" s="164"/>
      <c r="EG106" s="181">
        <f t="shared" si="222"/>
        <v>0</v>
      </c>
      <c r="EH106" s="182">
        <f t="shared" si="88"/>
        <v>0</v>
      </c>
      <c r="EI106" s="182">
        <f t="shared" si="89"/>
        <v>0</v>
      </c>
      <c r="EJ106" s="182">
        <f t="shared" si="90"/>
        <v>0</v>
      </c>
      <c r="EK106" s="183">
        <f t="shared" si="223"/>
        <v>0</v>
      </c>
      <c r="EL106" s="184" t="e">
        <f t="shared" si="224"/>
        <v>#DIV/0!</v>
      </c>
      <c r="EM106" s="185">
        <f t="shared" si="225"/>
        <v>0</v>
      </c>
      <c r="EN106" s="164"/>
      <c r="EO106" s="181">
        <f t="shared" si="226"/>
        <v>0</v>
      </c>
      <c r="EP106" s="183">
        <f t="shared" si="227"/>
        <v>0</v>
      </c>
      <c r="EQ106" s="184" t="e">
        <f t="shared" si="96"/>
        <v>#DIV/0!</v>
      </c>
      <c r="ER106" s="185">
        <f t="shared" si="97"/>
        <v>0</v>
      </c>
      <c r="ES106" s="164"/>
      <c r="ET106" s="164"/>
      <c r="EU106" s="186">
        <f t="shared" si="228"/>
        <v>0</v>
      </c>
      <c r="EV106" s="186">
        <f t="shared" si="229"/>
        <v>0</v>
      </c>
      <c r="EW106" s="186">
        <f t="shared" si="100"/>
        <v>0</v>
      </c>
      <c r="EX106" s="186">
        <f t="shared" si="230"/>
        <v>0</v>
      </c>
      <c r="EY106" s="131"/>
      <c r="EZ106" s="187">
        <f t="shared" si="231"/>
        <v>0</v>
      </c>
      <c r="FA106" s="188" t="e">
        <f t="shared" si="103"/>
        <v>#DIV/0!</v>
      </c>
      <c r="FB106" s="189"/>
      <c r="FC106" s="131"/>
      <c r="FD106" s="131"/>
      <c r="FE106" s="131"/>
      <c r="FF106" s="131"/>
      <c r="FG106" s="131"/>
    </row>
    <row r="107" spans="1:164" s="220" customFormat="1" ht="69" customHeight="1" thickBot="1" x14ac:dyDescent="0.35">
      <c r="B107" s="329"/>
      <c r="C107" s="132"/>
      <c r="D107" s="131"/>
      <c r="E107" s="246">
        <f>SUM(E5:E106)</f>
        <v>0</v>
      </c>
      <c r="F107" s="247"/>
      <c r="G107" s="248">
        <f>SUM(G5:G103)</f>
        <v>0</v>
      </c>
      <c r="H107" s="249"/>
      <c r="I107" s="250"/>
      <c r="J107" s="251"/>
      <c r="K107" s="252">
        <f>SUMIF(K5:K106,"&gt;0")</f>
        <v>0</v>
      </c>
      <c r="L107" s="253">
        <f>SUM(L5:L103)</f>
        <v>0</v>
      </c>
      <c r="M107" s="254">
        <f t="shared" ref="M107:AN107" si="234">SUM(M5:M106)</f>
        <v>0</v>
      </c>
      <c r="N107" s="254">
        <f t="shared" si="234"/>
        <v>0</v>
      </c>
      <c r="O107" s="254">
        <f t="shared" si="234"/>
        <v>0</v>
      </c>
      <c r="P107" s="254">
        <f t="shared" si="234"/>
        <v>0</v>
      </c>
      <c r="Q107" s="254">
        <f t="shared" si="234"/>
        <v>0</v>
      </c>
      <c r="R107" s="254">
        <f t="shared" si="234"/>
        <v>480</v>
      </c>
      <c r="S107" s="254">
        <f t="shared" si="234"/>
        <v>0</v>
      </c>
      <c r="T107" s="254">
        <f t="shared" si="234"/>
        <v>0</v>
      </c>
      <c r="U107" s="254">
        <f t="shared" si="234"/>
        <v>0</v>
      </c>
      <c r="V107" s="254">
        <f t="shared" si="234"/>
        <v>0</v>
      </c>
      <c r="W107" s="254">
        <f t="shared" si="234"/>
        <v>0</v>
      </c>
      <c r="X107" s="254">
        <f t="shared" si="234"/>
        <v>0</v>
      </c>
      <c r="Y107" s="254">
        <f t="shared" si="234"/>
        <v>0</v>
      </c>
      <c r="Z107" s="254">
        <f t="shared" si="234"/>
        <v>0</v>
      </c>
      <c r="AA107" s="254">
        <f t="shared" si="234"/>
        <v>0</v>
      </c>
      <c r="AB107" s="254">
        <f t="shared" si="234"/>
        <v>0</v>
      </c>
      <c r="AC107" s="254">
        <f t="shared" si="234"/>
        <v>0</v>
      </c>
      <c r="AD107" s="254">
        <f t="shared" si="234"/>
        <v>0</v>
      </c>
      <c r="AE107" s="254">
        <f t="shared" si="234"/>
        <v>0</v>
      </c>
      <c r="AF107" s="254">
        <f t="shared" si="234"/>
        <v>0</v>
      </c>
      <c r="AG107" s="254">
        <f t="shared" si="234"/>
        <v>0</v>
      </c>
      <c r="AH107" s="254">
        <f t="shared" si="234"/>
        <v>0</v>
      </c>
      <c r="AI107" s="254">
        <f t="shared" si="234"/>
        <v>0</v>
      </c>
      <c r="AJ107" s="254">
        <f t="shared" si="234"/>
        <v>0</v>
      </c>
      <c r="AK107" s="254">
        <f t="shared" si="234"/>
        <v>0</v>
      </c>
      <c r="AL107" s="254">
        <f t="shared" si="234"/>
        <v>0</v>
      </c>
      <c r="AM107" s="255">
        <f t="shared" si="234"/>
        <v>0</v>
      </c>
      <c r="AN107" s="252">
        <f t="shared" si="234"/>
        <v>480</v>
      </c>
      <c r="AO107" s="256"/>
      <c r="AP107" s="333">
        <f>K107-(SUM(M107:AM107))</f>
        <v>-480</v>
      </c>
      <c r="AQ107" s="257"/>
      <c r="AR107" s="258">
        <f>SUMIF(AR5:AR106,"&gt;0")</f>
        <v>0</v>
      </c>
      <c r="AS107" s="259"/>
      <c r="AT107" s="257"/>
      <c r="AU107" s="260">
        <f t="shared" ref="AU107:BZ107" si="235">SUM(AU5:AU106)</f>
        <v>0</v>
      </c>
      <c r="AV107" s="260">
        <f t="shared" si="235"/>
        <v>0</v>
      </c>
      <c r="AW107" s="260">
        <f t="shared" si="235"/>
        <v>0</v>
      </c>
      <c r="AX107" s="260">
        <f t="shared" si="235"/>
        <v>0</v>
      </c>
      <c r="AY107" s="260">
        <f t="shared" si="235"/>
        <v>0</v>
      </c>
      <c r="AZ107" s="260">
        <f t="shared" si="235"/>
        <v>0</v>
      </c>
      <c r="BA107" s="260">
        <f t="shared" si="235"/>
        <v>0</v>
      </c>
      <c r="BB107" s="260">
        <f t="shared" si="235"/>
        <v>0</v>
      </c>
      <c r="BC107" s="260">
        <f t="shared" si="235"/>
        <v>0</v>
      </c>
      <c r="BD107" s="260">
        <f t="shared" si="235"/>
        <v>0</v>
      </c>
      <c r="BE107" s="260">
        <f t="shared" si="235"/>
        <v>0</v>
      </c>
      <c r="BF107" s="260">
        <f t="shared" si="235"/>
        <v>0</v>
      </c>
      <c r="BG107" s="260">
        <f t="shared" si="235"/>
        <v>0</v>
      </c>
      <c r="BH107" s="260">
        <f t="shared" si="235"/>
        <v>0</v>
      </c>
      <c r="BI107" s="260">
        <f t="shared" si="235"/>
        <v>0</v>
      </c>
      <c r="BJ107" s="260">
        <f t="shared" si="235"/>
        <v>0</v>
      </c>
      <c r="BK107" s="260">
        <f t="shared" si="235"/>
        <v>0</v>
      </c>
      <c r="BL107" s="260">
        <f t="shared" si="235"/>
        <v>0</v>
      </c>
      <c r="BM107" s="260">
        <f t="shared" si="235"/>
        <v>0</v>
      </c>
      <c r="BN107" s="260">
        <f t="shared" si="235"/>
        <v>0</v>
      </c>
      <c r="BO107" s="260">
        <f t="shared" si="235"/>
        <v>0</v>
      </c>
      <c r="BP107" s="260">
        <f t="shared" si="235"/>
        <v>0</v>
      </c>
      <c r="BQ107" s="260">
        <f t="shared" si="235"/>
        <v>0</v>
      </c>
      <c r="BR107" s="260">
        <f t="shared" si="235"/>
        <v>0</v>
      </c>
      <c r="BS107" s="260">
        <f t="shared" si="235"/>
        <v>0</v>
      </c>
      <c r="BT107" s="260">
        <f t="shared" si="235"/>
        <v>0</v>
      </c>
      <c r="BU107" s="260">
        <f t="shared" si="235"/>
        <v>0</v>
      </c>
      <c r="BV107" s="260">
        <f t="shared" si="235"/>
        <v>0</v>
      </c>
      <c r="BW107" s="260">
        <f t="shared" si="235"/>
        <v>0</v>
      </c>
      <c r="BX107" s="260">
        <f t="shared" si="235"/>
        <v>0</v>
      </c>
      <c r="BY107" s="260">
        <f t="shared" si="235"/>
        <v>0</v>
      </c>
      <c r="BZ107" s="260">
        <f t="shared" si="235"/>
        <v>0</v>
      </c>
      <c r="CA107" s="260">
        <f t="shared" ref="CA107:CR107" si="236">SUM(CA5:CA106)</f>
        <v>0</v>
      </c>
      <c r="CB107" s="260">
        <f t="shared" si="236"/>
        <v>0</v>
      </c>
      <c r="CC107" s="260">
        <f t="shared" si="236"/>
        <v>0</v>
      </c>
      <c r="CD107" s="260">
        <f t="shared" si="236"/>
        <v>0</v>
      </c>
      <c r="CE107" s="254">
        <f t="shared" si="236"/>
        <v>0</v>
      </c>
      <c r="CF107" s="254">
        <f t="shared" si="236"/>
        <v>0</v>
      </c>
      <c r="CG107" s="254">
        <f t="shared" si="236"/>
        <v>0</v>
      </c>
      <c r="CH107" s="254">
        <f t="shared" si="236"/>
        <v>0</v>
      </c>
      <c r="CI107" s="254">
        <f t="shared" si="236"/>
        <v>0</v>
      </c>
      <c r="CJ107" s="254">
        <f t="shared" si="236"/>
        <v>0</v>
      </c>
      <c r="CK107" s="254">
        <f t="shared" si="236"/>
        <v>0</v>
      </c>
      <c r="CL107" s="254">
        <f t="shared" si="236"/>
        <v>0</v>
      </c>
      <c r="CM107" s="254">
        <f t="shared" si="236"/>
        <v>0</v>
      </c>
      <c r="CN107" s="255">
        <f t="shared" si="236"/>
        <v>0</v>
      </c>
      <c r="CO107" s="260">
        <f t="shared" si="236"/>
        <v>0</v>
      </c>
      <c r="CP107" s="260">
        <f t="shared" si="236"/>
        <v>0</v>
      </c>
      <c r="CQ107" s="260">
        <f t="shared" si="236"/>
        <v>0</v>
      </c>
      <c r="CR107" s="260">
        <f t="shared" si="236"/>
        <v>0</v>
      </c>
      <c r="CS107" s="261">
        <f>SUMIF(CS5:CS106,"&gt;0")</f>
        <v>0</v>
      </c>
      <c r="CT107" s="262"/>
      <c r="CU107" s="263">
        <f>SUMIF(CU5:CU106,"&gt;0")</f>
        <v>0</v>
      </c>
      <c r="CV107" s="264"/>
      <c r="CW107" s="265" t="e">
        <f>(SUM(M107:Z107))/K107</f>
        <v>#DIV/0!</v>
      </c>
      <c r="CX107" s="265" t="e">
        <f t="shared" si="63"/>
        <v>#DIV/0!</v>
      </c>
      <c r="CY107" s="265" t="e">
        <f t="shared" si="64"/>
        <v>#DIV/0!</v>
      </c>
      <c r="CZ107" s="265" t="e">
        <f t="shared" si="65"/>
        <v>#DIV/0!</v>
      </c>
      <c r="DA107" s="265" t="e">
        <f t="shared" si="66"/>
        <v>#DIV/0!</v>
      </c>
      <c r="DB107" s="266" t="e">
        <f t="shared" si="67"/>
        <v>#DIV/0!</v>
      </c>
      <c r="DC107" s="267"/>
      <c r="DD107" s="268">
        <f>SUMIF(DD5:DD106,"&gt;0")</f>
        <v>0</v>
      </c>
      <c r="DE107" s="268">
        <f>SUMIF(DE5:DE106,"&gt;0")</f>
        <v>0</v>
      </c>
      <c r="DF107" s="269">
        <f t="shared" si="207"/>
        <v>0</v>
      </c>
      <c r="DG107" s="270" t="e">
        <f>(SUMIF(DG5:DG106,"&gt;0"))/DH107</f>
        <v>#DIV/0!</v>
      </c>
      <c r="DH107" s="271">
        <f>COUNTIF(DH5:DH106,1)</f>
        <v>0</v>
      </c>
      <c r="DI107" s="272"/>
      <c r="DJ107" s="273"/>
      <c r="DK107" s="274">
        <f>SUMIF(DK5:DK106,"&gt;0")</f>
        <v>0</v>
      </c>
      <c r="DL107" s="268">
        <f>SUMIF(DL5:DL106,"&gt;0")</f>
        <v>0</v>
      </c>
      <c r="DM107" s="270" t="e">
        <f>(SUMIF(DM5:DM106,"&gt;0"))/DN107</f>
        <v>#DIV/0!</v>
      </c>
      <c r="DN107" s="331">
        <f>COUNTIF(DN5:DN106,1)</f>
        <v>0</v>
      </c>
      <c r="DO107" s="275"/>
      <c r="DP107" s="276">
        <f>SUMIF(DP5:DP106,"&gt;0")</f>
        <v>0</v>
      </c>
      <c r="DQ107" s="277">
        <f>SUMIF(DQ5:DQ106,"&gt;0")</f>
        <v>0</v>
      </c>
      <c r="DR107" s="278">
        <f t="shared" si="213"/>
        <v>0</v>
      </c>
      <c r="DS107" s="270" t="e">
        <f>(SUMIF(DS5:DS106,"&gt;0"))/DT107</f>
        <v>#DIV/0!</v>
      </c>
      <c r="DT107" s="331">
        <f>COUNTIF(DT5:DT106,1)</f>
        <v>0</v>
      </c>
      <c r="DU107" s="279"/>
      <c r="DV107" s="280" t="e">
        <f>(SUMIF(DV5:DV106,"&gt;0"))/DW107</f>
        <v>#DIV/0!</v>
      </c>
      <c r="DW107" s="331">
        <f>COUNTIF(DW5:DW106,1)</f>
        <v>0</v>
      </c>
      <c r="DX107" s="279"/>
      <c r="DY107" s="277">
        <f t="shared" si="81"/>
        <v>0</v>
      </c>
      <c r="DZ107" s="281">
        <v>2.0299999999999998</v>
      </c>
      <c r="EA107" s="282">
        <f>SUMIF(EA5:EA103,"&gt;0")</f>
        <v>0</v>
      </c>
      <c r="EB107" s="277">
        <f>SUMIF(EB5:EB106,"&gt;0")</f>
        <v>0</v>
      </c>
      <c r="EC107" s="283"/>
      <c r="ED107" s="280" t="e">
        <f>(SUMIF(ED5:ED106,"&gt;0"))/EE107</f>
        <v>#DIV/0!</v>
      </c>
      <c r="EE107" s="331">
        <f>COUNTIF(EE5:EE106,1)</f>
        <v>0</v>
      </c>
      <c r="EF107" s="272"/>
      <c r="EG107" s="284">
        <f>SUMIF(EG5:EG106,"&gt;0")</f>
        <v>0</v>
      </c>
      <c r="EH107" s="284">
        <f>SUMIF(EH5:EH106,"&gt;0")</f>
        <v>0</v>
      </c>
      <c r="EI107" s="284">
        <f>SUMIF(EI5:EI106,"&gt;0")</f>
        <v>480</v>
      </c>
      <c r="EJ107" s="285"/>
      <c r="EK107" s="284">
        <f>SUMIF(EK5:EK106,"&gt;0")</f>
        <v>0</v>
      </c>
      <c r="EL107" s="280" t="e">
        <f>(SUMIF(EL5:EL106,"&gt;0"))/EM107</f>
        <v>#DIV/0!</v>
      </c>
      <c r="EM107" s="271">
        <f>COUNTIF(EM5:EM106,1)</f>
        <v>0</v>
      </c>
      <c r="EN107" s="272"/>
      <c r="EO107" s="284">
        <f>SUMIF(EO5:EO106,"&gt;0")</f>
        <v>0</v>
      </c>
      <c r="EP107" s="284">
        <f>SUMIF(EP5:EP106,"&gt;0")</f>
        <v>0</v>
      </c>
      <c r="EQ107" s="280" t="e">
        <f>(SUMIF(EQ5:EQ106,"&gt;0"))/ER107</f>
        <v>#DIV/0!</v>
      </c>
      <c r="ER107" s="271">
        <f>COUNTIF(ER5:ER106,1)</f>
        <v>0</v>
      </c>
      <c r="ES107" s="272"/>
      <c r="ET107" s="272"/>
      <c r="EU107" s="286">
        <f t="shared" si="98"/>
        <v>0</v>
      </c>
      <c r="EV107" s="286">
        <f>SUMIF(EV5:EV106,"&gt;0")</f>
        <v>0</v>
      </c>
      <c r="EW107" s="286">
        <f>SUMIF(EW5:EW106,"&gt;0")</f>
        <v>0</v>
      </c>
      <c r="EX107" s="286">
        <f>SUMIF(EX5:EX106,"&gt;0")</f>
        <v>0</v>
      </c>
      <c r="EY107" s="287"/>
      <c r="EZ107" s="286">
        <f>SUMIF(EZ5:EZ106,"&gt;0")</f>
        <v>0</v>
      </c>
      <c r="FA107" s="288">
        <f>SUMIF(FA5:FA106,"&gt;0")</f>
        <v>0</v>
      </c>
      <c r="FB107" s="332"/>
      <c r="FC107" s="267"/>
      <c r="FD107" s="131"/>
      <c r="FE107" s="219"/>
      <c r="FF107" s="219"/>
      <c r="FG107" s="219"/>
    </row>
    <row r="108" spans="1:164" s="302" customFormat="1" ht="54" customHeight="1" thickBot="1" x14ac:dyDescent="0.3">
      <c r="A108" s="289"/>
      <c r="B108" s="329"/>
      <c r="C108" s="132"/>
      <c r="D108" s="131"/>
      <c r="E108" s="421" t="s">
        <v>73</v>
      </c>
      <c r="F108" s="422"/>
      <c r="G108" s="422"/>
      <c r="H108" s="422"/>
      <c r="I108" s="422"/>
      <c r="J108" s="422"/>
      <c r="K108" s="423"/>
      <c r="L108" s="290"/>
      <c r="M108" s="291">
        <f t="shared" ref="M108:AM108" si="237">M107/($AN107+$CS107)</f>
        <v>0</v>
      </c>
      <c r="N108" s="291">
        <f t="shared" si="237"/>
        <v>0</v>
      </c>
      <c r="O108" s="291">
        <f t="shared" si="237"/>
        <v>0</v>
      </c>
      <c r="P108" s="291">
        <f t="shared" si="237"/>
        <v>0</v>
      </c>
      <c r="Q108" s="291">
        <f t="shared" si="237"/>
        <v>0</v>
      </c>
      <c r="R108" s="291">
        <f t="shared" si="237"/>
        <v>1</v>
      </c>
      <c r="S108" s="291">
        <f t="shared" si="237"/>
        <v>0</v>
      </c>
      <c r="T108" s="291">
        <f t="shared" si="237"/>
        <v>0</v>
      </c>
      <c r="U108" s="291">
        <f t="shared" si="237"/>
        <v>0</v>
      </c>
      <c r="V108" s="291">
        <f t="shared" si="237"/>
        <v>0</v>
      </c>
      <c r="W108" s="291">
        <f t="shared" si="237"/>
        <v>0</v>
      </c>
      <c r="X108" s="291">
        <f t="shared" si="237"/>
        <v>0</v>
      </c>
      <c r="Y108" s="291">
        <f t="shared" si="237"/>
        <v>0</v>
      </c>
      <c r="Z108" s="291">
        <f t="shared" si="237"/>
        <v>0</v>
      </c>
      <c r="AA108" s="291">
        <f t="shared" si="237"/>
        <v>0</v>
      </c>
      <c r="AB108" s="291">
        <f t="shared" si="237"/>
        <v>0</v>
      </c>
      <c r="AC108" s="291">
        <f t="shared" si="237"/>
        <v>0</v>
      </c>
      <c r="AD108" s="291">
        <f t="shared" si="237"/>
        <v>0</v>
      </c>
      <c r="AE108" s="291">
        <f t="shared" si="237"/>
        <v>0</v>
      </c>
      <c r="AF108" s="291">
        <f t="shared" si="237"/>
        <v>0</v>
      </c>
      <c r="AG108" s="291">
        <f t="shared" si="237"/>
        <v>0</v>
      </c>
      <c r="AH108" s="291">
        <f t="shared" si="237"/>
        <v>0</v>
      </c>
      <c r="AI108" s="291">
        <f t="shared" si="237"/>
        <v>0</v>
      </c>
      <c r="AJ108" s="291">
        <f t="shared" si="237"/>
        <v>0</v>
      </c>
      <c r="AK108" s="291">
        <f t="shared" si="237"/>
        <v>0</v>
      </c>
      <c r="AL108" s="291">
        <f t="shared" si="237"/>
        <v>0</v>
      </c>
      <c r="AM108" s="291">
        <f t="shared" si="237"/>
        <v>0</v>
      </c>
      <c r="AN108" s="292"/>
      <c r="AO108" s="292"/>
      <c r="AP108" s="293"/>
      <c r="AQ108" s="293"/>
      <c r="AR108" s="292"/>
      <c r="AS108" s="292"/>
      <c r="AT108" s="293"/>
      <c r="AU108" s="291">
        <f t="shared" ref="AU108:CR108" si="238">AU107/($AN107+$CS107)</f>
        <v>0</v>
      </c>
      <c r="AV108" s="291">
        <f t="shared" si="238"/>
        <v>0</v>
      </c>
      <c r="AW108" s="291">
        <f t="shared" si="238"/>
        <v>0</v>
      </c>
      <c r="AX108" s="291">
        <f t="shared" si="238"/>
        <v>0</v>
      </c>
      <c r="AY108" s="291">
        <f t="shared" si="238"/>
        <v>0</v>
      </c>
      <c r="AZ108" s="291">
        <f t="shared" si="238"/>
        <v>0</v>
      </c>
      <c r="BA108" s="291">
        <f t="shared" si="238"/>
        <v>0</v>
      </c>
      <c r="BB108" s="291">
        <f t="shared" si="238"/>
        <v>0</v>
      </c>
      <c r="BC108" s="291">
        <f t="shared" si="238"/>
        <v>0</v>
      </c>
      <c r="BD108" s="291">
        <f t="shared" si="238"/>
        <v>0</v>
      </c>
      <c r="BE108" s="291">
        <f t="shared" si="238"/>
        <v>0</v>
      </c>
      <c r="BF108" s="291">
        <f t="shared" si="238"/>
        <v>0</v>
      </c>
      <c r="BG108" s="291">
        <f t="shared" si="238"/>
        <v>0</v>
      </c>
      <c r="BH108" s="291">
        <f t="shared" si="238"/>
        <v>0</v>
      </c>
      <c r="BI108" s="291">
        <f t="shared" si="238"/>
        <v>0</v>
      </c>
      <c r="BJ108" s="291">
        <f t="shared" si="238"/>
        <v>0</v>
      </c>
      <c r="BK108" s="291">
        <f t="shared" si="238"/>
        <v>0</v>
      </c>
      <c r="BL108" s="291">
        <f t="shared" si="238"/>
        <v>0</v>
      </c>
      <c r="BM108" s="291">
        <f t="shared" si="238"/>
        <v>0</v>
      </c>
      <c r="BN108" s="291">
        <f t="shared" si="238"/>
        <v>0</v>
      </c>
      <c r="BO108" s="291">
        <f t="shared" si="238"/>
        <v>0</v>
      </c>
      <c r="BP108" s="291">
        <f t="shared" si="238"/>
        <v>0</v>
      </c>
      <c r="BQ108" s="291">
        <f t="shared" si="238"/>
        <v>0</v>
      </c>
      <c r="BR108" s="291">
        <f t="shared" si="238"/>
        <v>0</v>
      </c>
      <c r="BS108" s="291">
        <f t="shared" si="238"/>
        <v>0</v>
      </c>
      <c r="BT108" s="291">
        <f t="shared" si="238"/>
        <v>0</v>
      </c>
      <c r="BU108" s="291">
        <f t="shared" si="238"/>
        <v>0</v>
      </c>
      <c r="BV108" s="291">
        <f t="shared" si="238"/>
        <v>0</v>
      </c>
      <c r="BW108" s="291">
        <f t="shared" si="238"/>
        <v>0</v>
      </c>
      <c r="BX108" s="291">
        <f t="shared" si="238"/>
        <v>0</v>
      </c>
      <c r="BY108" s="291">
        <f t="shared" si="238"/>
        <v>0</v>
      </c>
      <c r="BZ108" s="291">
        <f t="shared" si="238"/>
        <v>0</v>
      </c>
      <c r="CA108" s="291">
        <f t="shared" si="238"/>
        <v>0</v>
      </c>
      <c r="CB108" s="291">
        <f t="shared" si="238"/>
        <v>0</v>
      </c>
      <c r="CC108" s="291">
        <f t="shared" si="238"/>
        <v>0</v>
      </c>
      <c r="CD108" s="291">
        <f t="shared" si="238"/>
        <v>0</v>
      </c>
      <c r="CE108" s="291">
        <f t="shared" si="238"/>
        <v>0</v>
      </c>
      <c r="CF108" s="291">
        <f t="shared" si="238"/>
        <v>0</v>
      </c>
      <c r="CG108" s="291">
        <f t="shared" si="238"/>
        <v>0</v>
      </c>
      <c r="CH108" s="291">
        <f t="shared" si="238"/>
        <v>0</v>
      </c>
      <c r="CI108" s="291">
        <f t="shared" si="238"/>
        <v>0</v>
      </c>
      <c r="CJ108" s="291">
        <f t="shared" si="238"/>
        <v>0</v>
      </c>
      <c r="CK108" s="291">
        <f t="shared" si="238"/>
        <v>0</v>
      </c>
      <c r="CL108" s="291">
        <f t="shared" si="238"/>
        <v>0</v>
      </c>
      <c r="CM108" s="291">
        <f t="shared" si="238"/>
        <v>0</v>
      </c>
      <c r="CN108" s="291">
        <f t="shared" si="238"/>
        <v>0</v>
      </c>
      <c r="CO108" s="291">
        <f t="shared" si="238"/>
        <v>0</v>
      </c>
      <c r="CP108" s="291">
        <f t="shared" si="238"/>
        <v>0</v>
      </c>
      <c r="CQ108" s="291">
        <f t="shared" si="238"/>
        <v>0</v>
      </c>
      <c r="CR108" s="291">
        <f t="shared" si="238"/>
        <v>0</v>
      </c>
      <c r="CS108" s="292"/>
      <c r="CT108" s="292"/>
      <c r="CU108" s="292"/>
      <c r="CV108" s="292"/>
      <c r="CW108" s="294"/>
      <c r="CX108" s="295"/>
      <c r="CY108" s="296"/>
      <c r="CZ108" s="296"/>
      <c r="DA108" s="296"/>
      <c r="DB108" s="272"/>
      <c r="DC108" s="292"/>
      <c r="DD108" s="272"/>
      <c r="DE108" s="272"/>
      <c r="DF108" s="272"/>
      <c r="DG108" s="297"/>
      <c r="DH108" s="298"/>
      <c r="DI108" s="272"/>
      <c r="DJ108" s="272"/>
      <c r="DK108" s="272"/>
      <c r="DL108" s="272"/>
      <c r="DM108" s="297"/>
      <c r="DN108" s="298"/>
      <c r="DO108" s="272"/>
      <c r="DP108" s="272"/>
      <c r="DQ108" s="272"/>
      <c r="DR108" s="272"/>
      <c r="DS108" s="297"/>
      <c r="DT108" s="298"/>
      <c r="DU108" s="272"/>
      <c r="DV108" s="272"/>
      <c r="DW108" s="298"/>
      <c r="DX108" s="272"/>
      <c r="DY108" s="272"/>
      <c r="DZ108" s="272"/>
      <c r="EA108" s="272"/>
      <c r="EB108" s="272"/>
      <c r="EC108" s="272"/>
      <c r="ED108" s="272"/>
      <c r="EE108" s="298"/>
      <c r="EF108" s="272"/>
      <c r="EG108" s="272"/>
      <c r="EH108" s="272"/>
      <c r="EI108" s="272"/>
      <c r="EJ108" s="272"/>
      <c r="EK108" s="272"/>
      <c r="EL108" s="272"/>
      <c r="EM108" s="298"/>
      <c r="EN108" s="272"/>
      <c r="EO108" s="272"/>
      <c r="EP108" s="272"/>
      <c r="EQ108" s="272"/>
      <c r="ER108" s="298"/>
      <c r="ES108" s="272"/>
      <c r="ET108" s="272"/>
      <c r="EU108" s="272"/>
      <c r="EV108" s="272"/>
      <c r="EW108" s="272"/>
      <c r="EX108" s="272"/>
      <c r="EY108" s="272"/>
      <c r="EZ108" s="272"/>
      <c r="FA108" s="299"/>
      <c r="FB108" s="300"/>
      <c r="FC108" s="272"/>
      <c r="FD108" s="272"/>
      <c r="FE108" s="301"/>
      <c r="FF108" s="301"/>
      <c r="FG108" s="301"/>
      <c r="FH108" s="289"/>
    </row>
    <row r="109" spans="1:164" s="302" customFormat="1" ht="54" customHeight="1" thickBot="1" x14ac:dyDescent="0.3">
      <c r="A109" s="289"/>
      <c r="B109" s="329"/>
      <c r="C109" s="132"/>
      <c r="D109" s="131"/>
      <c r="E109" s="424" t="s">
        <v>74</v>
      </c>
      <c r="F109" s="425"/>
      <c r="G109" s="425"/>
      <c r="H109" s="425"/>
      <c r="I109" s="425"/>
      <c r="J109" s="425"/>
      <c r="K109" s="426"/>
      <c r="L109" s="303"/>
      <c r="M109" s="304" t="e">
        <f t="shared" ref="M109:AM109" si="239">M107/$K107</f>
        <v>#DIV/0!</v>
      </c>
      <c r="N109" s="304" t="e">
        <f t="shared" si="239"/>
        <v>#DIV/0!</v>
      </c>
      <c r="O109" s="304" t="e">
        <f t="shared" si="239"/>
        <v>#DIV/0!</v>
      </c>
      <c r="P109" s="304" t="e">
        <f t="shared" si="239"/>
        <v>#DIV/0!</v>
      </c>
      <c r="Q109" s="304" t="e">
        <f t="shared" si="239"/>
        <v>#DIV/0!</v>
      </c>
      <c r="R109" s="304" t="e">
        <f t="shared" si="239"/>
        <v>#DIV/0!</v>
      </c>
      <c r="S109" s="304" t="e">
        <f t="shared" si="239"/>
        <v>#DIV/0!</v>
      </c>
      <c r="T109" s="304" t="e">
        <f t="shared" si="239"/>
        <v>#DIV/0!</v>
      </c>
      <c r="U109" s="304" t="e">
        <f t="shared" si="239"/>
        <v>#DIV/0!</v>
      </c>
      <c r="V109" s="304" t="e">
        <f t="shared" si="239"/>
        <v>#DIV/0!</v>
      </c>
      <c r="W109" s="304" t="e">
        <f t="shared" si="239"/>
        <v>#DIV/0!</v>
      </c>
      <c r="X109" s="304" t="e">
        <f t="shared" si="239"/>
        <v>#DIV/0!</v>
      </c>
      <c r="Y109" s="304" t="e">
        <f t="shared" si="239"/>
        <v>#DIV/0!</v>
      </c>
      <c r="Z109" s="304" t="e">
        <f t="shared" si="239"/>
        <v>#DIV/0!</v>
      </c>
      <c r="AA109" s="304" t="e">
        <f t="shared" si="239"/>
        <v>#DIV/0!</v>
      </c>
      <c r="AB109" s="304" t="e">
        <f t="shared" si="239"/>
        <v>#DIV/0!</v>
      </c>
      <c r="AC109" s="304" t="e">
        <f t="shared" si="239"/>
        <v>#DIV/0!</v>
      </c>
      <c r="AD109" s="304" t="e">
        <f t="shared" si="239"/>
        <v>#DIV/0!</v>
      </c>
      <c r="AE109" s="304" t="e">
        <f t="shared" si="239"/>
        <v>#DIV/0!</v>
      </c>
      <c r="AF109" s="304" t="e">
        <f t="shared" si="239"/>
        <v>#DIV/0!</v>
      </c>
      <c r="AG109" s="304" t="e">
        <f t="shared" si="239"/>
        <v>#DIV/0!</v>
      </c>
      <c r="AH109" s="304" t="e">
        <f>AH107/$K107</f>
        <v>#DIV/0!</v>
      </c>
      <c r="AI109" s="304" t="e">
        <f>AI107/$K107</f>
        <v>#DIV/0!</v>
      </c>
      <c r="AJ109" s="304" t="e">
        <f>AJ107/$K107</f>
        <v>#DIV/0!</v>
      </c>
      <c r="AK109" s="304" t="e">
        <f t="shared" si="239"/>
        <v>#DIV/0!</v>
      </c>
      <c r="AL109" s="304" t="e">
        <f t="shared" si="239"/>
        <v>#DIV/0!</v>
      </c>
      <c r="AM109" s="304" t="e">
        <f t="shared" si="239"/>
        <v>#DIV/0!</v>
      </c>
      <c r="AN109" s="292"/>
      <c r="AO109" s="292"/>
      <c r="AP109" s="293"/>
      <c r="AQ109" s="293"/>
      <c r="AR109" s="292"/>
      <c r="AS109" s="292"/>
      <c r="AT109" s="293"/>
      <c r="AU109" s="305" t="e">
        <f t="shared" ref="AU109:CR109" si="240">AU107/$K107</f>
        <v>#DIV/0!</v>
      </c>
      <c r="AV109" s="305" t="e">
        <f t="shared" si="240"/>
        <v>#DIV/0!</v>
      </c>
      <c r="AW109" s="305" t="e">
        <f t="shared" si="240"/>
        <v>#DIV/0!</v>
      </c>
      <c r="AX109" s="305" t="e">
        <f t="shared" si="240"/>
        <v>#DIV/0!</v>
      </c>
      <c r="AY109" s="305" t="e">
        <f t="shared" si="240"/>
        <v>#DIV/0!</v>
      </c>
      <c r="AZ109" s="305" t="e">
        <f t="shared" si="240"/>
        <v>#DIV/0!</v>
      </c>
      <c r="BA109" s="305" t="e">
        <f t="shared" si="240"/>
        <v>#DIV/0!</v>
      </c>
      <c r="BB109" s="305" t="e">
        <f t="shared" si="240"/>
        <v>#DIV/0!</v>
      </c>
      <c r="BC109" s="305" t="e">
        <f t="shared" si="240"/>
        <v>#DIV/0!</v>
      </c>
      <c r="BD109" s="305" t="e">
        <f t="shared" si="240"/>
        <v>#DIV/0!</v>
      </c>
      <c r="BE109" s="305" t="e">
        <f t="shared" si="240"/>
        <v>#DIV/0!</v>
      </c>
      <c r="BF109" s="305" t="e">
        <f t="shared" si="240"/>
        <v>#DIV/0!</v>
      </c>
      <c r="BG109" s="305" t="e">
        <f t="shared" si="240"/>
        <v>#DIV/0!</v>
      </c>
      <c r="BH109" s="305" t="e">
        <f t="shared" si="240"/>
        <v>#DIV/0!</v>
      </c>
      <c r="BI109" s="305" t="e">
        <f t="shared" si="240"/>
        <v>#DIV/0!</v>
      </c>
      <c r="BJ109" s="305" t="e">
        <f t="shared" si="240"/>
        <v>#DIV/0!</v>
      </c>
      <c r="BK109" s="305" t="e">
        <f t="shared" si="240"/>
        <v>#DIV/0!</v>
      </c>
      <c r="BL109" s="305" t="e">
        <f t="shared" si="240"/>
        <v>#DIV/0!</v>
      </c>
      <c r="BM109" s="305" t="e">
        <f t="shared" si="240"/>
        <v>#DIV/0!</v>
      </c>
      <c r="BN109" s="305" t="e">
        <f t="shared" si="240"/>
        <v>#DIV/0!</v>
      </c>
      <c r="BO109" s="305" t="e">
        <f t="shared" si="240"/>
        <v>#DIV/0!</v>
      </c>
      <c r="BP109" s="305" t="e">
        <f t="shared" si="240"/>
        <v>#DIV/0!</v>
      </c>
      <c r="BQ109" s="305" t="e">
        <f t="shared" si="240"/>
        <v>#DIV/0!</v>
      </c>
      <c r="BR109" s="305" t="e">
        <f t="shared" si="240"/>
        <v>#DIV/0!</v>
      </c>
      <c r="BS109" s="305" t="e">
        <f t="shared" si="240"/>
        <v>#DIV/0!</v>
      </c>
      <c r="BT109" s="305" t="e">
        <f t="shared" si="240"/>
        <v>#DIV/0!</v>
      </c>
      <c r="BU109" s="305" t="e">
        <f t="shared" si="240"/>
        <v>#DIV/0!</v>
      </c>
      <c r="BV109" s="305" t="e">
        <f t="shared" si="240"/>
        <v>#DIV/0!</v>
      </c>
      <c r="BW109" s="305" t="e">
        <f t="shared" si="240"/>
        <v>#DIV/0!</v>
      </c>
      <c r="BX109" s="305" t="e">
        <f t="shared" si="240"/>
        <v>#DIV/0!</v>
      </c>
      <c r="BY109" s="305" t="e">
        <f t="shared" si="240"/>
        <v>#DIV/0!</v>
      </c>
      <c r="BZ109" s="305" t="e">
        <f t="shared" si="240"/>
        <v>#DIV/0!</v>
      </c>
      <c r="CA109" s="305" t="e">
        <f t="shared" si="240"/>
        <v>#DIV/0!</v>
      </c>
      <c r="CB109" s="305" t="e">
        <f t="shared" si="240"/>
        <v>#DIV/0!</v>
      </c>
      <c r="CC109" s="305" t="e">
        <f t="shared" si="240"/>
        <v>#DIV/0!</v>
      </c>
      <c r="CD109" s="305" t="e">
        <f t="shared" si="240"/>
        <v>#DIV/0!</v>
      </c>
      <c r="CE109" s="304" t="e">
        <f t="shared" si="240"/>
        <v>#DIV/0!</v>
      </c>
      <c r="CF109" s="304" t="e">
        <f t="shared" si="240"/>
        <v>#DIV/0!</v>
      </c>
      <c r="CG109" s="304" t="e">
        <f t="shared" si="240"/>
        <v>#DIV/0!</v>
      </c>
      <c r="CH109" s="304" t="e">
        <f t="shared" si="240"/>
        <v>#DIV/0!</v>
      </c>
      <c r="CI109" s="304" t="e">
        <f t="shared" si="240"/>
        <v>#DIV/0!</v>
      </c>
      <c r="CJ109" s="304" t="e">
        <f t="shared" si="240"/>
        <v>#DIV/0!</v>
      </c>
      <c r="CK109" s="304" t="e">
        <f t="shared" si="240"/>
        <v>#DIV/0!</v>
      </c>
      <c r="CL109" s="304" t="e">
        <f t="shared" si="240"/>
        <v>#DIV/0!</v>
      </c>
      <c r="CM109" s="304" t="e">
        <f t="shared" si="240"/>
        <v>#DIV/0!</v>
      </c>
      <c r="CN109" s="304" t="e">
        <f t="shared" si="240"/>
        <v>#DIV/0!</v>
      </c>
      <c r="CO109" s="305" t="e">
        <f t="shared" si="240"/>
        <v>#DIV/0!</v>
      </c>
      <c r="CP109" s="305" t="e">
        <f t="shared" si="240"/>
        <v>#DIV/0!</v>
      </c>
      <c r="CQ109" s="305" t="e">
        <f t="shared" si="240"/>
        <v>#DIV/0!</v>
      </c>
      <c r="CR109" s="305" t="e">
        <f t="shared" si="240"/>
        <v>#DIV/0!</v>
      </c>
      <c r="CS109" s="292"/>
      <c r="CT109" s="292"/>
      <c r="CU109" s="292"/>
      <c r="CV109" s="292"/>
      <c r="CW109" s="295"/>
      <c r="CX109" s="295"/>
      <c r="CY109" s="296"/>
      <c r="CZ109" s="296"/>
      <c r="DA109" s="296"/>
      <c r="DB109" s="272"/>
      <c r="DC109" s="292"/>
      <c r="DD109" s="272"/>
      <c r="DE109" s="272"/>
      <c r="DF109" s="272"/>
      <c r="DG109" s="297"/>
      <c r="DH109" s="298"/>
      <c r="DI109" s="272"/>
      <c r="DJ109" s="272"/>
      <c r="DK109" s="272"/>
      <c r="DL109" s="272"/>
      <c r="DM109" s="297"/>
      <c r="DN109" s="298"/>
      <c r="DO109" s="272"/>
      <c r="DP109" s="272"/>
      <c r="DQ109" s="272"/>
      <c r="DR109" s="272"/>
      <c r="DS109" s="297"/>
      <c r="DT109" s="298"/>
      <c r="DU109" s="272"/>
      <c r="DV109" s="272"/>
      <c r="DW109" s="298"/>
      <c r="DX109" s="272"/>
      <c r="DY109" s="272"/>
      <c r="DZ109" s="272"/>
      <c r="EA109" s="272"/>
      <c r="EB109" s="272"/>
      <c r="EC109" s="272"/>
      <c r="ED109" s="272"/>
      <c r="EE109" s="298"/>
      <c r="EF109" s="272"/>
      <c r="EG109" s="272"/>
      <c r="EH109" s="272"/>
      <c r="EI109" s="272"/>
      <c r="EJ109" s="272"/>
      <c r="EK109" s="272"/>
      <c r="EL109" s="272"/>
      <c r="EM109" s="298"/>
      <c r="EN109" s="272"/>
      <c r="EO109" s="272"/>
      <c r="EP109" s="272"/>
      <c r="EQ109" s="272"/>
      <c r="ER109" s="298"/>
      <c r="ES109" s="272"/>
      <c r="ET109" s="272"/>
      <c r="EU109" s="272"/>
      <c r="EV109" s="272"/>
      <c r="EW109" s="272"/>
      <c r="EX109" s="272"/>
      <c r="EY109" s="272"/>
      <c r="EZ109" s="272"/>
      <c r="FA109" s="299"/>
      <c r="FB109" s="300"/>
      <c r="FC109" s="272"/>
      <c r="FD109" s="272"/>
      <c r="FE109" s="301"/>
      <c r="FF109" s="301"/>
      <c r="FG109" s="301"/>
      <c r="FH109" s="289"/>
    </row>
    <row r="110" spans="1:164" s="15" customFormat="1" ht="54" customHeight="1" thickBot="1" x14ac:dyDescent="0.3">
      <c r="B110" s="329"/>
      <c r="C110" s="132"/>
      <c r="D110" s="131"/>
      <c r="E110" s="427" t="s">
        <v>75</v>
      </c>
      <c r="F110" s="428"/>
      <c r="G110" s="428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/>
      <c r="R110" s="428"/>
      <c r="S110" s="428"/>
      <c r="T110" s="428"/>
      <c r="U110" s="428"/>
      <c r="V110" s="428"/>
      <c r="W110" s="428"/>
      <c r="X110" s="428"/>
      <c r="Y110" s="428"/>
      <c r="Z110" s="428"/>
      <c r="AA110" s="428"/>
      <c r="AB110" s="428"/>
      <c r="AC110" s="428"/>
      <c r="AD110" s="428"/>
      <c r="AE110" s="428"/>
      <c r="AF110" s="428"/>
      <c r="AG110" s="428"/>
      <c r="AH110" s="428"/>
      <c r="AI110" s="428"/>
      <c r="AJ110" s="428"/>
      <c r="AK110" s="428"/>
      <c r="AL110" s="428"/>
      <c r="AM110" s="428"/>
      <c r="AN110" s="428"/>
      <c r="AO110" s="428"/>
      <c r="AP110" s="428"/>
      <c r="AQ110" s="428"/>
      <c r="AR110" s="428"/>
      <c r="AS110" s="428"/>
      <c r="AT110" s="429"/>
      <c r="AU110" s="306">
        <f>AU107/$AP107</f>
        <v>0</v>
      </c>
      <c r="AV110" s="306">
        <f t="shared" ref="AV110:CR110" si="241">AV107/$AP107</f>
        <v>0</v>
      </c>
      <c r="AW110" s="306">
        <f t="shared" si="241"/>
        <v>0</v>
      </c>
      <c r="AX110" s="306">
        <f t="shared" si="241"/>
        <v>0</v>
      </c>
      <c r="AY110" s="306">
        <f t="shared" si="241"/>
        <v>0</v>
      </c>
      <c r="AZ110" s="306">
        <f t="shared" si="241"/>
        <v>0</v>
      </c>
      <c r="BA110" s="306">
        <f t="shared" si="241"/>
        <v>0</v>
      </c>
      <c r="BB110" s="306">
        <f t="shared" si="241"/>
        <v>0</v>
      </c>
      <c r="BC110" s="306">
        <f t="shared" si="241"/>
        <v>0</v>
      </c>
      <c r="BD110" s="306">
        <f t="shared" si="241"/>
        <v>0</v>
      </c>
      <c r="BE110" s="306">
        <f t="shared" si="241"/>
        <v>0</v>
      </c>
      <c r="BF110" s="306">
        <f t="shared" si="241"/>
        <v>0</v>
      </c>
      <c r="BG110" s="306">
        <f t="shared" si="241"/>
        <v>0</v>
      </c>
      <c r="BH110" s="306">
        <f t="shared" si="241"/>
        <v>0</v>
      </c>
      <c r="BI110" s="306">
        <f t="shared" si="241"/>
        <v>0</v>
      </c>
      <c r="BJ110" s="306">
        <f t="shared" si="241"/>
        <v>0</v>
      </c>
      <c r="BK110" s="306">
        <f t="shared" si="241"/>
        <v>0</v>
      </c>
      <c r="BL110" s="306">
        <f t="shared" si="241"/>
        <v>0</v>
      </c>
      <c r="BM110" s="306">
        <f t="shared" si="241"/>
        <v>0</v>
      </c>
      <c r="BN110" s="306">
        <f t="shared" si="241"/>
        <v>0</v>
      </c>
      <c r="BO110" s="306">
        <f t="shared" si="241"/>
        <v>0</v>
      </c>
      <c r="BP110" s="306">
        <f t="shared" si="241"/>
        <v>0</v>
      </c>
      <c r="BQ110" s="306">
        <f t="shared" si="241"/>
        <v>0</v>
      </c>
      <c r="BR110" s="306">
        <f t="shared" si="241"/>
        <v>0</v>
      </c>
      <c r="BS110" s="306">
        <f t="shared" si="241"/>
        <v>0</v>
      </c>
      <c r="BT110" s="306">
        <f t="shared" si="241"/>
        <v>0</v>
      </c>
      <c r="BU110" s="306">
        <f t="shared" si="241"/>
        <v>0</v>
      </c>
      <c r="BV110" s="306">
        <f t="shared" si="241"/>
        <v>0</v>
      </c>
      <c r="BW110" s="306">
        <f t="shared" si="241"/>
        <v>0</v>
      </c>
      <c r="BX110" s="306">
        <f t="shared" si="241"/>
        <v>0</v>
      </c>
      <c r="BY110" s="306">
        <f t="shared" si="241"/>
        <v>0</v>
      </c>
      <c r="BZ110" s="306">
        <f t="shared" si="241"/>
        <v>0</v>
      </c>
      <c r="CA110" s="306">
        <f t="shared" si="241"/>
        <v>0</v>
      </c>
      <c r="CB110" s="306">
        <f t="shared" si="241"/>
        <v>0</v>
      </c>
      <c r="CC110" s="306">
        <f t="shared" si="241"/>
        <v>0</v>
      </c>
      <c r="CD110" s="306">
        <f t="shared" si="241"/>
        <v>0</v>
      </c>
      <c r="CE110" s="306">
        <f t="shared" si="241"/>
        <v>0</v>
      </c>
      <c r="CF110" s="306">
        <f t="shared" si="241"/>
        <v>0</v>
      </c>
      <c r="CG110" s="306">
        <f t="shared" si="241"/>
        <v>0</v>
      </c>
      <c r="CH110" s="306">
        <f t="shared" si="241"/>
        <v>0</v>
      </c>
      <c r="CI110" s="306">
        <f t="shared" si="241"/>
        <v>0</v>
      </c>
      <c r="CJ110" s="306">
        <f t="shared" si="241"/>
        <v>0</v>
      </c>
      <c r="CK110" s="306">
        <f t="shared" si="241"/>
        <v>0</v>
      </c>
      <c r="CL110" s="306">
        <f t="shared" si="241"/>
        <v>0</v>
      </c>
      <c r="CM110" s="306">
        <f t="shared" si="241"/>
        <v>0</v>
      </c>
      <c r="CN110" s="306">
        <f t="shared" si="241"/>
        <v>0</v>
      </c>
      <c r="CO110" s="306">
        <f t="shared" si="241"/>
        <v>0</v>
      </c>
      <c r="CP110" s="306">
        <f t="shared" si="241"/>
        <v>0</v>
      </c>
      <c r="CQ110" s="306">
        <f t="shared" si="241"/>
        <v>0</v>
      </c>
      <c r="CR110" s="306">
        <f t="shared" si="241"/>
        <v>0</v>
      </c>
      <c r="CS110" s="307"/>
      <c r="CT110" s="308"/>
      <c r="CV110" s="309"/>
      <c r="CW110" s="310"/>
      <c r="CX110" s="310"/>
      <c r="CY110" s="311"/>
      <c r="CZ110" s="311"/>
      <c r="DA110" s="311"/>
      <c r="DB110" s="310"/>
      <c r="DF110" s="15" t="s">
        <v>76</v>
      </c>
      <c r="DH110" s="312"/>
      <c r="DL110" s="313"/>
      <c r="DN110" s="312"/>
      <c r="DT110" s="312"/>
      <c r="DV110" s="310"/>
      <c r="DW110" s="312"/>
      <c r="EE110" s="312"/>
      <c r="EM110" s="312"/>
      <c r="ER110" s="312"/>
      <c r="FB110" s="314"/>
    </row>
    <row r="111" spans="1:164" x14ac:dyDescent="0.25">
      <c r="D111" s="131"/>
      <c r="FB111" s="318"/>
    </row>
    <row r="112" spans="1:164" x14ac:dyDescent="0.25">
      <c r="D112" s="131"/>
    </row>
    <row r="113" spans="4:4" x14ac:dyDescent="0.25">
      <c r="D113" s="131"/>
    </row>
    <row r="114" spans="4:4" x14ac:dyDescent="0.25">
      <c r="D114" s="131"/>
    </row>
    <row r="115" spans="4:4" x14ac:dyDescent="0.25">
      <c r="D115" s="131"/>
    </row>
    <row r="116" spans="4:4" x14ac:dyDescent="0.25">
      <c r="D116" s="131"/>
    </row>
    <row r="117" spans="4:4" x14ac:dyDescent="0.25">
      <c r="D117" s="131"/>
    </row>
    <row r="118" spans="4:4" x14ac:dyDescent="0.25">
      <c r="D118" s="131"/>
    </row>
  </sheetData>
  <protectedRanges>
    <protectedRange sqref="FB5:FB22 FB51:FB73 FB24:FB49 FB75:FB111" name="just"/>
    <protectedRange sqref="DP34:DQ49 DP5:DQ6 DQ7:DQ22 DP7:DP33 DQ24:DQ33 DP51:DQ106" name="output_2"/>
    <protectedRange sqref="AR72:CD73 AR71:AX71 BQ71:CD71 CO5:CR73 AR24:CD49 AR5:CD22 AR51:CD70 CO75:CR106 AR75:CD106" name="bd1"/>
    <protectedRange sqref="M99:R100 M102:R103 M15:R16 M57:R58 M60:R61 M63:R64 M66:R67 M69:R70 M72:R73 M75:R76 M78:R79 M81:R82 CE51:CN73 CE5:CN22 CE24:CN49 M105:R106 S5:AM106 CE75:CN106" name="uncontrol"/>
    <protectedRange sqref="F99:H100 F102:H103 F105:H106" name="type"/>
    <protectedRange sqref="M53:R54 M71:R71 M74:R74 O55:R55 M68:R68 M5:R14 M17:R47 M50:R50 M56:R56 M59:R59 M62:R62 M83:R97" name="uncontrol_1_1_7"/>
    <protectedRange sqref="M48:R49 M51:R52" name="uncontrol_2_1"/>
    <protectedRange sqref="FB50" name="just_1_2"/>
    <protectedRange sqref="DP50:DQ50" name="output_1_1"/>
    <protectedRange sqref="AR50:CD50 CO50:CR50" name="bd1_1_1"/>
    <protectedRange sqref="CE50:CN50" name="uncontrol_3_1"/>
    <protectedRange sqref="FB23" name="just_3"/>
    <protectedRange sqref="DQ23" name="output_3"/>
    <protectedRange sqref="AR23:CD23 CO23:CR23" name="bd1_3"/>
    <protectedRange sqref="CE23:CN23" name="uncontrol_5"/>
    <protectedRange sqref="E99:E100 E102:E103 E105:E106" name="type_2_1_9"/>
    <protectedRange sqref="AR74:CD74" name="bd1_4"/>
    <protectedRange sqref="FB74" name="just_2_1_1"/>
    <protectedRange sqref="CO74:CR74 AR74:CD74" name="bd1_2_1"/>
    <protectedRange sqref="CE74:CN74" name="uncontrol_4_1_1"/>
    <protectedRange sqref="AY71:BP71" name="bd1_2"/>
    <protectedRange sqref="M55:N55" name="uncontrol_1_1_4_1"/>
    <protectedRange sqref="M77:Q77 M80:Q80 M98:Q98 M101:Q101 M104:Q104" name="uncontrol_1_1_2_2_3"/>
    <protectedRange sqref="R77 R80 R98 R101 R104" name="uncontrol_1_1_1_3"/>
    <protectedRange sqref="F98:G98 F101:G101 F104:G104" name="type_1_1_1_9_8_2_3_1_3"/>
    <protectedRange sqref="H98 H101 H104" name="type_1_1_1_2_7_8_2_3_1_3"/>
    <protectedRange sqref="E98 E101 E104" name="type_2_1_8_8_2_3_1_3"/>
    <protectedRange sqref="M65:R65" name="uncontrol_1_1_3"/>
    <protectedRange sqref="F57:G58 F15:H16 F81:H82 F60:H61 F63:H64 F66:H67 F69:H70 F72:H73 F76:H76 F78:H79" name="type_2"/>
    <protectedRange sqref="F6:H7 F54:G54 F96:H97 F24:H25 F27:H28 F71:G71 F74:G74 F9:H10 F12:H13 F18:H19 F42:H43 F45:H46 F84:H85 F83:G83 F21:H22 F30:H31 F39:H40 F36:H37 F68:G68 F95:G95 F33:G34 F93:H94 F92:G92 F90:H91 F89:G89 F87:H88 F86:G86" name="type_1_1_1_10_1"/>
    <protectedRange sqref="F49:H49 F51:H52 F48:G48" name="type_1_1_2"/>
    <protectedRange sqref="H71 H74 H83 H68 H95 H33:H34 H48 H54:H55 H57:H58 H77 H80 H92 H89 H86" name="type_1_1_1_2_8_1"/>
    <protectedRange sqref="E57:E58 E6:E7 E30:E31 E36:E37 E33:E34 E39:E40 E42:E43 E45:E46 E48:E49 E51:E52 E54 E60:E61 E63:E64 E66:E74 E78:E79 E9:E10 E12:E13 E15:E16 E18:E19 E21:E22 E24:E25 E27:E28 E76 E81:E97" name="type_2_1_9_1"/>
    <protectedRange sqref="F55:G55" name="type_1_1_1_4_1_1"/>
    <protectedRange sqref="E55" name="type_2_1_4_1_1"/>
    <protectedRange sqref="F32:G32" name="type_1_1_1_9_3_2"/>
    <protectedRange sqref="H32" name="type_1_1_1_2_7_3"/>
    <protectedRange sqref="E32" name="type_2_1_8_3_2"/>
    <protectedRange sqref="F38:G38 F41:G41 F44:G44" name="type_1_1_1_9_8_3_1"/>
    <protectedRange sqref="H38 H41 H44" name="type_1_1_1_2_7_8_3_1"/>
    <protectedRange sqref="E38 E41 E44" name="type_2_1_8_8_3_1"/>
    <protectedRange sqref="F47:G47 F50:G50 F53:G53 F56:G56 F59:G59 F62:G62 F65:G65" name="type_1_1_1_9_8_2_2_2"/>
    <protectedRange sqref="H47 H50 H53 H56 H59 H62 H65" name="type_1_1_1_2_7_8_2_2_2"/>
    <protectedRange sqref="E47 E50 E53 E56 E59 E62 E65" name="type_2_1_8_8_2_2_2"/>
    <protectedRange sqref="F77:G77 F80:G80" name="type_1_1_1_9_8_2_3_1_4"/>
    <protectedRange sqref="E77 E80" name="type_2_1_8_8_2_3_1_4"/>
    <protectedRange sqref="F5:G5" name="type_1_1_1_11"/>
    <protectedRange sqref="H5" name="type_1_1_1_2_10"/>
    <protectedRange sqref="E5" name="type_2_1_10"/>
    <protectedRange sqref="F8:G8" name="type_1_1_1_1_1"/>
    <protectedRange sqref="H8" name="type_1_1_1_2_1_1"/>
    <protectedRange sqref="E8" name="type_2_1_1_1"/>
    <protectedRange sqref="F11:G11" name="type_1_1_1_3_1"/>
    <protectedRange sqref="H11" name="type_1_1_1_2_2_1"/>
    <protectedRange sqref="E11" name="type_2_1_2_1"/>
    <protectedRange sqref="F14:G14" name="type_1_1_1_4_2"/>
    <protectedRange sqref="H14" name="type_1_1_1_2_3_1"/>
    <protectedRange sqref="E14" name="type_2_1_3_1"/>
    <protectedRange sqref="F17:G17" name="type_1_1_1_5_1"/>
    <protectedRange sqref="H17" name="type_1_1_1_2_4_1"/>
    <protectedRange sqref="E17" name="type_2_1_4_2"/>
    <protectedRange sqref="F20:G20" name="type_1_1_1_6_1"/>
    <protectedRange sqref="H20" name="type_1_1_1_2_5_1"/>
    <protectedRange sqref="E20" name="type_2_1_5_1"/>
    <protectedRange sqref="F23:G23" name="type_1_1_1_7_1"/>
    <protectedRange sqref="H23" name="type_1_1_1_2_6_1"/>
    <protectedRange sqref="E23" name="type_2_1_6_1"/>
    <protectedRange sqref="F26:G26" name="type_1_1_1_8_1"/>
    <protectedRange sqref="H26" name="type_1_1_1_2_7_1"/>
    <protectedRange sqref="E26" name="type_2_1_7_1"/>
    <protectedRange sqref="F29:G29" name="type_1_1_1_9_1"/>
    <protectedRange sqref="H29" name="type_1_1_1_2_9_1"/>
    <protectedRange sqref="E29" name="type_2_1_8_1"/>
    <protectedRange sqref="F35:G35" name="type_1_1_1_9_1_1"/>
    <protectedRange sqref="H35" name="type_1_1_1_2_9_1_1"/>
    <protectedRange sqref="E35" name="type_2_1_8_1_1"/>
    <protectedRange sqref="F75:H75" name="type_2_2"/>
    <protectedRange sqref="E75" name="type_2_1_9_1_1"/>
  </protectedRanges>
  <mergeCells count="104">
    <mergeCell ref="B68:B70"/>
    <mergeCell ref="C68:C70"/>
    <mergeCell ref="B104:B106"/>
    <mergeCell ref="C104:C106"/>
    <mergeCell ref="E108:K108"/>
    <mergeCell ref="E109:K109"/>
    <mergeCell ref="E110:AT110"/>
    <mergeCell ref="B53:B55"/>
    <mergeCell ref="B56:B58"/>
    <mergeCell ref="B59:B61"/>
    <mergeCell ref="C53:C55"/>
    <mergeCell ref="C56:C58"/>
    <mergeCell ref="C59:C61"/>
    <mergeCell ref="B62:B64"/>
    <mergeCell ref="C62:C64"/>
    <mergeCell ref="B65:B67"/>
    <mergeCell ref="C65:C67"/>
    <mergeCell ref="B92:B94"/>
    <mergeCell ref="C92:C94"/>
    <mergeCell ref="B89:B91"/>
    <mergeCell ref="C89:C91"/>
    <mergeCell ref="B86:B88"/>
    <mergeCell ref="C86:C88"/>
    <mergeCell ref="B101:B103"/>
    <mergeCell ref="B47:B49"/>
    <mergeCell ref="C47:C49"/>
    <mergeCell ref="B50:B52"/>
    <mergeCell ref="C50:C52"/>
    <mergeCell ref="C41:C43"/>
    <mergeCell ref="B35:B37"/>
    <mergeCell ref="C20:C22"/>
    <mergeCell ref="C23:C25"/>
    <mergeCell ref="C26:C28"/>
    <mergeCell ref="C29:C31"/>
    <mergeCell ref="C32:C34"/>
    <mergeCell ref="C35:C37"/>
    <mergeCell ref="B20:B22"/>
    <mergeCell ref="B23:B25"/>
    <mergeCell ref="B26:B28"/>
    <mergeCell ref="B29:B31"/>
    <mergeCell ref="B32:B34"/>
    <mergeCell ref="DY1:ED1"/>
    <mergeCell ref="EG1:EL1"/>
    <mergeCell ref="EO1:EQ1"/>
    <mergeCell ref="AA2:AM2"/>
    <mergeCell ref="AN2:AN3"/>
    <mergeCell ref="AS2:AS3"/>
    <mergeCell ref="AU2:BQ2"/>
    <mergeCell ref="BR2:CC2"/>
    <mergeCell ref="CD2:CR2"/>
    <mergeCell ref="CS2:CS3"/>
    <mergeCell ref="CU2:CU3"/>
    <mergeCell ref="DD2:DG2"/>
    <mergeCell ref="DJ2:DM2"/>
    <mergeCell ref="DP2:DS2"/>
    <mergeCell ref="DV2:DV3"/>
    <mergeCell ref="ED2:ED3"/>
    <mergeCell ref="K1:AP1"/>
    <mergeCell ref="AR1:AS1"/>
    <mergeCell ref="AU1:CU1"/>
    <mergeCell ref="CW1:DB2"/>
    <mergeCell ref="DD1:DV1"/>
    <mergeCell ref="K2:K3"/>
    <mergeCell ref="M2:Z2"/>
    <mergeCell ref="AP2:AP3"/>
    <mergeCell ref="EH2:EK2"/>
    <mergeCell ref="EL2:EL3"/>
    <mergeCell ref="EP2:EP3"/>
    <mergeCell ref="EQ2:EQ3"/>
    <mergeCell ref="B44:B46"/>
    <mergeCell ref="C44:C46"/>
    <mergeCell ref="DY2:DY3"/>
    <mergeCell ref="EB2:EB3"/>
    <mergeCell ref="B11:B13"/>
    <mergeCell ref="B14:B16"/>
    <mergeCell ref="B17:B19"/>
    <mergeCell ref="EG2:EG3"/>
    <mergeCell ref="B5:B7"/>
    <mergeCell ref="B8:B10"/>
    <mergeCell ref="EO2:EO3"/>
    <mergeCell ref="B38:B40"/>
    <mergeCell ref="AR2:AR3"/>
    <mergeCell ref="C5:C7"/>
    <mergeCell ref="C8:C10"/>
    <mergeCell ref="C11:C13"/>
    <mergeCell ref="C14:C16"/>
    <mergeCell ref="C17:C19"/>
    <mergeCell ref="C38:C40"/>
    <mergeCell ref="B41:B43"/>
    <mergeCell ref="C101:C103"/>
    <mergeCell ref="C71:C73"/>
    <mergeCell ref="B74:B76"/>
    <mergeCell ref="C74:C76"/>
    <mergeCell ref="B77:B79"/>
    <mergeCell ref="C77:C79"/>
    <mergeCell ref="C80:C82"/>
    <mergeCell ref="B83:B85"/>
    <mergeCell ref="C83:C85"/>
    <mergeCell ref="B71:B73"/>
    <mergeCell ref="B80:B82"/>
    <mergeCell ref="B95:B97"/>
    <mergeCell ref="C95:C97"/>
    <mergeCell ref="B98:B100"/>
    <mergeCell ref="C98:C100"/>
  </mergeCells>
  <conditionalFormatting sqref="C1:C3 C98 C101 C104">
    <cfRule type="cellIs" dxfId="23" priority="12" stopIfTrue="1" operator="equal">
      <formula>"SUN"</formula>
    </cfRule>
  </conditionalFormatting>
  <conditionalFormatting sqref="C5 C8 C11 C14 C17 C20 C23 C26 C29 C32 C35 C38 C41 C44 C47 C50 C53 C56 C59 C62 C65 C68 C71 C74 C77 C80 C83 C86 C89 C92">
    <cfRule type="cellIs" dxfId="22" priority="1" stopIfTrue="1" operator="equal">
      <formula>"SUN"</formula>
    </cfRule>
  </conditionalFormatting>
  <conditionalFormatting sqref="C95">
    <cfRule type="cellIs" dxfId="21" priority="2" stopIfTrue="1" operator="equal">
      <formula>"SUN"</formula>
    </cfRule>
  </conditionalFormatting>
  <conditionalFormatting sqref="DV107 ED107 EL107 EQ107">
    <cfRule type="cellIs" dxfId="20" priority="13" stopIfTrue="1" operator="lessThan">
      <formula>0.75</formula>
    </cfRule>
  </conditionalFormatting>
  <conditionalFormatting sqref="DX3 EL108:EL109 EQ108:EQ109">
    <cfRule type="cellIs" dxfId="19" priority="14" stopIfTrue="1" operator="lessThan">
      <formula>0.75</formula>
    </cfRule>
  </conditionalFormatting>
  <conditionalFormatting sqref="EF3:EF107 EN3:EN107 EL4:EL106 EQ4:EQ106 ES4:ES109 DV5:DV106 ED5:ED106 DX5:DX107">
    <cfRule type="cellIs" dxfId="18" priority="5" stopIfTrue="1" operator="lessThan">
      <formula>0.75</formula>
    </cfRule>
  </conditionalFormatting>
  <pageMargins left="0.7" right="0.7" top="0.75" bottom="0.75" header="0.3" footer="0.3"/>
  <pageSetup paperSize="9" orientation="portrait" horizontalDpi="120" verticalDpi="7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2960-8C12-426A-88EB-B739FA0BD7CA}">
  <sheetPr>
    <tabColor rgb="FFFFFF00"/>
  </sheetPr>
  <dimension ref="A1:FP118"/>
  <sheetViews>
    <sheetView zoomScale="80" zoomScaleNormal="80" workbookViewId="0">
      <pane xSplit="12" ySplit="4" topLeftCell="DG97" activePane="bottomRight" state="frozen"/>
      <selection activeCell="R20" sqref="R20"/>
      <selection pane="topRight" activeCell="R20" sqref="R20"/>
      <selection pane="bottomLeft" activeCell="R20" sqref="R20"/>
      <selection pane="bottomRight" activeCell="AG4" sqref="AG4"/>
    </sheetView>
  </sheetViews>
  <sheetFormatPr defaultColWidth="9.1796875" defaultRowHeight="12.5" outlineLevelRow="1" outlineLevelCol="1" x14ac:dyDescent="0.25"/>
  <cols>
    <col min="1" max="1" width="1.26953125" style="132" customWidth="1"/>
    <col min="2" max="2" width="16.7265625" style="329" customWidth="1"/>
    <col min="3" max="3" width="9.54296875" style="132" customWidth="1"/>
    <col min="4" max="4" width="14.81640625" style="132" customWidth="1"/>
    <col min="5" max="5" width="7.26953125" style="132" customWidth="1"/>
    <col min="6" max="6" width="1.1796875" style="132" customWidth="1"/>
    <col min="7" max="7" width="0" style="132" hidden="1" customWidth="1"/>
    <col min="8" max="8" width="23.1796875" style="132" customWidth="1"/>
    <col min="9" max="9" width="14" style="132" bestFit="1" customWidth="1"/>
    <col min="10" max="10" width="1.1796875" style="132" customWidth="1"/>
    <col min="11" max="11" width="12.54296875" style="132" customWidth="1"/>
    <col min="12" max="12" width="1.1796875" style="132" customWidth="1"/>
    <col min="13" max="39" width="6.54296875" style="132" customWidth="1" outlineLevel="1"/>
    <col min="40" max="40" width="14.453125" style="132" customWidth="1"/>
    <col min="41" max="41" width="4.7265625" style="132" customWidth="1"/>
    <col min="42" max="42" width="17.7265625" style="132" customWidth="1"/>
    <col min="43" max="43" width="2.81640625" style="132" customWidth="1"/>
    <col min="44" max="45" width="17.81640625" style="132" customWidth="1"/>
    <col min="46" max="46" width="2.81640625" style="132" customWidth="1"/>
    <col min="47" max="69" width="4.6328125" style="132" customWidth="1" outlineLevel="1"/>
    <col min="70" max="70" width="3.54296875" style="132" customWidth="1" outlineLevel="1"/>
    <col min="71" max="71" width="5.81640625" style="132" customWidth="1" outlineLevel="1"/>
    <col min="72" max="76" width="3.54296875" style="132" customWidth="1" outlineLevel="1"/>
    <col min="77" max="77" width="3.7265625" style="132" customWidth="1" outlineLevel="1"/>
    <col min="78" max="78" width="4" style="132" customWidth="1" outlineLevel="1"/>
    <col min="79" max="81" width="3.54296875" style="132" customWidth="1" outlineLevel="1"/>
    <col min="82" max="82" width="4" style="132" customWidth="1" outlineLevel="1"/>
    <col min="83" max="96" width="4.6328125" style="132" customWidth="1" outlineLevel="1"/>
    <col min="97" max="97" width="10.7265625" style="132" customWidth="1"/>
    <col min="98" max="98" width="0.81640625" style="132" customWidth="1"/>
    <col min="99" max="99" width="21.54296875" style="132" customWidth="1"/>
    <col min="100" max="100" width="1.81640625" style="132" customWidth="1"/>
    <col min="101" max="106" width="23.1796875" style="315" customWidth="1"/>
    <col min="107" max="107" width="3.26953125" style="132" customWidth="1"/>
    <col min="108" max="108" width="12.54296875" style="132" customWidth="1" outlineLevel="1"/>
    <col min="109" max="109" width="13" style="132" customWidth="1" outlineLevel="1"/>
    <col min="110" max="110" width="28.453125" style="132" customWidth="1" outlineLevel="1"/>
    <col min="111" max="111" width="24.1796875" style="132" customWidth="1"/>
    <col min="112" max="112" width="5.81640625" style="316" bestFit="1" customWidth="1"/>
    <col min="113" max="113" width="9.1796875" style="132" customWidth="1"/>
    <col min="114" max="115" width="12.26953125" style="132" bestFit="1" customWidth="1" outlineLevel="1"/>
    <col min="116" max="116" width="26.54296875" style="317" customWidth="1" outlineLevel="1"/>
    <col min="117" max="117" width="16.453125" style="132" customWidth="1"/>
    <col min="118" max="118" width="11.54296875" style="316" customWidth="1"/>
    <col min="119" max="119" width="7.81640625" style="132" customWidth="1"/>
    <col min="120" max="120" width="11" style="132" customWidth="1" outlineLevel="1"/>
    <col min="121" max="121" width="11.7265625" style="132" customWidth="1" outlineLevel="1"/>
    <col min="122" max="122" width="11.54296875" style="132" customWidth="1" outlineLevel="1"/>
    <col min="123" max="123" width="13.81640625" style="132" customWidth="1"/>
    <col min="124" max="124" width="10.1796875" style="316" customWidth="1"/>
    <col min="125" max="125" width="9.1796875" style="132"/>
    <col min="126" max="126" width="19.26953125" style="315" customWidth="1"/>
    <col min="127" max="127" width="9.54296875" style="316" customWidth="1"/>
    <col min="128" max="128" width="4.81640625" style="132" customWidth="1" collapsed="1"/>
    <col min="129" max="129" width="17.81640625" style="132" customWidth="1" outlineLevel="1"/>
    <col min="130" max="130" width="16.453125" style="132" hidden="1" customWidth="1" outlineLevel="1"/>
    <col min="131" max="131" width="16.81640625" style="132" hidden="1" customWidth="1" outlineLevel="1"/>
    <col min="132" max="132" width="19.54296875" style="132" customWidth="1" outlineLevel="1"/>
    <col min="133" max="133" width="0.7265625" style="132" customWidth="1" outlineLevel="1"/>
    <col min="134" max="134" width="23.453125" style="132" customWidth="1"/>
    <col min="135" max="135" width="7.54296875" style="316" customWidth="1"/>
    <col min="136" max="136" width="8.453125" style="132" customWidth="1"/>
    <col min="137" max="137" width="12.1796875" style="132" customWidth="1" outlineLevel="1"/>
    <col min="138" max="138" width="13.7265625" style="132" customWidth="1" outlineLevel="1"/>
    <col min="139" max="139" width="11.81640625" style="132" customWidth="1" outlineLevel="1"/>
    <col min="140" max="140" width="13.54296875" style="132" customWidth="1" outlineLevel="1"/>
    <col min="141" max="141" width="17.26953125" style="132" customWidth="1" outlineLevel="1"/>
    <col min="142" max="142" width="17.7265625" style="132" customWidth="1"/>
    <col min="143" max="143" width="1.54296875" style="316" customWidth="1"/>
    <col min="144" max="144" width="12" style="132" customWidth="1"/>
    <col min="145" max="145" width="18.81640625" style="132" customWidth="1" outlineLevel="1"/>
    <col min="146" max="146" width="22.453125" style="132" customWidth="1" outlineLevel="1"/>
    <col min="147" max="147" width="17.7265625" style="132" customWidth="1"/>
    <col min="148" max="148" width="1.26953125" style="316" customWidth="1"/>
    <col min="149" max="149" width="18.1796875" style="132" customWidth="1"/>
    <col min="150" max="150" width="1.54296875" style="132" customWidth="1"/>
    <col min="151" max="151" width="13.26953125" style="132" customWidth="1"/>
    <col min="152" max="152" width="11.26953125" style="132" customWidth="1"/>
    <col min="153" max="153" width="26.1796875" style="132" customWidth="1"/>
    <col min="154" max="154" width="11.26953125" style="132" customWidth="1"/>
    <col min="155" max="155" width="1.1796875" style="132" customWidth="1"/>
    <col min="156" max="156" width="29.453125" style="132" customWidth="1"/>
    <col min="157" max="157" width="28.26953125" style="132" customWidth="1"/>
    <col min="158" max="158" width="72.7265625" style="132" customWidth="1"/>
    <col min="159" max="159" width="2.26953125" style="132" customWidth="1"/>
    <col min="160" max="16384" width="9.1796875" style="132"/>
  </cols>
  <sheetData>
    <row r="1" spans="2:172" s="1" customFormat="1" ht="30.75" customHeight="1" thickBot="1" x14ac:dyDescent="0.3">
      <c r="B1" s="325"/>
      <c r="D1" s="2"/>
      <c r="E1" s="2"/>
      <c r="F1" s="3"/>
      <c r="G1" s="4"/>
      <c r="H1" s="5"/>
      <c r="I1" s="6"/>
      <c r="J1" s="7"/>
      <c r="K1" s="405" t="s">
        <v>0</v>
      </c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8"/>
      <c r="AR1" s="407" t="s">
        <v>1</v>
      </c>
      <c r="AS1" s="408"/>
      <c r="AT1" s="8"/>
      <c r="AU1" s="409" t="s">
        <v>2</v>
      </c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1"/>
      <c r="CV1" s="9"/>
      <c r="CW1" s="412" t="s">
        <v>3</v>
      </c>
      <c r="CX1" s="412"/>
      <c r="CY1" s="412"/>
      <c r="CZ1" s="412"/>
      <c r="DA1" s="412"/>
      <c r="DB1" s="412"/>
      <c r="DC1" s="10"/>
      <c r="DD1" s="414" t="s">
        <v>4</v>
      </c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5"/>
      <c r="DW1" s="11"/>
      <c r="DX1" s="12"/>
      <c r="DY1" s="374" t="s">
        <v>5</v>
      </c>
      <c r="DZ1" s="375"/>
      <c r="EA1" s="375"/>
      <c r="EB1" s="375"/>
      <c r="EC1" s="375"/>
      <c r="ED1" s="376"/>
      <c r="EE1" s="11"/>
      <c r="EF1" s="12"/>
      <c r="EG1" s="377" t="s">
        <v>6</v>
      </c>
      <c r="EH1" s="378"/>
      <c r="EI1" s="378"/>
      <c r="EJ1" s="378"/>
      <c r="EK1" s="378"/>
      <c r="EL1" s="379"/>
      <c r="EM1" s="11"/>
      <c r="EN1" s="12"/>
      <c r="EO1" s="377" t="s">
        <v>7</v>
      </c>
      <c r="EP1" s="378"/>
      <c r="EQ1" s="379"/>
      <c r="ER1" s="11"/>
      <c r="ES1" s="13"/>
      <c r="ET1" s="13"/>
      <c r="EU1" s="2"/>
      <c r="EV1" s="2"/>
      <c r="EW1" s="2"/>
      <c r="EX1" s="2"/>
      <c r="EY1" s="2"/>
      <c r="EZ1" s="2"/>
      <c r="FA1" s="14"/>
      <c r="FB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</row>
    <row r="2" spans="2:172" s="15" customFormat="1" ht="33" customHeight="1" thickBot="1" x14ac:dyDescent="0.3">
      <c r="B2" s="326"/>
      <c r="D2" s="17"/>
      <c r="E2" s="17"/>
      <c r="F2" s="18"/>
      <c r="G2" s="18"/>
      <c r="H2" s="19"/>
      <c r="I2" s="20"/>
      <c r="J2" s="20"/>
      <c r="K2" s="416" t="s">
        <v>8</v>
      </c>
      <c r="L2" s="21"/>
      <c r="M2" s="418" t="s">
        <v>9</v>
      </c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1"/>
      <c r="AA2" s="380" t="s">
        <v>10</v>
      </c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1"/>
      <c r="AN2" s="382" t="s">
        <v>11</v>
      </c>
      <c r="AO2" s="22"/>
      <c r="AP2" s="419" t="s">
        <v>12</v>
      </c>
      <c r="AQ2" s="18"/>
      <c r="AR2" s="372" t="s">
        <v>13</v>
      </c>
      <c r="AS2" s="372" t="s">
        <v>14</v>
      </c>
      <c r="AT2" s="18"/>
      <c r="AU2" s="385" t="s">
        <v>15</v>
      </c>
      <c r="AV2" s="386"/>
      <c r="AW2" s="386"/>
      <c r="AX2" s="386"/>
      <c r="AY2" s="386"/>
      <c r="AZ2" s="386"/>
      <c r="BA2" s="386"/>
      <c r="BB2" s="386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8" t="s">
        <v>16</v>
      </c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90"/>
      <c r="CD2" s="385" t="s">
        <v>17</v>
      </c>
      <c r="CE2" s="391"/>
      <c r="CF2" s="391"/>
      <c r="CG2" s="391"/>
      <c r="CH2" s="391"/>
      <c r="CI2" s="391"/>
      <c r="CJ2" s="391"/>
      <c r="CK2" s="391"/>
      <c r="CL2" s="391"/>
      <c r="CM2" s="391"/>
      <c r="CN2" s="391"/>
      <c r="CO2" s="391"/>
      <c r="CP2" s="391"/>
      <c r="CQ2" s="391"/>
      <c r="CR2" s="392"/>
      <c r="CS2" s="393" t="s">
        <v>18</v>
      </c>
      <c r="CT2" s="22"/>
      <c r="CU2" s="395" t="s">
        <v>19</v>
      </c>
      <c r="CV2" s="23"/>
      <c r="CW2" s="413"/>
      <c r="CX2" s="413"/>
      <c r="CY2" s="413"/>
      <c r="CZ2" s="413"/>
      <c r="DA2" s="413"/>
      <c r="DB2" s="413"/>
      <c r="DC2" s="24"/>
      <c r="DD2" s="397" t="s">
        <v>20</v>
      </c>
      <c r="DE2" s="398"/>
      <c r="DF2" s="398"/>
      <c r="DG2" s="399"/>
      <c r="DH2" s="25"/>
      <c r="DI2" s="26"/>
      <c r="DJ2" s="397" t="s">
        <v>21</v>
      </c>
      <c r="DK2" s="398"/>
      <c r="DL2" s="398"/>
      <c r="DM2" s="399"/>
      <c r="DN2" s="25"/>
      <c r="DO2" s="26"/>
      <c r="DP2" s="400" t="s">
        <v>22</v>
      </c>
      <c r="DQ2" s="401"/>
      <c r="DR2" s="401"/>
      <c r="DS2" s="402"/>
      <c r="DT2" s="25"/>
      <c r="DU2" s="27"/>
      <c r="DV2" s="362" t="s">
        <v>23</v>
      </c>
      <c r="DW2" s="25"/>
      <c r="DX2" s="26"/>
      <c r="DY2" s="366" t="s">
        <v>24</v>
      </c>
      <c r="DZ2" s="28" t="s">
        <v>25</v>
      </c>
      <c r="EA2" s="29"/>
      <c r="EB2" s="368" t="s">
        <v>26</v>
      </c>
      <c r="EC2" s="30"/>
      <c r="ED2" s="403" t="s">
        <v>27</v>
      </c>
      <c r="EE2" s="25"/>
      <c r="EF2" s="31"/>
      <c r="EG2" s="370" t="s">
        <v>24</v>
      </c>
      <c r="EH2" s="359" t="s">
        <v>28</v>
      </c>
      <c r="EI2" s="360"/>
      <c r="EJ2" s="360"/>
      <c r="EK2" s="361"/>
      <c r="EL2" s="362" t="s">
        <v>29</v>
      </c>
      <c r="EM2" s="32"/>
      <c r="EN2" s="31"/>
      <c r="EO2" s="370" t="s">
        <v>24</v>
      </c>
      <c r="EP2" s="364" t="s">
        <v>30</v>
      </c>
      <c r="EQ2" s="362" t="s">
        <v>31</v>
      </c>
      <c r="ER2" s="32"/>
      <c r="ES2" s="16"/>
      <c r="ET2" s="33"/>
      <c r="EU2" s="34"/>
      <c r="EV2" s="34"/>
      <c r="EW2" s="35" t="s">
        <v>32</v>
      </c>
      <c r="EX2" s="36"/>
      <c r="EY2" s="37"/>
      <c r="EZ2" s="38" t="s">
        <v>33</v>
      </c>
      <c r="FA2" s="39" t="s">
        <v>34</v>
      </c>
      <c r="FB2" s="40"/>
      <c r="FC2" s="41"/>
    </row>
    <row r="3" spans="2:172" s="41" customFormat="1" ht="207.75" customHeight="1" thickBot="1" x14ac:dyDescent="0.3">
      <c r="B3" s="327" t="s">
        <v>35</v>
      </c>
      <c r="C3" s="319" t="s">
        <v>36</v>
      </c>
      <c r="D3" s="42" t="s">
        <v>37</v>
      </c>
      <c r="E3" s="43" t="s">
        <v>38</v>
      </c>
      <c r="F3" s="44"/>
      <c r="G3" s="45" t="s">
        <v>39</v>
      </c>
      <c r="H3" s="46" t="s">
        <v>40</v>
      </c>
      <c r="I3" s="47" t="s">
        <v>41</v>
      </c>
      <c r="J3" s="48"/>
      <c r="K3" s="417"/>
      <c r="L3" s="49"/>
      <c r="M3" s="334" t="s">
        <v>84</v>
      </c>
      <c r="N3" s="335" t="s">
        <v>85</v>
      </c>
      <c r="O3" s="335" t="s">
        <v>86</v>
      </c>
      <c r="P3" s="336" t="s">
        <v>87</v>
      </c>
      <c r="Q3" s="337" t="s">
        <v>88</v>
      </c>
      <c r="R3" s="335" t="s">
        <v>89</v>
      </c>
      <c r="S3" s="335" t="s">
        <v>90</v>
      </c>
      <c r="T3" s="335" t="s">
        <v>91</v>
      </c>
      <c r="U3" s="335" t="s">
        <v>92</v>
      </c>
      <c r="V3" s="335" t="s">
        <v>93</v>
      </c>
      <c r="W3" s="335" t="s">
        <v>94</v>
      </c>
      <c r="X3" s="335" t="s">
        <v>95</v>
      </c>
      <c r="Y3" s="335" t="s">
        <v>96</v>
      </c>
      <c r="Z3" s="344" t="s">
        <v>97</v>
      </c>
      <c r="AA3" s="340" t="s">
        <v>83</v>
      </c>
      <c r="AB3" s="341" t="s">
        <v>115</v>
      </c>
      <c r="AC3" s="342" t="s">
        <v>116</v>
      </c>
      <c r="AD3" s="342" t="s">
        <v>117</v>
      </c>
      <c r="AE3" s="341" t="s">
        <v>118</v>
      </c>
      <c r="AF3" s="341" t="s">
        <v>119</v>
      </c>
      <c r="AG3" s="341" t="s">
        <v>134</v>
      </c>
      <c r="AH3" s="341"/>
      <c r="AI3" s="341"/>
      <c r="AJ3" s="341"/>
      <c r="AK3" s="341"/>
      <c r="AL3" s="341"/>
      <c r="AM3" s="343"/>
      <c r="AN3" s="383"/>
      <c r="AO3" s="52"/>
      <c r="AP3" s="420"/>
      <c r="AQ3" s="53"/>
      <c r="AR3" s="373"/>
      <c r="AS3" s="384"/>
      <c r="AT3" s="53"/>
      <c r="AU3" s="51" t="s">
        <v>98</v>
      </c>
      <c r="AV3" s="51" t="s">
        <v>99</v>
      </c>
      <c r="AW3" s="51" t="s">
        <v>100</v>
      </c>
      <c r="AX3" s="51" t="s">
        <v>101</v>
      </c>
      <c r="AY3" s="51" t="s">
        <v>102</v>
      </c>
      <c r="AZ3" s="51" t="s">
        <v>103</v>
      </c>
      <c r="BA3" s="51" t="s">
        <v>104</v>
      </c>
      <c r="BB3" s="51" t="s">
        <v>113</v>
      </c>
      <c r="BC3" s="51" t="s">
        <v>105</v>
      </c>
      <c r="BD3" s="51" t="s">
        <v>106</v>
      </c>
      <c r="BE3" s="51" t="s">
        <v>107</v>
      </c>
      <c r="BF3" s="51" t="s">
        <v>108</v>
      </c>
      <c r="BG3" s="51" t="s">
        <v>109</v>
      </c>
      <c r="BH3" s="51" t="s">
        <v>110</v>
      </c>
      <c r="BI3" s="51" t="s">
        <v>111</v>
      </c>
      <c r="BJ3" s="51" t="s">
        <v>112</v>
      </c>
      <c r="BK3" s="51" t="s">
        <v>114</v>
      </c>
      <c r="BL3" s="51"/>
      <c r="BM3" s="54"/>
      <c r="BN3" s="54"/>
      <c r="BO3" s="54"/>
      <c r="BP3" s="330"/>
      <c r="BQ3" s="55"/>
      <c r="BR3" s="56" t="s">
        <v>43</v>
      </c>
      <c r="BS3" s="54" t="s">
        <v>44</v>
      </c>
      <c r="BT3" s="54"/>
      <c r="BU3" s="54"/>
      <c r="BV3" s="54"/>
      <c r="BW3" s="54"/>
      <c r="BX3" s="54"/>
      <c r="BY3" s="54"/>
      <c r="BZ3" s="54" t="s">
        <v>42</v>
      </c>
      <c r="CA3" s="54" t="s">
        <v>42</v>
      </c>
      <c r="CB3" s="54" t="s">
        <v>42</v>
      </c>
      <c r="CC3" s="54"/>
      <c r="CD3" s="50" t="s">
        <v>131</v>
      </c>
      <c r="CE3" s="50" t="s">
        <v>132</v>
      </c>
      <c r="CF3" s="345" t="s">
        <v>130</v>
      </c>
      <c r="CG3" s="345" t="s">
        <v>120</v>
      </c>
      <c r="CH3" s="50" t="s">
        <v>121</v>
      </c>
      <c r="CI3" s="50" t="s">
        <v>123</v>
      </c>
      <c r="CJ3" s="50" t="s">
        <v>124</v>
      </c>
      <c r="CK3" s="50" t="s">
        <v>122</v>
      </c>
      <c r="CL3" s="50" t="s">
        <v>125</v>
      </c>
      <c r="CM3" s="50" t="s">
        <v>126</v>
      </c>
      <c r="CN3" s="50" t="s">
        <v>127</v>
      </c>
      <c r="CO3" s="50" t="s">
        <v>128</v>
      </c>
      <c r="CP3" s="352" t="s">
        <v>129</v>
      </c>
      <c r="CQ3" s="352" t="s">
        <v>133</v>
      </c>
      <c r="CR3" s="55" t="s">
        <v>42</v>
      </c>
      <c r="CS3" s="394"/>
      <c r="CT3" s="52"/>
      <c r="CU3" s="396"/>
      <c r="CV3" s="57"/>
      <c r="CW3" s="58" t="s">
        <v>45</v>
      </c>
      <c r="CX3" s="59" t="s">
        <v>46</v>
      </c>
      <c r="CY3" s="60" t="s">
        <v>47</v>
      </c>
      <c r="CZ3" s="61" t="s">
        <v>48</v>
      </c>
      <c r="DA3" s="60" t="s">
        <v>49</v>
      </c>
      <c r="DB3" s="62" t="s">
        <v>50</v>
      </c>
      <c r="DC3" s="63"/>
      <c r="DD3" s="64" t="s">
        <v>51</v>
      </c>
      <c r="DE3" s="65" t="s">
        <v>52</v>
      </c>
      <c r="DF3" s="66" t="s">
        <v>53</v>
      </c>
      <c r="DG3" s="67" t="s">
        <v>54</v>
      </c>
      <c r="DH3" s="68"/>
      <c r="DI3" s="69"/>
      <c r="DJ3" s="64" t="s">
        <v>40</v>
      </c>
      <c r="DK3" s="70" t="s">
        <v>41</v>
      </c>
      <c r="DL3" s="66" t="s">
        <v>55</v>
      </c>
      <c r="DM3" s="67" t="s">
        <v>56</v>
      </c>
      <c r="DN3" s="68"/>
      <c r="DO3" s="71"/>
      <c r="DP3" s="65" t="s">
        <v>24</v>
      </c>
      <c r="DQ3" s="65" t="s">
        <v>57</v>
      </c>
      <c r="DR3" s="64" t="s">
        <v>58</v>
      </c>
      <c r="DS3" s="72" t="s">
        <v>59</v>
      </c>
      <c r="DT3" s="68"/>
      <c r="DU3" s="73"/>
      <c r="DV3" s="363"/>
      <c r="DW3" s="68"/>
      <c r="DX3" s="74"/>
      <c r="DY3" s="367"/>
      <c r="DZ3" s="75" t="s">
        <v>60</v>
      </c>
      <c r="EA3" s="76" t="s">
        <v>61</v>
      </c>
      <c r="EB3" s="369"/>
      <c r="EC3" s="77"/>
      <c r="ED3" s="404"/>
      <c r="EE3" s="68"/>
      <c r="EF3" s="78"/>
      <c r="EG3" s="371"/>
      <c r="EH3" s="79" t="s">
        <v>62</v>
      </c>
      <c r="EI3" s="79" t="s">
        <v>63</v>
      </c>
      <c r="EJ3" s="80" t="s">
        <v>64</v>
      </c>
      <c r="EK3" s="81" t="s">
        <v>65</v>
      </c>
      <c r="EL3" s="363"/>
      <c r="EM3" s="82"/>
      <c r="EN3" s="78"/>
      <c r="EO3" s="371"/>
      <c r="EP3" s="365"/>
      <c r="EQ3" s="363"/>
      <c r="ER3" s="82"/>
      <c r="ES3" s="83"/>
      <c r="ET3" s="84"/>
      <c r="EU3" s="85" t="s">
        <v>66</v>
      </c>
      <c r="EV3" s="85" t="s">
        <v>67</v>
      </c>
      <c r="EW3" s="85" t="s">
        <v>68</v>
      </c>
      <c r="EX3" s="85" t="s">
        <v>69</v>
      </c>
      <c r="EZ3" s="85" t="s">
        <v>70</v>
      </c>
      <c r="FA3" s="86" t="s">
        <v>71</v>
      </c>
      <c r="FB3" s="87" t="s">
        <v>72</v>
      </c>
      <c r="FC3" s="88"/>
      <c r="FD3" s="88"/>
    </row>
    <row r="4" spans="2:172" s="41" customFormat="1" ht="4.5" customHeight="1" thickBot="1" x14ac:dyDescent="0.3">
      <c r="B4" s="328"/>
      <c r="C4" s="320"/>
      <c r="D4" s="63"/>
      <c r="E4" s="63"/>
      <c r="F4" s="63"/>
      <c r="G4" s="63"/>
      <c r="H4" s="89"/>
      <c r="I4" s="90"/>
      <c r="J4" s="63"/>
      <c r="K4" s="91"/>
      <c r="L4" s="91"/>
      <c r="M4" s="338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92"/>
      <c r="AB4" s="92"/>
      <c r="AC4" s="92"/>
      <c r="AD4" s="92"/>
      <c r="AE4" s="92"/>
      <c r="AF4" s="92"/>
      <c r="AG4" s="93"/>
      <c r="AH4" s="92"/>
      <c r="AI4" s="92"/>
      <c r="AJ4" s="93"/>
      <c r="AK4" s="93"/>
      <c r="AL4" s="93"/>
      <c r="AM4" s="94"/>
      <c r="AN4" s="95"/>
      <c r="AO4" s="96"/>
      <c r="AP4" s="96"/>
      <c r="AQ4" s="63"/>
      <c r="AR4" s="97"/>
      <c r="AS4" s="98"/>
      <c r="AT4" s="63"/>
      <c r="AU4" s="99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2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4"/>
      <c r="CE4" s="92"/>
      <c r="CF4" s="92"/>
      <c r="CG4" s="92"/>
      <c r="CH4" s="92"/>
      <c r="CI4" s="92"/>
      <c r="CJ4" s="92"/>
      <c r="CK4" s="93"/>
      <c r="CL4" s="93"/>
      <c r="CM4" s="93"/>
      <c r="CN4" s="94"/>
      <c r="CO4" s="103"/>
      <c r="CP4" s="103"/>
      <c r="CQ4" s="105"/>
      <c r="CR4" s="106"/>
      <c r="CS4" s="107"/>
      <c r="CT4" s="96"/>
      <c r="CU4" s="108"/>
      <c r="CV4" s="109"/>
      <c r="CW4" s="110"/>
      <c r="CX4" s="110"/>
      <c r="CY4" s="111"/>
      <c r="CZ4" s="112"/>
      <c r="DA4" s="113"/>
      <c r="DB4" s="112"/>
      <c r="DC4" s="114"/>
      <c r="DD4" s="89"/>
      <c r="DE4" s="89"/>
      <c r="DF4" s="63"/>
      <c r="DG4" s="115"/>
      <c r="DH4" s="116"/>
      <c r="DI4" s="112"/>
      <c r="DJ4" s="89"/>
      <c r="DK4" s="63"/>
      <c r="DL4" s="117"/>
      <c r="DM4" s="115"/>
      <c r="DN4" s="116"/>
      <c r="DO4" s="63"/>
      <c r="DP4" s="63"/>
      <c r="DQ4" s="63"/>
      <c r="DR4" s="63"/>
      <c r="DS4" s="118"/>
      <c r="DT4" s="116"/>
      <c r="DU4" s="112"/>
      <c r="DV4" s="119"/>
      <c r="DW4" s="116"/>
      <c r="DX4" s="112"/>
      <c r="DY4" s="120"/>
      <c r="DZ4" s="63"/>
      <c r="EA4" s="63"/>
      <c r="EB4" s="63"/>
      <c r="EC4" s="63"/>
      <c r="ED4" s="121"/>
      <c r="EE4" s="116"/>
      <c r="EF4" s="122"/>
      <c r="EG4" s="123"/>
      <c r="EH4" s="124"/>
      <c r="EI4" s="124"/>
      <c r="EJ4" s="124"/>
      <c r="EK4" s="124"/>
      <c r="EL4" s="125"/>
      <c r="EM4" s="126"/>
      <c r="EN4" s="122"/>
      <c r="EO4" s="123"/>
      <c r="EP4" s="124"/>
      <c r="EQ4" s="125"/>
      <c r="ER4" s="126"/>
      <c r="ES4" s="112"/>
      <c r="ET4" s="112"/>
      <c r="EU4" s="127"/>
      <c r="EV4" s="127"/>
      <c r="EW4" s="127"/>
      <c r="EX4" s="127"/>
      <c r="EY4" s="63"/>
      <c r="EZ4" s="128"/>
      <c r="FA4" s="129"/>
      <c r="FB4" s="130"/>
      <c r="FC4" s="131"/>
      <c r="FD4" s="131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</row>
    <row r="5" spans="2:172" ht="16" outlineLevel="1" thickBot="1" x14ac:dyDescent="0.4">
      <c r="B5" s="356"/>
      <c r="C5" s="353"/>
      <c r="D5" s="133"/>
      <c r="E5" s="134"/>
      <c r="F5" s="135"/>
      <c r="G5" s="136"/>
      <c r="H5" s="137"/>
      <c r="I5" s="138">
        <f t="shared" ref="I5:I67" si="0">IF(E5&gt;0.0001,0,0)</f>
        <v>0</v>
      </c>
      <c r="J5" s="139"/>
      <c r="K5" s="140">
        <f t="shared" ref="K5:K13" si="1">E5*60</f>
        <v>0</v>
      </c>
      <c r="L5" s="141"/>
      <c r="M5" s="142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2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4"/>
      <c r="AN5" s="145">
        <f t="shared" ref="AN5:AN68" si="2">SUM(M5:AM5)</f>
        <v>0</v>
      </c>
      <c r="AO5" s="146"/>
      <c r="AP5" s="147">
        <f t="shared" ref="AP5:AP68" si="3">K5-AN5</f>
        <v>0</v>
      </c>
      <c r="AQ5" s="148"/>
      <c r="AR5" s="149"/>
      <c r="AS5" s="149"/>
      <c r="AT5" s="135"/>
      <c r="AU5" s="150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0"/>
      <c r="BS5" s="151"/>
      <c r="BT5" s="153"/>
      <c r="BU5" s="151"/>
      <c r="BV5" s="151"/>
      <c r="BW5" s="151"/>
      <c r="BX5" s="151"/>
      <c r="BY5" s="151"/>
      <c r="BZ5" s="151"/>
      <c r="CA5" s="151"/>
      <c r="CB5" s="151"/>
      <c r="CC5" s="154"/>
      <c r="CD5" s="150"/>
      <c r="CE5" s="142"/>
      <c r="CF5" s="143"/>
      <c r="CG5" s="143"/>
      <c r="CH5" s="143"/>
      <c r="CI5" s="143"/>
      <c r="CJ5" s="143"/>
      <c r="CK5" s="143"/>
      <c r="CL5" s="143"/>
      <c r="CM5" s="143"/>
      <c r="CN5" s="143"/>
      <c r="CO5" s="346"/>
      <c r="CP5" s="151"/>
      <c r="CQ5" s="152"/>
      <c r="CR5" s="154"/>
      <c r="CS5" s="155">
        <f>SUM(AU5:CR5)</f>
        <v>0</v>
      </c>
      <c r="CT5" s="146"/>
      <c r="CU5" s="147">
        <f t="shared" ref="CU5:CU68" si="4">AP5-CS5</f>
        <v>0</v>
      </c>
      <c r="CV5" s="156"/>
      <c r="CW5" s="157" t="e">
        <f t="shared" ref="CW5:CW68" si="5">(SUM(M5:Z5))/K5</f>
        <v>#DIV/0!</v>
      </c>
      <c r="CX5" s="157" t="e">
        <f t="shared" ref="CX5:CX68" si="6">(SUM(AA5:AM5))/K5</f>
        <v>#DIV/0!</v>
      </c>
      <c r="CY5" s="157" t="e">
        <f t="shared" ref="CY5:CY68" si="7">(SUM(AU5:BQ5))/$K5</f>
        <v>#DIV/0!</v>
      </c>
      <c r="CZ5" s="157" t="e">
        <f t="shared" ref="CZ5:CZ68" si="8">(SUM(BR5:CC5))/K5</f>
        <v>#DIV/0!</v>
      </c>
      <c r="DA5" s="157" t="e">
        <f t="shared" ref="DA5:DA68" si="9">(SUM(CD5:CR5))/K5</f>
        <v>#DIV/0!</v>
      </c>
      <c r="DB5" s="158" t="e">
        <f t="shared" ref="DB5:DB68" si="10">CU5/K5</f>
        <v>#DIV/0!</v>
      </c>
      <c r="DC5" s="131"/>
      <c r="DD5" s="159">
        <f t="shared" ref="DD5:DD68" si="11">AP5</f>
        <v>0</v>
      </c>
      <c r="DE5" s="160">
        <f t="shared" ref="DE5:DE68" si="12">CS5</f>
        <v>0</v>
      </c>
      <c r="DF5" s="161">
        <f t="shared" ref="DF5:DF68" si="13">$DD5-DE5</f>
        <v>0</v>
      </c>
      <c r="DG5" s="162" t="e">
        <f t="shared" ref="DG5:DG68" si="14">DF5/$DD5</f>
        <v>#DIV/0!</v>
      </c>
      <c r="DH5" s="163">
        <f t="shared" ref="DH5:DH68" si="15">IF(AP5&gt;0.01,1,0)</f>
        <v>0</v>
      </c>
      <c r="DI5" s="164"/>
      <c r="DJ5" s="165">
        <f t="shared" ref="DJ5:DK37" si="16">H5</f>
        <v>0</v>
      </c>
      <c r="DK5" s="166">
        <f t="shared" si="16"/>
        <v>0</v>
      </c>
      <c r="DL5" s="167" t="e">
        <f t="shared" ref="DL5:DL68" si="17">DR5/DF5</f>
        <v>#DIV/0!</v>
      </c>
      <c r="DM5" s="168" t="e">
        <f t="shared" ref="DM5:DM68" si="18">DL5/DK5</f>
        <v>#DIV/0!</v>
      </c>
      <c r="DN5" s="163" t="e">
        <f t="shared" ref="DN5:DN68" si="19">IF(DM5&gt;0.01,1,0)</f>
        <v>#DIV/0!</v>
      </c>
      <c r="DO5" s="169"/>
      <c r="DP5" s="170"/>
      <c r="DQ5" s="171"/>
      <c r="DR5" s="172">
        <f t="shared" ref="DR5:DR68" si="20">DP5+DQ5</f>
        <v>0</v>
      </c>
      <c r="DS5" s="173" t="e">
        <f t="shared" ref="DS5:DS68" si="21">IF(DL5=0,0,DP5/DR5)</f>
        <v>#DIV/0!</v>
      </c>
      <c r="DT5" s="163" t="e">
        <f t="shared" ref="DT5:DT68" si="22">IF(DS5&gt;0.01,1,0)</f>
        <v>#DIV/0!</v>
      </c>
      <c r="DU5" s="174"/>
      <c r="DV5" s="175" t="e">
        <f t="shared" ref="DV5:DV68" si="23">DG5*DM5*DS5</f>
        <v>#DIV/0!</v>
      </c>
      <c r="DW5" s="163">
        <f t="shared" ref="DW5:DW68" si="24">IF($AP5&gt;0.01,1,0)</f>
        <v>0</v>
      </c>
      <c r="DX5" s="164"/>
      <c r="DY5" s="176">
        <f t="shared" ref="DY5:DY68" si="25">DP5</f>
        <v>0</v>
      </c>
      <c r="DZ5" s="177">
        <f t="shared" ref="DZ5:DZ68" si="26">DK5</f>
        <v>0</v>
      </c>
      <c r="EA5" s="178">
        <f t="shared" ref="EA5:EA68" si="27">+AP5</f>
        <v>0</v>
      </c>
      <c r="EB5" s="179">
        <f t="shared" ref="EB5:EB68" si="28">DZ5*EA5</f>
        <v>0</v>
      </c>
      <c r="EC5" s="180"/>
      <c r="ED5" s="175" t="e">
        <f t="shared" ref="ED5:ED68" si="29">DY5/EB5</f>
        <v>#DIV/0!</v>
      </c>
      <c r="EE5" s="163">
        <f t="shared" ref="EE5:EE68" si="30">IF($AP5&gt;0.01,1,0)</f>
        <v>0</v>
      </c>
      <c r="EF5" s="164"/>
      <c r="EG5" s="181">
        <f t="shared" ref="EG5:EG68" si="31">DP5</f>
        <v>0</v>
      </c>
      <c r="EH5" s="182">
        <f t="shared" ref="EH5:EH68" si="32">K5</f>
        <v>0</v>
      </c>
      <c r="EI5" s="182">
        <f t="shared" ref="EI5:EI68" si="33">SUM(M5:Z5)</f>
        <v>0</v>
      </c>
      <c r="EJ5" s="182">
        <f t="shared" ref="EJ5:EJ68" si="34">I5</f>
        <v>0</v>
      </c>
      <c r="EK5" s="183">
        <f t="shared" ref="EK5:EK68" si="35">(EH5-EI5)*EJ5</f>
        <v>0</v>
      </c>
      <c r="EL5" s="184" t="e">
        <f t="shared" ref="EL5:EL68" si="36">EG5/EK5</f>
        <v>#DIV/0!</v>
      </c>
      <c r="EM5" s="185">
        <f t="shared" ref="EM5:EM68" si="37">IF(EK5&gt;0.01,1,0)</f>
        <v>0</v>
      </c>
      <c r="EN5" s="164"/>
      <c r="EO5" s="181">
        <f t="shared" ref="EO5:EO68" si="38">EG5</f>
        <v>0</v>
      </c>
      <c r="EP5" s="183">
        <f t="shared" ref="EP5:EP68" si="39">EJ5</f>
        <v>0</v>
      </c>
      <c r="EQ5" s="184" t="e">
        <f t="shared" ref="EQ5:EQ68" si="40">EO5/(EP5*K5)</f>
        <v>#DIV/0!</v>
      </c>
      <c r="ER5" s="185">
        <f t="shared" ref="ER5:ER68" si="41">IF($K5&gt;0.01,1,0)</f>
        <v>0</v>
      </c>
      <c r="ES5" s="164"/>
      <c r="ET5" s="164"/>
      <c r="EU5" s="186">
        <f t="shared" ref="EU5:EU68" si="42">DK5</f>
        <v>0</v>
      </c>
      <c r="EV5" s="186">
        <f t="shared" ref="EV5:EV68" si="43">CU5</f>
        <v>0</v>
      </c>
      <c r="EW5" s="186">
        <f t="shared" ref="EW5:EW68" si="44">I5*CU5</f>
        <v>0</v>
      </c>
      <c r="EX5" s="186">
        <f t="shared" ref="EX5:EX68" si="45">DR5</f>
        <v>0</v>
      </c>
      <c r="EY5" s="131"/>
      <c r="EZ5" s="187">
        <f t="shared" ref="EZ5:EZ68" si="46">EW5-EX5</f>
        <v>0</v>
      </c>
      <c r="FA5" s="188" t="e">
        <f t="shared" ref="FA5:FA68" si="47">+IF(EZ5/I5&lt;0,0,(EZ5/I5))</f>
        <v>#DIV/0!</v>
      </c>
      <c r="FB5" s="189"/>
      <c r="FC5" s="131"/>
      <c r="FD5" s="131"/>
      <c r="FE5" s="131"/>
      <c r="FF5" s="131"/>
      <c r="FG5" s="131"/>
    </row>
    <row r="6" spans="2:172" ht="16" outlineLevel="1" thickBot="1" x14ac:dyDescent="0.4">
      <c r="B6" s="357"/>
      <c r="C6" s="354"/>
      <c r="D6" s="190"/>
      <c r="E6" s="191"/>
      <c r="F6" s="135"/>
      <c r="G6" s="192"/>
      <c r="H6" s="137"/>
      <c r="I6" s="138">
        <f t="shared" si="0"/>
        <v>0</v>
      </c>
      <c r="J6" s="139"/>
      <c r="K6" s="193">
        <f t="shared" si="1"/>
        <v>0</v>
      </c>
      <c r="L6" s="141"/>
      <c r="M6" s="194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4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6"/>
      <c r="AN6" s="197">
        <f t="shared" si="2"/>
        <v>0</v>
      </c>
      <c r="AO6" s="146"/>
      <c r="AP6" s="147">
        <f t="shared" si="3"/>
        <v>0</v>
      </c>
      <c r="AQ6" s="148"/>
      <c r="AR6" s="198"/>
      <c r="AS6" s="198"/>
      <c r="AT6" s="135"/>
      <c r="AU6" s="199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199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2"/>
      <c r="CD6" s="199"/>
      <c r="CE6" s="194"/>
      <c r="CF6" s="195"/>
      <c r="CG6" s="195"/>
      <c r="CH6" s="195"/>
      <c r="CI6" s="195"/>
      <c r="CJ6" s="195"/>
      <c r="CK6" s="195"/>
      <c r="CL6" s="195"/>
      <c r="CM6" s="195"/>
      <c r="CN6" s="195"/>
      <c r="CO6" s="347"/>
      <c r="CP6" s="200"/>
      <c r="CQ6" s="201"/>
      <c r="CR6" s="202"/>
      <c r="CS6" s="203">
        <f t="shared" ref="CS6:CS68" si="48">SUM(AU6:CR6)</f>
        <v>0</v>
      </c>
      <c r="CT6" s="146"/>
      <c r="CU6" s="147">
        <f t="shared" si="4"/>
        <v>0</v>
      </c>
      <c r="CV6" s="156"/>
      <c r="CW6" s="157" t="e">
        <f t="shared" si="5"/>
        <v>#DIV/0!</v>
      </c>
      <c r="CX6" s="157" t="e">
        <f t="shared" si="6"/>
        <v>#DIV/0!</v>
      </c>
      <c r="CY6" s="157" t="e">
        <f t="shared" si="7"/>
        <v>#DIV/0!</v>
      </c>
      <c r="CZ6" s="157" t="e">
        <f t="shared" si="8"/>
        <v>#DIV/0!</v>
      </c>
      <c r="DA6" s="157" t="e">
        <f t="shared" si="9"/>
        <v>#DIV/0!</v>
      </c>
      <c r="DB6" s="158" t="e">
        <f t="shared" si="10"/>
        <v>#DIV/0!</v>
      </c>
      <c r="DC6" s="131"/>
      <c r="DD6" s="159">
        <f t="shared" si="11"/>
        <v>0</v>
      </c>
      <c r="DE6" s="160">
        <f t="shared" si="12"/>
        <v>0</v>
      </c>
      <c r="DF6" s="161">
        <f t="shared" si="13"/>
        <v>0</v>
      </c>
      <c r="DG6" s="162" t="e">
        <f t="shared" si="14"/>
        <v>#DIV/0!</v>
      </c>
      <c r="DH6" s="163">
        <f t="shared" si="15"/>
        <v>0</v>
      </c>
      <c r="DI6" s="164"/>
      <c r="DJ6" s="165">
        <f t="shared" si="16"/>
        <v>0</v>
      </c>
      <c r="DK6" s="166">
        <f t="shared" si="16"/>
        <v>0</v>
      </c>
      <c r="DL6" s="167" t="e">
        <f t="shared" si="17"/>
        <v>#DIV/0!</v>
      </c>
      <c r="DM6" s="168" t="e">
        <f t="shared" si="18"/>
        <v>#DIV/0!</v>
      </c>
      <c r="DN6" s="163" t="e">
        <f t="shared" si="19"/>
        <v>#DIV/0!</v>
      </c>
      <c r="DO6" s="169"/>
      <c r="DP6" s="170"/>
      <c r="DQ6" s="171"/>
      <c r="DR6" s="172">
        <f t="shared" si="20"/>
        <v>0</v>
      </c>
      <c r="DS6" s="173" t="e">
        <f t="shared" si="21"/>
        <v>#DIV/0!</v>
      </c>
      <c r="DT6" s="163" t="e">
        <f t="shared" si="22"/>
        <v>#DIV/0!</v>
      </c>
      <c r="DU6" s="174"/>
      <c r="DV6" s="175" t="e">
        <f t="shared" si="23"/>
        <v>#DIV/0!</v>
      </c>
      <c r="DW6" s="163">
        <f t="shared" si="24"/>
        <v>0</v>
      </c>
      <c r="DX6" s="164"/>
      <c r="DY6" s="176">
        <f t="shared" si="25"/>
        <v>0</v>
      </c>
      <c r="DZ6" s="177">
        <f t="shared" si="26"/>
        <v>0</v>
      </c>
      <c r="EA6" s="178">
        <f t="shared" si="27"/>
        <v>0</v>
      </c>
      <c r="EB6" s="179">
        <f t="shared" si="28"/>
        <v>0</v>
      </c>
      <c r="EC6" s="180"/>
      <c r="ED6" s="175" t="e">
        <f t="shared" si="29"/>
        <v>#DIV/0!</v>
      </c>
      <c r="EE6" s="163">
        <f t="shared" si="30"/>
        <v>0</v>
      </c>
      <c r="EF6" s="164"/>
      <c r="EG6" s="181">
        <f t="shared" si="31"/>
        <v>0</v>
      </c>
      <c r="EH6" s="182">
        <f t="shared" si="32"/>
        <v>0</v>
      </c>
      <c r="EI6" s="182">
        <f t="shared" si="33"/>
        <v>0</v>
      </c>
      <c r="EJ6" s="182">
        <f t="shared" si="34"/>
        <v>0</v>
      </c>
      <c r="EK6" s="183">
        <f t="shared" si="35"/>
        <v>0</v>
      </c>
      <c r="EL6" s="184" t="e">
        <f t="shared" si="36"/>
        <v>#DIV/0!</v>
      </c>
      <c r="EM6" s="185">
        <f t="shared" si="37"/>
        <v>0</v>
      </c>
      <c r="EN6" s="164"/>
      <c r="EO6" s="181">
        <f t="shared" si="38"/>
        <v>0</v>
      </c>
      <c r="EP6" s="183">
        <f t="shared" si="39"/>
        <v>0</v>
      </c>
      <c r="EQ6" s="184" t="e">
        <f t="shared" si="40"/>
        <v>#DIV/0!</v>
      </c>
      <c r="ER6" s="185">
        <f t="shared" si="41"/>
        <v>0</v>
      </c>
      <c r="ES6" s="164"/>
      <c r="ET6" s="164"/>
      <c r="EU6" s="186">
        <f t="shared" si="42"/>
        <v>0</v>
      </c>
      <c r="EV6" s="186">
        <f t="shared" si="43"/>
        <v>0</v>
      </c>
      <c r="EW6" s="186">
        <f t="shared" si="44"/>
        <v>0</v>
      </c>
      <c r="EX6" s="186">
        <f t="shared" si="45"/>
        <v>0</v>
      </c>
      <c r="EY6" s="131"/>
      <c r="EZ6" s="187">
        <f t="shared" si="46"/>
        <v>0</v>
      </c>
      <c r="FA6" s="188" t="e">
        <f t="shared" si="47"/>
        <v>#DIV/0!</v>
      </c>
      <c r="FB6" s="189"/>
      <c r="FC6" s="131"/>
      <c r="FD6" s="131"/>
      <c r="FE6" s="131"/>
      <c r="FF6" s="131"/>
      <c r="FG6" s="131"/>
    </row>
    <row r="7" spans="2:172" ht="16" outlineLevel="1" thickBot="1" x14ac:dyDescent="0.4">
      <c r="B7" s="358"/>
      <c r="C7" s="355"/>
      <c r="D7" s="204"/>
      <c r="E7" s="205"/>
      <c r="F7" s="135"/>
      <c r="G7" s="206"/>
      <c r="H7" s="207"/>
      <c r="I7" s="138">
        <f t="shared" si="0"/>
        <v>0</v>
      </c>
      <c r="J7" s="139"/>
      <c r="K7" s="208">
        <f t="shared" si="1"/>
        <v>0</v>
      </c>
      <c r="L7" s="141"/>
      <c r="M7" s="209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09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1"/>
      <c r="AN7" s="212">
        <f t="shared" si="2"/>
        <v>0</v>
      </c>
      <c r="AO7" s="146"/>
      <c r="AP7" s="147">
        <f t="shared" si="3"/>
        <v>0</v>
      </c>
      <c r="AQ7" s="148"/>
      <c r="AR7" s="213"/>
      <c r="AS7" s="213"/>
      <c r="AT7" s="135"/>
      <c r="AU7" s="214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6"/>
      <c r="BG7" s="216"/>
      <c r="BH7" s="216"/>
      <c r="BI7" s="216"/>
      <c r="BJ7" s="216"/>
      <c r="BK7" s="216"/>
      <c r="BL7" s="216"/>
      <c r="BM7" s="216"/>
      <c r="BN7" s="216"/>
      <c r="BO7" s="216"/>
      <c r="BP7" s="216"/>
      <c r="BQ7" s="216"/>
      <c r="BR7" s="214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7"/>
      <c r="CD7" s="214"/>
      <c r="CE7" s="209"/>
      <c r="CF7" s="210"/>
      <c r="CG7" s="210"/>
      <c r="CH7" s="210"/>
      <c r="CI7" s="210"/>
      <c r="CJ7" s="210"/>
      <c r="CK7" s="210"/>
      <c r="CL7" s="210"/>
      <c r="CM7" s="210"/>
      <c r="CN7" s="210"/>
      <c r="CO7" s="348"/>
      <c r="CP7" s="215"/>
      <c r="CQ7" s="216"/>
      <c r="CR7" s="217"/>
      <c r="CS7" s="218">
        <f t="shared" si="48"/>
        <v>0</v>
      </c>
      <c r="CT7" s="146"/>
      <c r="CU7" s="147">
        <f t="shared" si="4"/>
        <v>0</v>
      </c>
      <c r="CV7" s="156"/>
      <c r="CW7" s="157" t="e">
        <f t="shared" si="5"/>
        <v>#DIV/0!</v>
      </c>
      <c r="CX7" s="157" t="e">
        <f t="shared" si="6"/>
        <v>#DIV/0!</v>
      </c>
      <c r="CY7" s="157" t="e">
        <f t="shared" si="7"/>
        <v>#DIV/0!</v>
      </c>
      <c r="CZ7" s="157" t="e">
        <f t="shared" si="8"/>
        <v>#DIV/0!</v>
      </c>
      <c r="DA7" s="157" t="e">
        <f t="shared" si="9"/>
        <v>#DIV/0!</v>
      </c>
      <c r="DB7" s="158" t="e">
        <f t="shared" si="10"/>
        <v>#DIV/0!</v>
      </c>
      <c r="DC7" s="131"/>
      <c r="DD7" s="159">
        <f t="shared" si="11"/>
        <v>0</v>
      </c>
      <c r="DE7" s="160">
        <f t="shared" si="12"/>
        <v>0</v>
      </c>
      <c r="DF7" s="161">
        <f t="shared" si="13"/>
        <v>0</v>
      </c>
      <c r="DG7" s="162" t="e">
        <f t="shared" si="14"/>
        <v>#DIV/0!</v>
      </c>
      <c r="DH7" s="163">
        <f t="shared" si="15"/>
        <v>0</v>
      </c>
      <c r="DI7" s="164"/>
      <c r="DJ7" s="165">
        <f t="shared" si="16"/>
        <v>0</v>
      </c>
      <c r="DK7" s="166">
        <f t="shared" si="16"/>
        <v>0</v>
      </c>
      <c r="DL7" s="167" t="e">
        <f t="shared" si="17"/>
        <v>#DIV/0!</v>
      </c>
      <c r="DM7" s="168" t="e">
        <f t="shared" si="18"/>
        <v>#DIV/0!</v>
      </c>
      <c r="DN7" s="163" t="e">
        <f t="shared" si="19"/>
        <v>#DIV/0!</v>
      </c>
      <c r="DO7" s="169"/>
      <c r="DP7" s="170"/>
      <c r="DQ7" s="171"/>
      <c r="DR7" s="172">
        <f t="shared" si="20"/>
        <v>0</v>
      </c>
      <c r="DS7" s="173" t="e">
        <f t="shared" si="21"/>
        <v>#DIV/0!</v>
      </c>
      <c r="DT7" s="163" t="e">
        <f t="shared" si="22"/>
        <v>#DIV/0!</v>
      </c>
      <c r="DU7" s="174"/>
      <c r="DV7" s="175" t="e">
        <f t="shared" si="23"/>
        <v>#DIV/0!</v>
      </c>
      <c r="DW7" s="163">
        <f t="shared" si="24"/>
        <v>0</v>
      </c>
      <c r="DX7" s="164"/>
      <c r="DY7" s="176">
        <f t="shared" si="25"/>
        <v>0</v>
      </c>
      <c r="DZ7" s="177">
        <f t="shared" si="26"/>
        <v>0</v>
      </c>
      <c r="EA7" s="178">
        <f t="shared" si="27"/>
        <v>0</v>
      </c>
      <c r="EB7" s="179">
        <f t="shared" si="28"/>
        <v>0</v>
      </c>
      <c r="EC7" s="180"/>
      <c r="ED7" s="175" t="e">
        <f t="shared" si="29"/>
        <v>#DIV/0!</v>
      </c>
      <c r="EE7" s="163">
        <f t="shared" si="30"/>
        <v>0</v>
      </c>
      <c r="EF7" s="164"/>
      <c r="EG7" s="181">
        <f t="shared" si="31"/>
        <v>0</v>
      </c>
      <c r="EH7" s="182">
        <f t="shared" si="32"/>
        <v>0</v>
      </c>
      <c r="EI7" s="182">
        <f t="shared" si="33"/>
        <v>0</v>
      </c>
      <c r="EJ7" s="182">
        <f t="shared" si="34"/>
        <v>0</v>
      </c>
      <c r="EK7" s="183">
        <f t="shared" si="35"/>
        <v>0</v>
      </c>
      <c r="EL7" s="184" t="e">
        <f t="shared" si="36"/>
        <v>#DIV/0!</v>
      </c>
      <c r="EM7" s="185">
        <f t="shared" si="37"/>
        <v>0</v>
      </c>
      <c r="EN7" s="164"/>
      <c r="EO7" s="181">
        <f t="shared" si="38"/>
        <v>0</v>
      </c>
      <c r="EP7" s="183">
        <f t="shared" si="39"/>
        <v>0</v>
      </c>
      <c r="EQ7" s="184" t="e">
        <f t="shared" si="40"/>
        <v>#DIV/0!</v>
      </c>
      <c r="ER7" s="185">
        <f t="shared" si="41"/>
        <v>0</v>
      </c>
      <c r="ES7" s="164"/>
      <c r="ET7" s="164"/>
      <c r="EU7" s="186">
        <f t="shared" si="42"/>
        <v>0</v>
      </c>
      <c r="EV7" s="186">
        <f t="shared" si="43"/>
        <v>0</v>
      </c>
      <c r="EW7" s="186">
        <f t="shared" si="44"/>
        <v>0</v>
      </c>
      <c r="EX7" s="186">
        <f t="shared" si="45"/>
        <v>0</v>
      </c>
      <c r="EY7" s="131"/>
      <c r="EZ7" s="187">
        <f t="shared" si="46"/>
        <v>0</v>
      </c>
      <c r="FA7" s="188" t="e">
        <f t="shared" si="47"/>
        <v>#DIV/0!</v>
      </c>
      <c r="FB7" s="189"/>
      <c r="FC7" s="131"/>
      <c r="FD7" s="131"/>
      <c r="FE7" s="131"/>
      <c r="FF7" s="131"/>
      <c r="FG7" s="131"/>
    </row>
    <row r="8" spans="2:172" ht="16" outlineLevel="1" thickBot="1" x14ac:dyDescent="0.4">
      <c r="B8" s="356"/>
      <c r="C8" s="353"/>
      <c r="D8" s="133"/>
      <c r="E8" s="134"/>
      <c r="F8" s="135"/>
      <c r="G8" s="136"/>
      <c r="H8" s="137"/>
      <c r="I8" s="138">
        <f t="shared" si="0"/>
        <v>0</v>
      </c>
      <c r="J8" s="139"/>
      <c r="K8" s="140">
        <f t="shared" si="1"/>
        <v>0</v>
      </c>
      <c r="L8" s="141"/>
      <c r="M8" s="142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4"/>
      <c r="AN8" s="145">
        <f t="shared" si="2"/>
        <v>0</v>
      </c>
      <c r="AO8" s="146"/>
      <c r="AP8" s="147">
        <f t="shared" si="3"/>
        <v>0</v>
      </c>
      <c r="AQ8" s="148"/>
      <c r="AR8" s="149"/>
      <c r="AS8" s="149"/>
      <c r="AT8" s="135"/>
      <c r="AU8" s="150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0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4"/>
      <c r="CD8" s="150"/>
      <c r="CE8" s="142"/>
      <c r="CF8" s="143"/>
      <c r="CG8" s="143"/>
      <c r="CH8" s="143"/>
      <c r="CI8" s="143"/>
      <c r="CJ8" s="143"/>
      <c r="CK8" s="143"/>
      <c r="CL8" s="143"/>
      <c r="CM8" s="143"/>
      <c r="CN8" s="143"/>
      <c r="CO8" s="346"/>
      <c r="CP8" s="151"/>
      <c r="CQ8" s="152"/>
      <c r="CR8" s="154"/>
      <c r="CS8" s="155">
        <f t="shared" si="48"/>
        <v>0</v>
      </c>
      <c r="CT8" s="146"/>
      <c r="CU8" s="147">
        <f t="shared" si="4"/>
        <v>0</v>
      </c>
      <c r="CV8" s="156"/>
      <c r="CW8" s="157" t="e">
        <f t="shared" si="5"/>
        <v>#DIV/0!</v>
      </c>
      <c r="CX8" s="157" t="e">
        <f t="shared" si="6"/>
        <v>#DIV/0!</v>
      </c>
      <c r="CY8" s="157" t="e">
        <f t="shared" si="7"/>
        <v>#DIV/0!</v>
      </c>
      <c r="CZ8" s="157" t="e">
        <f t="shared" si="8"/>
        <v>#DIV/0!</v>
      </c>
      <c r="DA8" s="157" t="e">
        <f t="shared" si="9"/>
        <v>#DIV/0!</v>
      </c>
      <c r="DB8" s="158" t="e">
        <f t="shared" si="10"/>
        <v>#DIV/0!</v>
      </c>
      <c r="DC8" s="131"/>
      <c r="DD8" s="159">
        <f t="shared" si="11"/>
        <v>0</v>
      </c>
      <c r="DE8" s="160">
        <f t="shared" si="12"/>
        <v>0</v>
      </c>
      <c r="DF8" s="161">
        <f t="shared" si="13"/>
        <v>0</v>
      </c>
      <c r="DG8" s="162" t="e">
        <f t="shared" si="14"/>
        <v>#DIV/0!</v>
      </c>
      <c r="DH8" s="163">
        <f t="shared" si="15"/>
        <v>0</v>
      </c>
      <c r="DI8" s="164"/>
      <c r="DJ8" s="165">
        <f t="shared" si="16"/>
        <v>0</v>
      </c>
      <c r="DK8" s="166">
        <f t="shared" si="16"/>
        <v>0</v>
      </c>
      <c r="DL8" s="167" t="e">
        <f t="shared" si="17"/>
        <v>#DIV/0!</v>
      </c>
      <c r="DM8" s="168" t="e">
        <f t="shared" si="18"/>
        <v>#DIV/0!</v>
      </c>
      <c r="DN8" s="163" t="e">
        <f t="shared" si="19"/>
        <v>#DIV/0!</v>
      </c>
      <c r="DO8" s="169"/>
      <c r="DP8" s="170"/>
      <c r="DQ8" s="171"/>
      <c r="DR8" s="172">
        <f t="shared" si="20"/>
        <v>0</v>
      </c>
      <c r="DS8" s="173" t="e">
        <f t="shared" si="21"/>
        <v>#DIV/0!</v>
      </c>
      <c r="DT8" s="163" t="e">
        <f t="shared" si="22"/>
        <v>#DIV/0!</v>
      </c>
      <c r="DU8" s="174"/>
      <c r="DV8" s="175" t="e">
        <f t="shared" si="23"/>
        <v>#DIV/0!</v>
      </c>
      <c r="DW8" s="163">
        <f t="shared" si="24"/>
        <v>0</v>
      </c>
      <c r="DX8" s="164"/>
      <c r="DY8" s="176">
        <f t="shared" si="25"/>
        <v>0</v>
      </c>
      <c r="DZ8" s="177">
        <f t="shared" si="26"/>
        <v>0</v>
      </c>
      <c r="EA8" s="178">
        <f t="shared" si="27"/>
        <v>0</v>
      </c>
      <c r="EB8" s="179">
        <f t="shared" si="28"/>
        <v>0</v>
      </c>
      <c r="EC8" s="180"/>
      <c r="ED8" s="175" t="e">
        <f t="shared" si="29"/>
        <v>#DIV/0!</v>
      </c>
      <c r="EE8" s="163">
        <f t="shared" si="30"/>
        <v>0</v>
      </c>
      <c r="EF8" s="164"/>
      <c r="EG8" s="181">
        <f t="shared" si="31"/>
        <v>0</v>
      </c>
      <c r="EH8" s="182">
        <f t="shared" si="32"/>
        <v>0</v>
      </c>
      <c r="EI8" s="182">
        <f t="shared" si="33"/>
        <v>0</v>
      </c>
      <c r="EJ8" s="182">
        <f t="shared" si="34"/>
        <v>0</v>
      </c>
      <c r="EK8" s="183">
        <f t="shared" si="35"/>
        <v>0</v>
      </c>
      <c r="EL8" s="184" t="e">
        <f t="shared" si="36"/>
        <v>#DIV/0!</v>
      </c>
      <c r="EM8" s="185">
        <f t="shared" si="37"/>
        <v>0</v>
      </c>
      <c r="EN8" s="164"/>
      <c r="EO8" s="181">
        <f t="shared" si="38"/>
        <v>0</v>
      </c>
      <c r="EP8" s="183">
        <f t="shared" si="39"/>
        <v>0</v>
      </c>
      <c r="EQ8" s="184" t="e">
        <f t="shared" si="40"/>
        <v>#DIV/0!</v>
      </c>
      <c r="ER8" s="185">
        <f t="shared" si="41"/>
        <v>0</v>
      </c>
      <c r="ES8" s="164"/>
      <c r="ET8" s="164"/>
      <c r="EU8" s="186">
        <f t="shared" si="42"/>
        <v>0</v>
      </c>
      <c r="EV8" s="186">
        <f t="shared" si="43"/>
        <v>0</v>
      </c>
      <c r="EW8" s="186">
        <f t="shared" si="44"/>
        <v>0</v>
      </c>
      <c r="EX8" s="186">
        <f t="shared" si="45"/>
        <v>0</v>
      </c>
      <c r="EY8" s="131"/>
      <c r="EZ8" s="187">
        <f t="shared" si="46"/>
        <v>0</v>
      </c>
      <c r="FA8" s="188" t="e">
        <f t="shared" si="47"/>
        <v>#DIV/0!</v>
      </c>
      <c r="FB8" s="189"/>
      <c r="FC8" s="131"/>
      <c r="FD8" s="131"/>
      <c r="FE8" s="131"/>
      <c r="FF8" s="131"/>
      <c r="FG8" s="131"/>
    </row>
    <row r="9" spans="2:172" ht="16" outlineLevel="1" thickBot="1" x14ac:dyDescent="0.4">
      <c r="B9" s="357"/>
      <c r="C9" s="354"/>
      <c r="D9" s="190"/>
      <c r="E9" s="191"/>
      <c r="F9" s="135"/>
      <c r="G9" s="192"/>
      <c r="H9" s="137"/>
      <c r="I9" s="138">
        <f t="shared" si="0"/>
        <v>0</v>
      </c>
      <c r="J9" s="139"/>
      <c r="K9" s="193">
        <f t="shared" si="1"/>
        <v>0</v>
      </c>
      <c r="L9" s="141"/>
      <c r="M9" s="194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4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6"/>
      <c r="AN9" s="197">
        <f t="shared" si="2"/>
        <v>0</v>
      </c>
      <c r="AO9" s="146"/>
      <c r="AP9" s="147">
        <f t="shared" si="3"/>
        <v>0</v>
      </c>
      <c r="AQ9" s="148"/>
      <c r="AR9" s="198"/>
      <c r="AS9" s="198"/>
      <c r="AT9" s="135"/>
      <c r="AU9" s="199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199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2"/>
      <c r="CD9" s="199"/>
      <c r="CE9" s="194"/>
      <c r="CF9" s="195"/>
      <c r="CG9" s="195"/>
      <c r="CH9" s="195"/>
      <c r="CI9" s="195"/>
      <c r="CJ9" s="195"/>
      <c r="CK9" s="195"/>
      <c r="CL9" s="195"/>
      <c r="CM9" s="195"/>
      <c r="CN9" s="195"/>
      <c r="CO9" s="347"/>
      <c r="CP9" s="200"/>
      <c r="CQ9" s="201"/>
      <c r="CR9" s="202"/>
      <c r="CS9" s="203">
        <f t="shared" si="48"/>
        <v>0</v>
      </c>
      <c r="CT9" s="146"/>
      <c r="CU9" s="147">
        <f t="shared" si="4"/>
        <v>0</v>
      </c>
      <c r="CV9" s="156"/>
      <c r="CW9" s="157" t="e">
        <f t="shared" si="5"/>
        <v>#DIV/0!</v>
      </c>
      <c r="CX9" s="157" t="e">
        <f t="shared" si="6"/>
        <v>#DIV/0!</v>
      </c>
      <c r="CY9" s="157" t="e">
        <f t="shared" si="7"/>
        <v>#DIV/0!</v>
      </c>
      <c r="CZ9" s="157" t="e">
        <f t="shared" si="8"/>
        <v>#DIV/0!</v>
      </c>
      <c r="DA9" s="157" t="e">
        <f t="shared" si="9"/>
        <v>#DIV/0!</v>
      </c>
      <c r="DB9" s="158" t="e">
        <f t="shared" si="10"/>
        <v>#DIV/0!</v>
      </c>
      <c r="DC9" s="131"/>
      <c r="DD9" s="159">
        <f t="shared" si="11"/>
        <v>0</v>
      </c>
      <c r="DE9" s="160">
        <f t="shared" si="12"/>
        <v>0</v>
      </c>
      <c r="DF9" s="161">
        <f t="shared" si="13"/>
        <v>0</v>
      </c>
      <c r="DG9" s="162" t="e">
        <f t="shared" si="14"/>
        <v>#DIV/0!</v>
      </c>
      <c r="DH9" s="163">
        <f t="shared" si="15"/>
        <v>0</v>
      </c>
      <c r="DI9" s="164"/>
      <c r="DJ9" s="165">
        <f t="shared" si="16"/>
        <v>0</v>
      </c>
      <c r="DK9" s="166">
        <f t="shared" si="16"/>
        <v>0</v>
      </c>
      <c r="DL9" s="167" t="e">
        <f t="shared" si="17"/>
        <v>#DIV/0!</v>
      </c>
      <c r="DM9" s="168" t="e">
        <f t="shared" si="18"/>
        <v>#DIV/0!</v>
      </c>
      <c r="DN9" s="163" t="e">
        <f t="shared" si="19"/>
        <v>#DIV/0!</v>
      </c>
      <c r="DO9" s="169"/>
      <c r="DP9" s="170"/>
      <c r="DQ9" s="171"/>
      <c r="DR9" s="172">
        <f t="shared" si="20"/>
        <v>0</v>
      </c>
      <c r="DS9" s="173" t="e">
        <f t="shared" si="21"/>
        <v>#DIV/0!</v>
      </c>
      <c r="DT9" s="163" t="e">
        <f t="shared" si="22"/>
        <v>#DIV/0!</v>
      </c>
      <c r="DU9" s="174"/>
      <c r="DV9" s="175" t="e">
        <f t="shared" si="23"/>
        <v>#DIV/0!</v>
      </c>
      <c r="DW9" s="163">
        <f t="shared" si="24"/>
        <v>0</v>
      </c>
      <c r="DX9" s="164"/>
      <c r="DY9" s="176">
        <f t="shared" si="25"/>
        <v>0</v>
      </c>
      <c r="DZ9" s="177">
        <f t="shared" si="26"/>
        <v>0</v>
      </c>
      <c r="EA9" s="178">
        <f t="shared" si="27"/>
        <v>0</v>
      </c>
      <c r="EB9" s="179">
        <f t="shared" si="28"/>
        <v>0</v>
      </c>
      <c r="EC9" s="180"/>
      <c r="ED9" s="175" t="e">
        <f t="shared" si="29"/>
        <v>#DIV/0!</v>
      </c>
      <c r="EE9" s="163">
        <f t="shared" si="30"/>
        <v>0</v>
      </c>
      <c r="EF9" s="164"/>
      <c r="EG9" s="181">
        <f t="shared" si="31"/>
        <v>0</v>
      </c>
      <c r="EH9" s="182">
        <f t="shared" si="32"/>
        <v>0</v>
      </c>
      <c r="EI9" s="182">
        <f t="shared" si="33"/>
        <v>0</v>
      </c>
      <c r="EJ9" s="182">
        <f t="shared" si="34"/>
        <v>0</v>
      </c>
      <c r="EK9" s="183">
        <f t="shared" si="35"/>
        <v>0</v>
      </c>
      <c r="EL9" s="184" t="e">
        <f t="shared" si="36"/>
        <v>#DIV/0!</v>
      </c>
      <c r="EM9" s="185">
        <f t="shared" si="37"/>
        <v>0</v>
      </c>
      <c r="EN9" s="164"/>
      <c r="EO9" s="181">
        <f t="shared" si="38"/>
        <v>0</v>
      </c>
      <c r="EP9" s="183">
        <f t="shared" si="39"/>
        <v>0</v>
      </c>
      <c r="EQ9" s="184" t="e">
        <f t="shared" si="40"/>
        <v>#DIV/0!</v>
      </c>
      <c r="ER9" s="185">
        <f t="shared" si="41"/>
        <v>0</v>
      </c>
      <c r="ES9" s="164"/>
      <c r="ET9" s="164"/>
      <c r="EU9" s="186">
        <f t="shared" si="42"/>
        <v>0</v>
      </c>
      <c r="EV9" s="186">
        <f t="shared" si="43"/>
        <v>0</v>
      </c>
      <c r="EW9" s="186">
        <f t="shared" si="44"/>
        <v>0</v>
      </c>
      <c r="EX9" s="186">
        <f t="shared" si="45"/>
        <v>0</v>
      </c>
      <c r="EY9" s="131"/>
      <c r="EZ9" s="187">
        <f t="shared" si="46"/>
        <v>0</v>
      </c>
      <c r="FA9" s="188" t="e">
        <f t="shared" si="47"/>
        <v>#DIV/0!</v>
      </c>
      <c r="FB9" s="189"/>
      <c r="FC9" s="131"/>
      <c r="FD9" s="131"/>
      <c r="FE9" s="131"/>
      <c r="FF9" s="131"/>
      <c r="FG9" s="131"/>
    </row>
    <row r="10" spans="2:172" ht="16" outlineLevel="1" thickBot="1" x14ac:dyDescent="0.4">
      <c r="B10" s="358"/>
      <c r="C10" s="355"/>
      <c r="D10" s="204"/>
      <c r="E10" s="205"/>
      <c r="F10" s="135"/>
      <c r="G10" s="206"/>
      <c r="H10" s="207"/>
      <c r="I10" s="138">
        <f t="shared" si="0"/>
        <v>0</v>
      </c>
      <c r="J10" s="139"/>
      <c r="K10" s="208">
        <f t="shared" si="1"/>
        <v>0</v>
      </c>
      <c r="L10" s="141"/>
      <c r="M10" s="209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09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1"/>
      <c r="AN10" s="212">
        <f t="shared" si="2"/>
        <v>0</v>
      </c>
      <c r="AO10" s="146"/>
      <c r="AP10" s="147">
        <f t="shared" si="3"/>
        <v>0</v>
      </c>
      <c r="AQ10" s="148"/>
      <c r="AR10" s="213"/>
      <c r="AS10" s="213"/>
      <c r="AT10" s="135"/>
      <c r="AU10" s="214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6"/>
      <c r="BG10" s="216"/>
      <c r="BH10" s="216"/>
      <c r="BI10" s="216"/>
      <c r="BJ10" s="216"/>
      <c r="BK10" s="216"/>
      <c r="BL10" s="216"/>
      <c r="BM10" s="216"/>
      <c r="BN10" s="216"/>
      <c r="BO10" s="216"/>
      <c r="BP10" s="216"/>
      <c r="BQ10" s="216"/>
      <c r="BR10" s="214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7"/>
      <c r="CD10" s="214"/>
      <c r="CE10" s="209"/>
      <c r="CF10" s="210"/>
      <c r="CG10" s="210"/>
      <c r="CH10" s="210"/>
      <c r="CI10" s="210"/>
      <c r="CJ10" s="210"/>
      <c r="CK10" s="210"/>
      <c r="CL10" s="210"/>
      <c r="CM10" s="210"/>
      <c r="CN10" s="210"/>
      <c r="CO10" s="348"/>
      <c r="CP10" s="215"/>
      <c r="CQ10" s="216"/>
      <c r="CR10" s="217"/>
      <c r="CS10" s="218">
        <f t="shared" si="48"/>
        <v>0</v>
      </c>
      <c r="CT10" s="146"/>
      <c r="CU10" s="147">
        <f t="shared" si="4"/>
        <v>0</v>
      </c>
      <c r="CV10" s="156"/>
      <c r="CW10" s="157" t="e">
        <f t="shared" si="5"/>
        <v>#DIV/0!</v>
      </c>
      <c r="CX10" s="157" t="e">
        <f t="shared" si="6"/>
        <v>#DIV/0!</v>
      </c>
      <c r="CY10" s="157" t="e">
        <f t="shared" si="7"/>
        <v>#DIV/0!</v>
      </c>
      <c r="CZ10" s="157" t="e">
        <f t="shared" si="8"/>
        <v>#DIV/0!</v>
      </c>
      <c r="DA10" s="157" t="e">
        <f t="shared" si="9"/>
        <v>#DIV/0!</v>
      </c>
      <c r="DB10" s="158" t="e">
        <f t="shared" si="10"/>
        <v>#DIV/0!</v>
      </c>
      <c r="DC10" s="131"/>
      <c r="DD10" s="159">
        <f t="shared" si="11"/>
        <v>0</v>
      </c>
      <c r="DE10" s="160">
        <f t="shared" si="12"/>
        <v>0</v>
      </c>
      <c r="DF10" s="161">
        <f t="shared" si="13"/>
        <v>0</v>
      </c>
      <c r="DG10" s="162" t="e">
        <f t="shared" si="14"/>
        <v>#DIV/0!</v>
      </c>
      <c r="DH10" s="163">
        <f t="shared" si="15"/>
        <v>0</v>
      </c>
      <c r="DI10" s="164"/>
      <c r="DJ10" s="165">
        <f t="shared" si="16"/>
        <v>0</v>
      </c>
      <c r="DK10" s="166">
        <f t="shared" si="16"/>
        <v>0</v>
      </c>
      <c r="DL10" s="167" t="e">
        <f t="shared" si="17"/>
        <v>#DIV/0!</v>
      </c>
      <c r="DM10" s="168" t="e">
        <f t="shared" si="18"/>
        <v>#DIV/0!</v>
      </c>
      <c r="DN10" s="163" t="e">
        <f t="shared" si="19"/>
        <v>#DIV/0!</v>
      </c>
      <c r="DO10" s="169"/>
      <c r="DP10" s="170"/>
      <c r="DQ10" s="171"/>
      <c r="DR10" s="172">
        <f t="shared" si="20"/>
        <v>0</v>
      </c>
      <c r="DS10" s="173" t="e">
        <f t="shared" si="21"/>
        <v>#DIV/0!</v>
      </c>
      <c r="DT10" s="163" t="e">
        <f t="shared" si="22"/>
        <v>#DIV/0!</v>
      </c>
      <c r="DU10" s="174"/>
      <c r="DV10" s="175" t="e">
        <f t="shared" si="23"/>
        <v>#DIV/0!</v>
      </c>
      <c r="DW10" s="163">
        <f t="shared" si="24"/>
        <v>0</v>
      </c>
      <c r="DX10" s="164"/>
      <c r="DY10" s="176">
        <f t="shared" si="25"/>
        <v>0</v>
      </c>
      <c r="DZ10" s="177">
        <f t="shared" si="26"/>
        <v>0</v>
      </c>
      <c r="EA10" s="178">
        <f t="shared" si="27"/>
        <v>0</v>
      </c>
      <c r="EB10" s="179">
        <f t="shared" si="28"/>
        <v>0</v>
      </c>
      <c r="EC10" s="180"/>
      <c r="ED10" s="175" t="e">
        <f t="shared" si="29"/>
        <v>#DIV/0!</v>
      </c>
      <c r="EE10" s="163">
        <f t="shared" si="30"/>
        <v>0</v>
      </c>
      <c r="EF10" s="164"/>
      <c r="EG10" s="181">
        <f t="shared" si="31"/>
        <v>0</v>
      </c>
      <c r="EH10" s="182">
        <f t="shared" si="32"/>
        <v>0</v>
      </c>
      <c r="EI10" s="182">
        <f t="shared" si="33"/>
        <v>0</v>
      </c>
      <c r="EJ10" s="182">
        <f t="shared" si="34"/>
        <v>0</v>
      </c>
      <c r="EK10" s="183">
        <f t="shared" si="35"/>
        <v>0</v>
      </c>
      <c r="EL10" s="184" t="e">
        <f t="shared" si="36"/>
        <v>#DIV/0!</v>
      </c>
      <c r="EM10" s="185">
        <f t="shared" si="37"/>
        <v>0</v>
      </c>
      <c r="EN10" s="164"/>
      <c r="EO10" s="181">
        <f t="shared" si="38"/>
        <v>0</v>
      </c>
      <c r="EP10" s="183">
        <f t="shared" si="39"/>
        <v>0</v>
      </c>
      <c r="EQ10" s="184" t="e">
        <f t="shared" si="40"/>
        <v>#DIV/0!</v>
      </c>
      <c r="ER10" s="185">
        <f t="shared" si="41"/>
        <v>0</v>
      </c>
      <c r="ES10" s="164"/>
      <c r="ET10" s="164"/>
      <c r="EU10" s="186">
        <f t="shared" si="42"/>
        <v>0</v>
      </c>
      <c r="EV10" s="186">
        <f t="shared" si="43"/>
        <v>0</v>
      </c>
      <c r="EW10" s="186">
        <f t="shared" si="44"/>
        <v>0</v>
      </c>
      <c r="EX10" s="186">
        <f t="shared" si="45"/>
        <v>0</v>
      </c>
      <c r="EY10" s="131"/>
      <c r="EZ10" s="187">
        <f t="shared" si="46"/>
        <v>0</v>
      </c>
      <c r="FA10" s="188" t="e">
        <f t="shared" si="47"/>
        <v>#DIV/0!</v>
      </c>
      <c r="FB10" s="189"/>
      <c r="FC10" s="131"/>
      <c r="FD10" s="131"/>
      <c r="FE10" s="131"/>
      <c r="FF10" s="131"/>
      <c r="FG10" s="131"/>
    </row>
    <row r="11" spans="2:172" ht="16" outlineLevel="1" thickBot="1" x14ac:dyDescent="0.4">
      <c r="B11" s="356"/>
      <c r="C11" s="353"/>
      <c r="D11" s="133"/>
      <c r="E11" s="134"/>
      <c r="F11" s="135"/>
      <c r="G11" s="136"/>
      <c r="H11" s="137"/>
      <c r="I11" s="138">
        <f>IF(E11&gt;0.0001,9.4,0)</f>
        <v>0</v>
      </c>
      <c r="J11" s="139"/>
      <c r="K11" s="140">
        <f t="shared" si="1"/>
        <v>0</v>
      </c>
      <c r="L11" s="141"/>
      <c r="M11" s="142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2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4"/>
      <c r="AN11" s="145">
        <f t="shared" si="2"/>
        <v>0</v>
      </c>
      <c r="AO11" s="146"/>
      <c r="AP11" s="147">
        <f t="shared" si="3"/>
        <v>0</v>
      </c>
      <c r="AQ11" s="148"/>
      <c r="AR11" s="149"/>
      <c r="AS11" s="149"/>
      <c r="AT11" s="135"/>
      <c r="AU11" s="150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0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4"/>
      <c r="CD11" s="150"/>
      <c r="CE11" s="142"/>
      <c r="CF11" s="143"/>
      <c r="CG11" s="143"/>
      <c r="CH11" s="143"/>
      <c r="CI11" s="143"/>
      <c r="CJ11" s="143"/>
      <c r="CK11" s="143"/>
      <c r="CL11" s="143"/>
      <c r="CM11" s="143"/>
      <c r="CN11" s="143"/>
      <c r="CO11" s="346"/>
      <c r="CP11" s="151"/>
      <c r="CQ11" s="152"/>
      <c r="CR11" s="154"/>
      <c r="CS11" s="155">
        <f t="shared" si="48"/>
        <v>0</v>
      </c>
      <c r="CT11" s="146"/>
      <c r="CU11" s="147">
        <f t="shared" si="4"/>
        <v>0</v>
      </c>
      <c r="CV11" s="156"/>
      <c r="CW11" s="157" t="e">
        <f t="shared" si="5"/>
        <v>#DIV/0!</v>
      </c>
      <c r="CX11" s="157" t="e">
        <f t="shared" si="6"/>
        <v>#DIV/0!</v>
      </c>
      <c r="CY11" s="157" t="e">
        <f t="shared" si="7"/>
        <v>#DIV/0!</v>
      </c>
      <c r="CZ11" s="157" t="e">
        <f t="shared" si="8"/>
        <v>#DIV/0!</v>
      </c>
      <c r="DA11" s="157" t="e">
        <f t="shared" si="9"/>
        <v>#DIV/0!</v>
      </c>
      <c r="DB11" s="158" t="e">
        <f t="shared" si="10"/>
        <v>#DIV/0!</v>
      </c>
      <c r="DC11" s="131"/>
      <c r="DD11" s="159">
        <f t="shared" si="11"/>
        <v>0</v>
      </c>
      <c r="DE11" s="160">
        <f t="shared" si="12"/>
        <v>0</v>
      </c>
      <c r="DF11" s="161">
        <f t="shared" si="13"/>
        <v>0</v>
      </c>
      <c r="DG11" s="162" t="e">
        <f t="shared" si="14"/>
        <v>#DIV/0!</v>
      </c>
      <c r="DH11" s="163">
        <f t="shared" si="15"/>
        <v>0</v>
      </c>
      <c r="DI11" s="164"/>
      <c r="DJ11" s="165">
        <f t="shared" si="16"/>
        <v>0</v>
      </c>
      <c r="DK11" s="166">
        <f t="shared" si="16"/>
        <v>0</v>
      </c>
      <c r="DL11" s="167" t="e">
        <f t="shared" si="17"/>
        <v>#DIV/0!</v>
      </c>
      <c r="DM11" s="168" t="e">
        <f t="shared" si="18"/>
        <v>#DIV/0!</v>
      </c>
      <c r="DN11" s="163" t="e">
        <f t="shared" si="19"/>
        <v>#DIV/0!</v>
      </c>
      <c r="DO11" s="169"/>
      <c r="DP11" s="170"/>
      <c r="DQ11" s="171"/>
      <c r="DR11" s="172">
        <f t="shared" si="20"/>
        <v>0</v>
      </c>
      <c r="DS11" s="173" t="e">
        <f t="shared" si="21"/>
        <v>#DIV/0!</v>
      </c>
      <c r="DT11" s="163" t="e">
        <f t="shared" si="22"/>
        <v>#DIV/0!</v>
      </c>
      <c r="DU11" s="174"/>
      <c r="DV11" s="175" t="e">
        <f t="shared" si="23"/>
        <v>#DIV/0!</v>
      </c>
      <c r="DW11" s="163">
        <f t="shared" si="24"/>
        <v>0</v>
      </c>
      <c r="DX11" s="164"/>
      <c r="DY11" s="176">
        <f t="shared" si="25"/>
        <v>0</v>
      </c>
      <c r="DZ11" s="177">
        <f t="shared" si="26"/>
        <v>0</v>
      </c>
      <c r="EA11" s="178">
        <f t="shared" si="27"/>
        <v>0</v>
      </c>
      <c r="EB11" s="179">
        <f t="shared" si="28"/>
        <v>0</v>
      </c>
      <c r="EC11" s="180"/>
      <c r="ED11" s="175" t="e">
        <f t="shared" si="29"/>
        <v>#DIV/0!</v>
      </c>
      <c r="EE11" s="163">
        <f t="shared" si="30"/>
        <v>0</v>
      </c>
      <c r="EF11" s="164"/>
      <c r="EG11" s="181">
        <f t="shared" si="31"/>
        <v>0</v>
      </c>
      <c r="EH11" s="182">
        <f t="shared" si="32"/>
        <v>0</v>
      </c>
      <c r="EI11" s="182">
        <f t="shared" si="33"/>
        <v>0</v>
      </c>
      <c r="EJ11" s="182">
        <f t="shared" si="34"/>
        <v>0</v>
      </c>
      <c r="EK11" s="183">
        <f t="shared" si="35"/>
        <v>0</v>
      </c>
      <c r="EL11" s="184" t="e">
        <f t="shared" si="36"/>
        <v>#DIV/0!</v>
      </c>
      <c r="EM11" s="185">
        <f t="shared" si="37"/>
        <v>0</v>
      </c>
      <c r="EN11" s="164"/>
      <c r="EO11" s="181">
        <f t="shared" si="38"/>
        <v>0</v>
      </c>
      <c r="EP11" s="183">
        <f t="shared" si="39"/>
        <v>0</v>
      </c>
      <c r="EQ11" s="184" t="e">
        <f t="shared" si="40"/>
        <v>#DIV/0!</v>
      </c>
      <c r="ER11" s="185">
        <f t="shared" si="41"/>
        <v>0</v>
      </c>
      <c r="ES11" s="164"/>
      <c r="ET11" s="164"/>
      <c r="EU11" s="186">
        <f t="shared" si="42"/>
        <v>0</v>
      </c>
      <c r="EV11" s="186">
        <f t="shared" si="43"/>
        <v>0</v>
      </c>
      <c r="EW11" s="186">
        <f t="shared" si="44"/>
        <v>0</v>
      </c>
      <c r="EX11" s="186">
        <f t="shared" si="45"/>
        <v>0</v>
      </c>
      <c r="EY11" s="131"/>
      <c r="EZ11" s="187">
        <f t="shared" si="46"/>
        <v>0</v>
      </c>
      <c r="FA11" s="188" t="e">
        <f t="shared" si="47"/>
        <v>#DIV/0!</v>
      </c>
      <c r="FB11" s="189"/>
      <c r="FC11" s="131"/>
      <c r="FD11" s="131"/>
      <c r="FE11" s="131"/>
      <c r="FF11" s="131"/>
      <c r="FG11" s="131"/>
    </row>
    <row r="12" spans="2:172" ht="16" outlineLevel="1" thickBot="1" x14ac:dyDescent="0.4">
      <c r="B12" s="357"/>
      <c r="C12" s="354"/>
      <c r="D12" s="190"/>
      <c r="E12" s="191"/>
      <c r="F12" s="135"/>
      <c r="G12" s="192"/>
      <c r="H12" s="137"/>
      <c r="I12" s="138">
        <f t="shared" si="0"/>
        <v>0</v>
      </c>
      <c r="J12" s="139"/>
      <c r="K12" s="193">
        <f t="shared" si="1"/>
        <v>0</v>
      </c>
      <c r="L12" s="141"/>
      <c r="M12" s="194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4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6"/>
      <c r="AN12" s="197">
        <f t="shared" si="2"/>
        <v>0</v>
      </c>
      <c r="AO12" s="146"/>
      <c r="AP12" s="147">
        <f t="shared" si="3"/>
        <v>0</v>
      </c>
      <c r="AQ12" s="148"/>
      <c r="AR12" s="198"/>
      <c r="AS12" s="198"/>
      <c r="AT12" s="135"/>
      <c r="AU12" s="199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199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2"/>
      <c r="CD12" s="199"/>
      <c r="CE12" s="194"/>
      <c r="CF12" s="195"/>
      <c r="CG12" s="195"/>
      <c r="CH12" s="195"/>
      <c r="CI12" s="195"/>
      <c r="CJ12" s="195"/>
      <c r="CK12" s="195"/>
      <c r="CL12" s="195"/>
      <c r="CM12" s="195"/>
      <c r="CN12" s="195"/>
      <c r="CO12" s="347"/>
      <c r="CP12" s="200"/>
      <c r="CQ12" s="201"/>
      <c r="CR12" s="202"/>
      <c r="CS12" s="203">
        <f t="shared" si="48"/>
        <v>0</v>
      </c>
      <c r="CT12" s="146"/>
      <c r="CU12" s="147">
        <f t="shared" si="4"/>
        <v>0</v>
      </c>
      <c r="CV12" s="156"/>
      <c r="CW12" s="157" t="e">
        <f t="shared" si="5"/>
        <v>#DIV/0!</v>
      </c>
      <c r="CX12" s="157" t="e">
        <f t="shared" si="6"/>
        <v>#DIV/0!</v>
      </c>
      <c r="CY12" s="157" t="e">
        <f t="shared" si="7"/>
        <v>#DIV/0!</v>
      </c>
      <c r="CZ12" s="157" t="e">
        <f t="shared" si="8"/>
        <v>#DIV/0!</v>
      </c>
      <c r="DA12" s="157" t="e">
        <f t="shared" si="9"/>
        <v>#DIV/0!</v>
      </c>
      <c r="DB12" s="158" t="e">
        <f t="shared" si="10"/>
        <v>#DIV/0!</v>
      </c>
      <c r="DC12" s="131"/>
      <c r="DD12" s="159">
        <f t="shared" si="11"/>
        <v>0</v>
      </c>
      <c r="DE12" s="160">
        <f t="shared" si="12"/>
        <v>0</v>
      </c>
      <c r="DF12" s="161">
        <f t="shared" si="13"/>
        <v>0</v>
      </c>
      <c r="DG12" s="162" t="e">
        <f t="shared" si="14"/>
        <v>#DIV/0!</v>
      </c>
      <c r="DH12" s="163">
        <f t="shared" si="15"/>
        <v>0</v>
      </c>
      <c r="DI12" s="164"/>
      <c r="DJ12" s="165">
        <f t="shared" si="16"/>
        <v>0</v>
      </c>
      <c r="DK12" s="166">
        <f t="shared" si="16"/>
        <v>0</v>
      </c>
      <c r="DL12" s="167" t="e">
        <f t="shared" si="17"/>
        <v>#DIV/0!</v>
      </c>
      <c r="DM12" s="168" t="e">
        <f t="shared" si="18"/>
        <v>#DIV/0!</v>
      </c>
      <c r="DN12" s="163" t="e">
        <f t="shared" si="19"/>
        <v>#DIV/0!</v>
      </c>
      <c r="DO12" s="169"/>
      <c r="DP12" s="170"/>
      <c r="DQ12" s="171"/>
      <c r="DR12" s="172">
        <f t="shared" si="20"/>
        <v>0</v>
      </c>
      <c r="DS12" s="173" t="e">
        <f t="shared" si="21"/>
        <v>#DIV/0!</v>
      </c>
      <c r="DT12" s="163" t="e">
        <f t="shared" si="22"/>
        <v>#DIV/0!</v>
      </c>
      <c r="DU12" s="174"/>
      <c r="DV12" s="175" t="e">
        <f t="shared" si="23"/>
        <v>#DIV/0!</v>
      </c>
      <c r="DW12" s="163">
        <f t="shared" si="24"/>
        <v>0</v>
      </c>
      <c r="DX12" s="164"/>
      <c r="DY12" s="176">
        <f t="shared" si="25"/>
        <v>0</v>
      </c>
      <c r="DZ12" s="177">
        <f t="shared" si="26"/>
        <v>0</v>
      </c>
      <c r="EA12" s="178">
        <f t="shared" si="27"/>
        <v>0</v>
      </c>
      <c r="EB12" s="179">
        <f t="shared" si="28"/>
        <v>0</v>
      </c>
      <c r="EC12" s="180"/>
      <c r="ED12" s="175" t="e">
        <f t="shared" si="29"/>
        <v>#DIV/0!</v>
      </c>
      <c r="EE12" s="163">
        <f t="shared" si="30"/>
        <v>0</v>
      </c>
      <c r="EF12" s="164"/>
      <c r="EG12" s="181">
        <f t="shared" si="31"/>
        <v>0</v>
      </c>
      <c r="EH12" s="182">
        <f t="shared" si="32"/>
        <v>0</v>
      </c>
      <c r="EI12" s="182">
        <f t="shared" si="33"/>
        <v>0</v>
      </c>
      <c r="EJ12" s="182">
        <f t="shared" si="34"/>
        <v>0</v>
      </c>
      <c r="EK12" s="183">
        <f t="shared" si="35"/>
        <v>0</v>
      </c>
      <c r="EL12" s="184" t="e">
        <f t="shared" si="36"/>
        <v>#DIV/0!</v>
      </c>
      <c r="EM12" s="185">
        <f t="shared" si="37"/>
        <v>0</v>
      </c>
      <c r="EN12" s="164"/>
      <c r="EO12" s="181">
        <f t="shared" si="38"/>
        <v>0</v>
      </c>
      <c r="EP12" s="183">
        <f t="shared" si="39"/>
        <v>0</v>
      </c>
      <c r="EQ12" s="184" t="e">
        <f t="shared" si="40"/>
        <v>#DIV/0!</v>
      </c>
      <c r="ER12" s="185">
        <f t="shared" si="41"/>
        <v>0</v>
      </c>
      <c r="ES12" s="164"/>
      <c r="ET12" s="164"/>
      <c r="EU12" s="186">
        <f t="shared" si="42"/>
        <v>0</v>
      </c>
      <c r="EV12" s="186">
        <f t="shared" si="43"/>
        <v>0</v>
      </c>
      <c r="EW12" s="186">
        <f t="shared" si="44"/>
        <v>0</v>
      </c>
      <c r="EX12" s="186">
        <f t="shared" si="45"/>
        <v>0</v>
      </c>
      <c r="EY12" s="131"/>
      <c r="EZ12" s="187">
        <f t="shared" si="46"/>
        <v>0</v>
      </c>
      <c r="FA12" s="188" t="e">
        <f t="shared" si="47"/>
        <v>#DIV/0!</v>
      </c>
      <c r="FB12" s="189"/>
      <c r="FC12" s="131"/>
      <c r="FD12" s="131"/>
      <c r="FE12" s="131"/>
      <c r="FF12" s="131"/>
      <c r="FG12" s="131"/>
    </row>
    <row r="13" spans="2:172" ht="16" outlineLevel="1" thickBot="1" x14ac:dyDescent="0.4">
      <c r="B13" s="358"/>
      <c r="C13" s="355"/>
      <c r="D13" s="204"/>
      <c r="E13" s="205"/>
      <c r="F13" s="135"/>
      <c r="G13" s="206"/>
      <c r="H13" s="207"/>
      <c r="I13" s="138">
        <f t="shared" si="0"/>
        <v>0</v>
      </c>
      <c r="J13" s="139"/>
      <c r="K13" s="208">
        <f t="shared" si="1"/>
        <v>0</v>
      </c>
      <c r="L13" s="141"/>
      <c r="M13" s="209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09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1"/>
      <c r="AN13" s="212">
        <f t="shared" si="2"/>
        <v>0</v>
      </c>
      <c r="AO13" s="146"/>
      <c r="AP13" s="147">
        <f t="shared" si="3"/>
        <v>0</v>
      </c>
      <c r="AQ13" s="148"/>
      <c r="AR13" s="213"/>
      <c r="AS13" s="213"/>
      <c r="AT13" s="135"/>
      <c r="AU13" s="214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4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7"/>
      <c r="CD13" s="214"/>
      <c r="CE13" s="209"/>
      <c r="CF13" s="210"/>
      <c r="CG13" s="210"/>
      <c r="CH13" s="210"/>
      <c r="CI13" s="210"/>
      <c r="CJ13" s="210"/>
      <c r="CK13" s="210"/>
      <c r="CL13" s="210"/>
      <c r="CM13" s="210"/>
      <c r="CN13" s="210"/>
      <c r="CO13" s="348"/>
      <c r="CP13" s="215"/>
      <c r="CQ13" s="216"/>
      <c r="CR13" s="217"/>
      <c r="CS13" s="218">
        <f t="shared" si="48"/>
        <v>0</v>
      </c>
      <c r="CT13" s="146"/>
      <c r="CU13" s="147">
        <f t="shared" si="4"/>
        <v>0</v>
      </c>
      <c r="CV13" s="156"/>
      <c r="CW13" s="157" t="e">
        <f t="shared" si="5"/>
        <v>#DIV/0!</v>
      </c>
      <c r="CX13" s="157" t="e">
        <f t="shared" si="6"/>
        <v>#DIV/0!</v>
      </c>
      <c r="CY13" s="157" t="e">
        <f t="shared" si="7"/>
        <v>#DIV/0!</v>
      </c>
      <c r="CZ13" s="157" t="e">
        <f t="shared" si="8"/>
        <v>#DIV/0!</v>
      </c>
      <c r="DA13" s="157" t="e">
        <f t="shared" si="9"/>
        <v>#DIV/0!</v>
      </c>
      <c r="DB13" s="158" t="e">
        <f t="shared" si="10"/>
        <v>#DIV/0!</v>
      </c>
      <c r="DC13" s="131"/>
      <c r="DD13" s="159">
        <f t="shared" si="11"/>
        <v>0</v>
      </c>
      <c r="DE13" s="160">
        <f t="shared" si="12"/>
        <v>0</v>
      </c>
      <c r="DF13" s="161">
        <f t="shared" si="13"/>
        <v>0</v>
      </c>
      <c r="DG13" s="162" t="e">
        <f t="shared" si="14"/>
        <v>#DIV/0!</v>
      </c>
      <c r="DH13" s="163">
        <f t="shared" si="15"/>
        <v>0</v>
      </c>
      <c r="DI13" s="164"/>
      <c r="DJ13" s="165">
        <f t="shared" si="16"/>
        <v>0</v>
      </c>
      <c r="DK13" s="166">
        <f t="shared" si="16"/>
        <v>0</v>
      </c>
      <c r="DL13" s="167" t="e">
        <f t="shared" si="17"/>
        <v>#DIV/0!</v>
      </c>
      <c r="DM13" s="168" t="e">
        <f t="shared" si="18"/>
        <v>#DIV/0!</v>
      </c>
      <c r="DN13" s="163" t="e">
        <f t="shared" si="19"/>
        <v>#DIV/0!</v>
      </c>
      <c r="DO13" s="169"/>
      <c r="DP13" s="170"/>
      <c r="DQ13" s="171"/>
      <c r="DR13" s="172">
        <f t="shared" si="20"/>
        <v>0</v>
      </c>
      <c r="DS13" s="173" t="e">
        <f t="shared" si="21"/>
        <v>#DIV/0!</v>
      </c>
      <c r="DT13" s="163" t="e">
        <f t="shared" si="22"/>
        <v>#DIV/0!</v>
      </c>
      <c r="DU13" s="174"/>
      <c r="DV13" s="175" t="e">
        <f t="shared" si="23"/>
        <v>#DIV/0!</v>
      </c>
      <c r="DW13" s="163">
        <f t="shared" si="24"/>
        <v>0</v>
      </c>
      <c r="DX13" s="164"/>
      <c r="DY13" s="176">
        <f t="shared" si="25"/>
        <v>0</v>
      </c>
      <c r="DZ13" s="177">
        <f t="shared" si="26"/>
        <v>0</v>
      </c>
      <c r="EA13" s="178">
        <f t="shared" si="27"/>
        <v>0</v>
      </c>
      <c r="EB13" s="179">
        <f t="shared" si="28"/>
        <v>0</v>
      </c>
      <c r="EC13" s="180"/>
      <c r="ED13" s="175" t="e">
        <f t="shared" si="29"/>
        <v>#DIV/0!</v>
      </c>
      <c r="EE13" s="163">
        <f t="shared" si="30"/>
        <v>0</v>
      </c>
      <c r="EF13" s="164"/>
      <c r="EG13" s="181">
        <f t="shared" si="31"/>
        <v>0</v>
      </c>
      <c r="EH13" s="182">
        <f t="shared" si="32"/>
        <v>0</v>
      </c>
      <c r="EI13" s="182">
        <f t="shared" si="33"/>
        <v>0</v>
      </c>
      <c r="EJ13" s="182">
        <f t="shared" si="34"/>
        <v>0</v>
      </c>
      <c r="EK13" s="183">
        <f t="shared" si="35"/>
        <v>0</v>
      </c>
      <c r="EL13" s="184" t="e">
        <f t="shared" si="36"/>
        <v>#DIV/0!</v>
      </c>
      <c r="EM13" s="185">
        <f t="shared" si="37"/>
        <v>0</v>
      </c>
      <c r="EN13" s="164"/>
      <c r="EO13" s="181">
        <f t="shared" si="38"/>
        <v>0</v>
      </c>
      <c r="EP13" s="183">
        <f t="shared" si="39"/>
        <v>0</v>
      </c>
      <c r="EQ13" s="184" t="e">
        <f t="shared" si="40"/>
        <v>#DIV/0!</v>
      </c>
      <c r="ER13" s="185">
        <f t="shared" si="41"/>
        <v>0</v>
      </c>
      <c r="ES13" s="164"/>
      <c r="ET13" s="164"/>
      <c r="EU13" s="186">
        <f t="shared" si="42"/>
        <v>0</v>
      </c>
      <c r="EV13" s="186">
        <f t="shared" si="43"/>
        <v>0</v>
      </c>
      <c r="EW13" s="186">
        <f t="shared" si="44"/>
        <v>0</v>
      </c>
      <c r="EX13" s="186">
        <f t="shared" si="45"/>
        <v>0</v>
      </c>
      <c r="EY13" s="131"/>
      <c r="EZ13" s="187">
        <f t="shared" si="46"/>
        <v>0</v>
      </c>
      <c r="FA13" s="188" t="e">
        <f t="shared" si="47"/>
        <v>#DIV/0!</v>
      </c>
      <c r="FB13" s="189"/>
      <c r="FC13" s="131"/>
      <c r="FD13" s="131"/>
      <c r="FE13" s="131"/>
      <c r="FF13" s="131"/>
      <c r="FG13" s="131"/>
    </row>
    <row r="14" spans="2:172" ht="16" outlineLevel="1" thickBot="1" x14ac:dyDescent="0.4">
      <c r="B14" s="356"/>
      <c r="C14" s="353"/>
      <c r="D14" s="133"/>
      <c r="E14" s="134"/>
      <c r="F14" s="135"/>
      <c r="G14" s="136"/>
      <c r="H14" s="137"/>
      <c r="I14" s="138">
        <f t="shared" si="0"/>
        <v>0</v>
      </c>
      <c r="J14" s="139"/>
      <c r="K14" s="140">
        <f>E14*60</f>
        <v>0</v>
      </c>
      <c r="L14" s="141"/>
      <c r="M14" s="142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2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4"/>
      <c r="AN14" s="145">
        <f t="shared" si="2"/>
        <v>0</v>
      </c>
      <c r="AO14" s="146"/>
      <c r="AP14" s="147">
        <f t="shared" si="3"/>
        <v>0</v>
      </c>
      <c r="AQ14" s="148"/>
      <c r="AR14" s="149"/>
      <c r="AS14" s="149"/>
      <c r="AT14" s="135"/>
      <c r="AU14" s="150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0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4"/>
      <c r="CD14" s="150"/>
      <c r="CE14" s="142"/>
      <c r="CF14" s="143"/>
      <c r="CG14" s="143"/>
      <c r="CH14" s="143"/>
      <c r="CI14" s="143"/>
      <c r="CJ14" s="143"/>
      <c r="CK14" s="143"/>
      <c r="CL14" s="143"/>
      <c r="CM14" s="143"/>
      <c r="CN14" s="143"/>
      <c r="CO14" s="346"/>
      <c r="CP14" s="151"/>
      <c r="CQ14" s="152"/>
      <c r="CR14" s="154"/>
      <c r="CS14" s="155">
        <f t="shared" si="48"/>
        <v>0</v>
      </c>
      <c r="CT14" s="146"/>
      <c r="CU14" s="147">
        <f t="shared" si="4"/>
        <v>0</v>
      </c>
      <c r="CV14" s="156"/>
      <c r="CW14" s="157" t="e">
        <f t="shared" si="5"/>
        <v>#DIV/0!</v>
      </c>
      <c r="CX14" s="157" t="e">
        <f t="shared" si="6"/>
        <v>#DIV/0!</v>
      </c>
      <c r="CY14" s="157" t="e">
        <f t="shared" si="7"/>
        <v>#DIV/0!</v>
      </c>
      <c r="CZ14" s="157" t="e">
        <f t="shared" si="8"/>
        <v>#DIV/0!</v>
      </c>
      <c r="DA14" s="157" t="e">
        <f t="shared" si="9"/>
        <v>#DIV/0!</v>
      </c>
      <c r="DB14" s="158" t="e">
        <f t="shared" si="10"/>
        <v>#DIV/0!</v>
      </c>
      <c r="DC14" s="131"/>
      <c r="DD14" s="159">
        <f t="shared" si="11"/>
        <v>0</v>
      </c>
      <c r="DE14" s="160">
        <f t="shared" si="12"/>
        <v>0</v>
      </c>
      <c r="DF14" s="161">
        <f t="shared" si="13"/>
        <v>0</v>
      </c>
      <c r="DG14" s="162" t="e">
        <f t="shared" si="14"/>
        <v>#DIV/0!</v>
      </c>
      <c r="DH14" s="163">
        <f t="shared" si="15"/>
        <v>0</v>
      </c>
      <c r="DI14" s="164"/>
      <c r="DJ14" s="165">
        <f t="shared" si="16"/>
        <v>0</v>
      </c>
      <c r="DK14" s="166">
        <f t="shared" si="16"/>
        <v>0</v>
      </c>
      <c r="DL14" s="167" t="e">
        <f t="shared" si="17"/>
        <v>#DIV/0!</v>
      </c>
      <c r="DM14" s="168" t="e">
        <f t="shared" si="18"/>
        <v>#DIV/0!</v>
      </c>
      <c r="DN14" s="163" t="e">
        <f t="shared" si="19"/>
        <v>#DIV/0!</v>
      </c>
      <c r="DO14" s="169"/>
      <c r="DP14" s="170"/>
      <c r="DQ14" s="171"/>
      <c r="DR14" s="172">
        <f t="shared" si="20"/>
        <v>0</v>
      </c>
      <c r="DS14" s="173" t="e">
        <f t="shared" si="21"/>
        <v>#DIV/0!</v>
      </c>
      <c r="DT14" s="163" t="e">
        <f t="shared" si="22"/>
        <v>#DIV/0!</v>
      </c>
      <c r="DU14" s="174"/>
      <c r="DV14" s="175" t="e">
        <f t="shared" si="23"/>
        <v>#DIV/0!</v>
      </c>
      <c r="DW14" s="163">
        <f t="shared" si="24"/>
        <v>0</v>
      </c>
      <c r="DX14" s="164"/>
      <c r="DY14" s="176">
        <f t="shared" si="25"/>
        <v>0</v>
      </c>
      <c r="DZ14" s="177">
        <f t="shared" si="26"/>
        <v>0</v>
      </c>
      <c r="EA14" s="178">
        <f t="shared" si="27"/>
        <v>0</v>
      </c>
      <c r="EB14" s="179">
        <f t="shared" si="28"/>
        <v>0</v>
      </c>
      <c r="EC14" s="180"/>
      <c r="ED14" s="175" t="e">
        <f t="shared" si="29"/>
        <v>#DIV/0!</v>
      </c>
      <c r="EE14" s="163">
        <f t="shared" si="30"/>
        <v>0</v>
      </c>
      <c r="EF14" s="164"/>
      <c r="EG14" s="181">
        <f t="shared" si="31"/>
        <v>0</v>
      </c>
      <c r="EH14" s="182">
        <f t="shared" si="32"/>
        <v>0</v>
      </c>
      <c r="EI14" s="182">
        <f t="shared" si="33"/>
        <v>0</v>
      </c>
      <c r="EJ14" s="182">
        <f t="shared" si="34"/>
        <v>0</v>
      </c>
      <c r="EK14" s="183">
        <f t="shared" si="35"/>
        <v>0</v>
      </c>
      <c r="EL14" s="184" t="e">
        <f t="shared" si="36"/>
        <v>#DIV/0!</v>
      </c>
      <c r="EM14" s="185">
        <f t="shared" si="37"/>
        <v>0</v>
      </c>
      <c r="EN14" s="164"/>
      <c r="EO14" s="181">
        <f t="shared" si="38"/>
        <v>0</v>
      </c>
      <c r="EP14" s="183">
        <f t="shared" si="39"/>
        <v>0</v>
      </c>
      <c r="EQ14" s="184" t="e">
        <f t="shared" si="40"/>
        <v>#DIV/0!</v>
      </c>
      <c r="ER14" s="185">
        <f t="shared" si="41"/>
        <v>0</v>
      </c>
      <c r="ES14" s="164"/>
      <c r="ET14" s="164"/>
      <c r="EU14" s="186">
        <f t="shared" si="42"/>
        <v>0</v>
      </c>
      <c r="EV14" s="186">
        <f t="shared" si="43"/>
        <v>0</v>
      </c>
      <c r="EW14" s="186">
        <f t="shared" si="44"/>
        <v>0</v>
      </c>
      <c r="EX14" s="186">
        <f t="shared" si="45"/>
        <v>0</v>
      </c>
      <c r="EY14" s="131"/>
      <c r="EZ14" s="187">
        <f t="shared" si="46"/>
        <v>0</v>
      </c>
      <c r="FA14" s="188" t="e">
        <f t="shared" si="47"/>
        <v>#DIV/0!</v>
      </c>
      <c r="FB14" s="189"/>
      <c r="FC14" s="131"/>
      <c r="FD14" s="131"/>
      <c r="FE14" s="131"/>
      <c r="FF14" s="131"/>
      <c r="FG14" s="131"/>
    </row>
    <row r="15" spans="2:172" ht="16" outlineLevel="1" thickBot="1" x14ac:dyDescent="0.4">
      <c r="B15" s="357"/>
      <c r="C15" s="354"/>
      <c r="D15" s="240"/>
      <c r="E15" s="241"/>
      <c r="F15" s="135"/>
      <c r="G15" s="192"/>
      <c r="H15" s="242"/>
      <c r="I15" s="138">
        <f t="shared" si="0"/>
        <v>0</v>
      </c>
      <c r="J15" s="139"/>
      <c r="K15" s="193">
        <f t="shared" ref="K15:K55" si="49">E15*60</f>
        <v>0</v>
      </c>
      <c r="L15" s="141"/>
      <c r="M15" s="194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4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6"/>
      <c r="AN15" s="197">
        <f t="shared" si="2"/>
        <v>0</v>
      </c>
      <c r="AO15" s="146"/>
      <c r="AP15" s="147">
        <f t="shared" si="3"/>
        <v>0</v>
      </c>
      <c r="AQ15" s="148"/>
      <c r="AR15" s="198"/>
      <c r="AS15" s="198"/>
      <c r="AT15" s="135"/>
      <c r="AU15" s="199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199"/>
      <c r="BS15" s="200"/>
      <c r="BT15" s="200"/>
      <c r="BU15" s="200"/>
      <c r="BV15" s="200"/>
      <c r="BW15" s="200"/>
      <c r="BX15" s="200"/>
      <c r="BY15" s="200"/>
      <c r="BZ15" s="200"/>
      <c r="CA15" s="200"/>
      <c r="CB15" s="200"/>
      <c r="CC15" s="202"/>
      <c r="CD15" s="199"/>
      <c r="CE15" s="194"/>
      <c r="CF15" s="195"/>
      <c r="CG15" s="195"/>
      <c r="CH15" s="195"/>
      <c r="CI15" s="195"/>
      <c r="CJ15" s="195"/>
      <c r="CK15" s="195"/>
      <c r="CL15" s="195"/>
      <c r="CM15" s="195"/>
      <c r="CN15" s="195"/>
      <c r="CO15" s="347"/>
      <c r="CP15" s="200"/>
      <c r="CQ15" s="201"/>
      <c r="CR15" s="202"/>
      <c r="CS15" s="203">
        <f t="shared" si="48"/>
        <v>0</v>
      </c>
      <c r="CT15" s="146"/>
      <c r="CU15" s="147">
        <f t="shared" si="4"/>
        <v>0</v>
      </c>
      <c r="CV15" s="156"/>
      <c r="CW15" s="157" t="e">
        <f t="shared" si="5"/>
        <v>#DIV/0!</v>
      </c>
      <c r="CX15" s="157" t="e">
        <f t="shared" si="6"/>
        <v>#DIV/0!</v>
      </c>
      <c r="CY15" s="157" t="e">
        <f t="shared" si="7"/>
        <v>#DIV/0!</v>
      </c>
      <c r="CZ15" s="157" t="e">
        <f t="shared" si="8"/>
        <v>#DIV/0!</v>
      </c>
      <c r="DA15" s="157" t="e">
        <f t="shared" si="9"/>
        <v>#DIV/0!</v>
      </c>
      <c r="DB15" s="158" t="e">
        <f t="shared" si="10"/>
        <v>#DIV/0!</v>
      </c>
      <c r="DC15" s="131"/>
      <c r="DD15" s="159">
        <f t="shared" si="11"/>
        <v>0</v>
      </c>
      <c r="DE15" s="160">
        <f t="shared" si="12"/>
        <v>0</v>
      </c>
      <c r="DF15" s="161">
        <f t="shared" si="13"/>
        <v>0</v>
      </c>
      <c r="DG15" s="162" t="e">
        <f t="shared" si="14"/>
        <v>#DIV/0!</v>
      </c>
      <c r="DH15" s="163">
        <f t="shared" si="15"/>
        <v>0</v>
      </c>
      <c r="DI15" s="164"/>
      <c r="DJ15" s="165">
        <f t="shared" si="16"/>
        <v>0</v>
      </c>
      <c r="DK15" s="166">
        <v>0</v>
      </c>
      <c r="DL15" s="167" t="e">
        <f t="shared" si="17"/>
        <v>#DIV/0!</v>
      </c>
      <c r="DM15" s="168" t="e">
        <f t="shared" si="18"/>
        <v>#DIV/0!</v>
      </c>
      <c r="DN15" s="163" t="e">
        <f t="shared" si="19"/>
        <v>#DIV/0!</v>
      </c>
      <c r="DO15" s="169"/>
      <c r="DP15" s="170"/>
      <c r="DQ15" s="171"/>
      <c r="DR15" s="172">
        <f t="shared" si="20"/>
        <v>0</v>
      </c>
      <c r="DS15" s="173" t="e">
        <f t="shared" si="21"/>
        <v>#DIV/0!</v>
      </c>
      <c r="DT15" s="163" t="e">
        <f t="shared" si="22"/>
        <v>#DIV/0!</v>
      </c>
      <c r="DU15" s="174"/>
      <c r="DV15" s="175" t="e">
        <f t="shared" si="23"/>
        <v>#DIV/0!</v>
      </c>
      <c r="DW15" s="163">
        <f t="shared" si="24"/>
        <v>0</v>
      </c>
      <c r="DX15" s="164"/>
      <c r="DY15" s="176">
        <f t="shared" si="25"/>
        <v>0</v>
      </c>
      <c r="DZ15" s="177">
        <f t="shared" si="26"/>
        <v>0</v>
      </c>
      <c r="EA15" s="178">
        <f t="shared" si="27"/>
        <v>0</v>
      </c>
      <c r="EB15" s="179">
        <f t="shared" si="28"/>
        <v>0</v>
      </c>
      <c r="EC15" s="180"/>
      <c r="ED15" s="175" t="e">
        <f t="shared" si="29"/>
        <v>#DIV/0!</v>
      </c>
      <c r="EE15" s="163">
        <f t="shared" si="30"/>
        <v>0</v>
      </c>
      <c r="EF15" s="164"/>
      <c r="EG15" s="181">
        <f t="shared" si="31"/>
        <v>0</v>
      </c>
      <c r="EH15" s="182">
        <f t="shared" si="32"/>
        <v>0</v>
      </c>
      <c r="EI15" s="182">
        <f t="shared" si="33"/>
        <v>0</v>
      </c>
      <c r="EJ15" s="182">
        <f t="shared" si="34"/>
        <v>0</v>
      </c>
      <c r="EK15" s="183">
        <f t="shared" si="35"/>
        <v>0</v>
      </c>
      <c r="EL15" s="184" t="e">
        <f t="shared" si="36"/>
        <v>#DIV/0!</v>
      </c>
      <c r="EM15" s="185">
        <f t="shared" si="37"/>
        <v>0</v>
      </c>
      <c r="EN15" s="164"/>
      <c r="EO15" s="181">
        <f t="shared" si="38"/>
        <v>0</v>
      </c>
      <c r="EP15" s="183">
        <f t="shared" si="39"/>
        <v>0</v>
      </c>
      <c r="EQ15" s="184" t="e">
        <f t="shared" si="40"/>
        <v>#DIV/0!</v>
      </c>
      <c r="ER15" s="185">
        <f t="shared" si="41"/>
        <v>0</v>
      </c>
      <c r="ES15" s="164"/>
      <c r="ET15" s="164"/>
      <c r="EU15" s="186">
        <f t="shared" si="42"/>
        <v>0</v>
      </c>
      <c r="EV15" s="186">
        <f t="shared" si="43"/>
        <v>0</v>
      </c>
      <c r="EW15" s="186">
        <f t="shared" si="44"/>
        <v>0</v>
      </c>
      <c r="EX15" s="186">
        <f t="shared" si="45"/>
        <v>0</v>
      </c>
      <c r="EY15" s="131"/>
      <c r="EZ15" s="187">
        <f t="shared" si="46"/>
        <v>0</v>
      </c>
      <c r="FA15" s="188" t="e">
        <f t="shared" si="47"/>
        <v>#DIV/0!</v>
      </c>
      <c r="FB15" s="189"/>
      <c r="FC15" s="131"/>
      <c r="FD15" s="131"/>
      <c r="FE15" s="131"/>
      <c r="FF15" s="131"/>
      <c r="FG15" s="131"/>
    </row>
    <row r="16" spans="2:172" ht="16" outlineLevel="1" thickBot="1" x14ac:dyDescent="0.4">
      <c r="B16" s="358"/>
      <c r="C16" s="355"/>
      <c r="D16" s="243"/>
      <c r="E16" s="244"/>
      <c r="F16" s="135"/>
      <c r="G16" s="192"/>
      <c r="H16" s="245"/>
      <c r="I16" s="138">
        <f t="shared" si="0"/>
        <v>0</v>
      </c>
      <c r="J16" s="139"/>
      <c r="K16" s="208">
        <f t="shared" si="49"/>
        <v>0</v>
      </c>
      <c r="L16" s="141"/>
      <c r="M16" s="209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09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1"/>
      <c r="AN16" s="212">
        <f t="shared" si="2"/>
        <v>0</v>
      </c>
      <c r="AO16" s="146"/>
      <c r="AP16" s="147">
        <f t="shared" si="3"/>
        <v>0</v>
      </c>
      <c r="AQ16" s="148"/>
      <c r="AR16" s="213"/>
      <c r="AS16" s="213"/>
      <c r="AT16" s="135"/>
      <c r="AU16" s="214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6"/>
      <c r="BG16" s="216"/>
      <c r="BH16" s="216"/>
      <c r="BI16" s="216"/>
      <c r="BJ16" s="216"/>
      <c r="BK16" s="216"/>
      <c r="BL16" s="216"/>
      <c r="BM16" s="216"/>
      <c r="BN16" s="216"/>
      <c r="BO16" s="216"/>
      <c r="BP16" s="216"/>
      <c r="BQ16" s="216"/>
      <c r="BR16" s="214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7"/>
      <c r="CD16" s="214"/>
      <c r="CE16" s="209"/>
      <c r="CF16" s="210"/>
      <c r="CG16" s="210"/>
      <c r="CH16" s="210"/>
      <c r="CI16" s="210"/>
      <c r="CJ16" s="210"/>
      <c r="CK16" s="210"/>
      <c r="CL16" s="210"/>
      <c r="CM16" s="210"/>
      <c r="CN16" s="210"/>
      <c r="CO16" s="348"/>
      <c r="CP16" s="215"/>
      <c r="CQ16" s="216"/>
      <c r="CR16" s="217"/>
      <c r="CS16" s="218">
        <f t="shared" si="48"/>
        <v>0</v>
      </c>
      <c r="CT16" s="146"/>
      <c r="CU16" s="147">
        <f t="shared" si="4"/>
        <v>0</v>
      </c>
      <c r="CV16" s="156"/>
      <c r="CW16" s="157" t="e">
        <f t="shared" si="5"/>
        <v>#DIV/0!</v>
      </c>
      <c r="CX16" s="157" t="e">
        <f t="shared" si="6"/>
        <v>#DIV/0!</v>
      </c>
      <c r="CY16" s="157" t="e">
        <f t="shared" si="7"/>
        <v>#DIV/0!</v>
      </c>
      <c r="CZ16" s="157" t="e">
        <f t="shared" si="8"/>
        <v>#DIV/0!</v>
      </c>
      <c r="DA16" s="157" t="e">
        <f t="shared" si="9"/>
        <v>#DIV/0!</v>
      </c>
      <c r="DB16" s="158" t="e">
        <f t="shared" si="10"/>
        <v>#DIV/0!</v>
      </c>
      <c r="DC16" s="131"/>
      <c r="DD16" s="159">
        <f t="shared" si="11"/>
        <v>0</v>
      </c>
      <c r="DE16" s="160">
        <f t="shared" si="12"/>
        <v>0</v>
      </c>
      <c r="DF16" s="161">
        <f t="shared" si="13"/>
        <v>0</v>
      </c>
      <c r="DG16" s="162" t="e">
        <f t="shared" si="14"/>
        <v>#DIV/0!</v>
      </c>
      <c r="DH16" s="163">
        <f t="shared" si="15"/>
        <v>0</v>
      </c>
      <c r="DI16" s="164"/>
      <c r="DJ16" s="165">
        <f t="shared" si="16"/>
        <v>0</v>
      </c>
      <c r="DK16" s="166">
        <f t="shared" si="16"/>
        <v>0</v>
      </c>
      <c r="DL16" s="167" t="e">
        <f t="shared" si="17"/>
        <v>#DIV/0!</v>
      </c>
      <c r="DM16" s="168" t="e">
        <f t="shared" si="18"/>
        <v>#DIV/0!</v>
      </c>
      <c r="DN16" s="163" t="e">
        <f t="shared" si="19"/>
        <v>#DIV/0!</v>
      </c>
      <c r="DO16" s="169"/>
      <c r="DP16" s="170"/>
      <c r="DQ16" s="171"/>
      <c r="DR16" s="172">
        <f t="shared" si="20"/>
        <v>0</v>
      </c>
      <c r="DS16" s="173" t="e">
        <f t="shared" si="21"/>
        <v>#DIV/0!</v>
      </c>
      <c r="DT16" s="163" t="e">
        <f t="shared" si="22"/>
        <v>#DIV/0!</v>
      </c>
      <c r="DU16" s="174"/>
      <c r="DV16" s="175" t="e">
        <f t="shared" si="23"/>
        <v>#DIV/0!</v>
      </c>
      <c r="DW16" s="163">
        <f t="shared" si="24"/>
        <v>0</v>
      </c>
      <c r="DX16" s="164"/>
      <c r="DY16" s="176">
        <f t="shared" si="25"/>
        <v>0</v>
      </c>
      <c r="DZ16" s="177">
        <f t="shared" si="26"/>
        <v>0</v>
      </c>
      <c r="EA16" s="178">
        <f t="shared" si="27"/>
        <v>0</v>
      </c>
      <c r="EB16" s="179">
        <f t="shared" si="28"/>
        <v>0</v>
      </c>
      <c r="EC16" s="180"/>
      <c r="ED16" s="175" t="e">
        <f t="shared" si="29"/>
        <v>#DIV/0!</v>
      </c>
      <c r="EE16" s="163">
        <f t="shared" si="30"/>
        <v>0</v>
      </c>
      <c r="EF16" s="164"/>
      <c r="EG16" s="181">
        <f t="shared" si="31"/>
        <v>0</v>
      </c>
      <c r="EH16" s="182">
        <f t="shared" si="32"/>
        <v>0</v>
      </c>
      <c r="EI16" s="182">
        <f t="shared" si="33"/>
        <v>0</v>
      </c>
      <c r="EJ16" s="182">
        <f t="shared" si="34"/>
        <v>0</v>
      </c>
      <c r="EK16" s="183">
        <f t="shared" si="35"/>
        <v>0</v>
      </c>
      <c r="EL16" s="184" t="e">
        <f t="shared" si="36"/>
        <v>#DIV/0!</v>
      </c>
      <c r="EM16" s="185">
        <f t="shared" si="37"/>
        <v>0</v>
      </c>
      <c r="EN16" s="164"/>
      <c r="EO16" s="181">
        <f t="shared" si="38"/>
        <v>0</v>
      </c>
      <c r="EP16" s="183">
        <f t="shared" si="39"/>
        <v>0</v>
      </c>
      <c r="EQ16" s="184" t="e">
        <f t="shared" si="40"/>
        <v>#DIV/0!</v>
      </c>
      <c r="ER16" s="185">
        <f t="shared" si="41"/>
        <v>0</v>
      </c>
      <c r="ES16" s="164"/>
      <c r="ET16" s="164"/>
      <c r="EU16" s="186">
        <f t="shared" si="42"/>
        <v>0</v>
      </c>
      <c r="EV16" s="186">
        <f t="shared" si="43"/>
        <v>0</v>
      </c>
      <c r="EW16" s="186">
        <f t="shared" si="44"/>
        <v>0</v>
      </c>
      <c r="EX16" s="186">
        <f t="shared" si="45"/>
        <v>0</v>
      </c>
      <c r="EY16" s="131"/>
      <c r="EZ16" s="187">
        <f t="shared" si="46"/>
        <v>0</v>
      </c>
      <c r="FA16" s="188" t="e">
        <f t="shared" si="47"/>
        <v>#DIV/0!</v>
      </c>
      <c r="FB16" s="189"/>
      <c r="FC16" s="219"/>
      <c r="FD16" s="219"/>
      <c r="FE16" s="131"/>
      <c r="FF16" s="131"/>
      <c r="FG16" s="131"/>
    </row>
    <row r="17" spans="1:163" s="220" customFormat="1" ht="16" outlineLevel="1" thickBot="1" x14ac:dyDescent="0.4">
      <c r="B17" s="356"/>
      <c r="C17" s="353"/>
      <c r="D17" s="133"/>
      <c r="E17" s="134"/>
      <c r="F17" s="135"/>
      <c r="G17" s="136"/>
      <c r="H17" s="137"/>
      <c r="I17" s="138">
        <f t="shared" si="0"/>
        <v>0</v>
      </c>
      <c r="J17" s="139"/>
      <c r="K17" s="140">
        <f t="shared" si="49"/>
        <v>0</v>
      </c>
      <c r="L17" s="141"/>
      <c r="M17" s="142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2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4"/>
      <c r="AN17" s="145">
        <f t="shared" si="2"/>
        <v>0</v>
      </c>
      <c r="AO17" s="146"/>
      <c r="AP17" s="147">
        <f t="shared" si="3"/>
        <v>0</v>
      </c>
      <c r="AQ17" s="221"/>
      <c r="AR17" s="149"/>
      <c r="AS17" s="149"/>
      <c r="AT17" s="222"/>
      <c r="AU17" s="223"/>
      <c r="AV17" s="224"/>
      <c r="AW17" s="224"/>
      <c r="AX17" s="224"/>
      <c r="AY17" s="224"/>
      <c r="AZ17" s="224"/>
      <c r="BA17" s="224"/>
      <c r="BB17" s="224"/>
      <c r="BC17" s="224"/>
      <c r="BD17" s="224"/>
      <c r="BE17" s="224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3"/>
      <c r="BS17" s="224"/>
      <c r="BT17" s="224"/>
      <c r="BU17" s="224"/>
      <c r="BV17" s="224"/>
      <c r="BW17" s="224"/>
      <c r="BX17" s="224"/>
      <c r="BY17" s="224"/>
      <c r="BZ17" s="224"/>
      <c r="CA17" s="224"/>
      <c r="CB17" s="224"/>
      <c r="CC17" s="226"/>
      <c r="CD17" s="223"/>
      <c r="CE17" s="142"/>
      <c r="CF17" s="143"/>
      <c r="CG17" s="143"/>
      <c r="CH17" s="143"/>
      <c r="CI17" s="143"/>
      <c r="CJ17" s="143"/>
      <c r="CK17" s="143"/>
      <c r="CL17" s="143"/>
      <c r="CM17" s="143"/>
      <c r="CN17" s="143"/>
      <c r="CO17" s="349"/>
      <c r="CP17" s="224"/>
      <c r="CQ17" s="225"/>
      <c r="CR17" s="226"/>
      <c r="CS17" s="227">
        <f t="shared" si="48"/>
        <v>0</v>
      </c>
      <c r="CT17" s="146"/>
      <c r="CU17" s="147">
        <f t="shared" si="4"/>
        <v>0</v>
      </c>
      <c r="CV17" s="156"/>
      <c r="CW17" s="157" t="e">
        <f t="shared" si="5"/>
        <v>#DIV/0!</v>
      </c>
      <c r="CX17" s="157" t="e">
        <f t="shared" si="6"/>
        <v>#DIV/0!</v>
      </c>
      <c r="CY17" s="157" t="e">
        <f t="shared" si="7"/>
        <v>#DIV/0!</v>
      </c>
      <c r="CZ17" s="157" t="e">
        <f t="shared" si="8"/>
        <v>#DIV/0!</v>
      </c>
      <c r="DA17" s="157" t="e">
        <f t="shared" si="9"/>
        <v>#DIV/0!</v>
      </c>
      <c r="DB17" s="158" t="e">
        <f t="shared" si="10"/>
        <v>#DIV/0!</v>
      </c>
      <c r="DC17" s="131"/>
      <c r="DD17" s="159">
        <f t="shared" si="11"/>
        <v>0</v>
      </c>
      <c r="DE17" s="160">
        <f t="shared" si="12"/>
        <v>0</v>
      </c>
      <c r="DF17" s="161">
        <f t="shared" si="13"/>
        <v>0</v>
      </c>
      <c r="DG17" s="162" t="e">
        <f t="shared" si="14"/>
        <v>#DIV/0!</v>
      </c>
      <c r="DH17" s="163">
        <f t="shared" si="15"/>
        <v>0</v>
      </c>
      <c r="DI17" s="164"/>
      <c r="DJ17" s="165">
        <f t="shared" si="16"/>
        <v>0</v>
      </c>
      <c r="DK17" s="166">
        <f t="shared" si="16"/>
        <v>0</v>
      </c>
      <c r="DL17" s="167" t="e">
        <f t="shared" si="17"/>
        <v>#DIV/0!</v>
      </c>
      <c r="DM17" s="168" t="e">
        <f t="shared" si="18"/>
        <v>#DIV/0!</v>
      </c>
      <c r="DN17" s="163" t="e">
        <f t="shared" si="19"/>
        <v>#DIV/0!</v>
      </c>
      <c r="DO17" s="169"/>
      <c r="DP17" s="170"/>
      <c r="DQ17" s="171"/>
      <c r="DR17" s="172">
        <f t="shared" si="20"/>
        <v>0</v>
      </c>
      <c r="DS17" s="173" t="e">
        <f t="shared" si="21"/>
        <v>#DIV/0!</v>
      </c>
      <c r="DT17" s="163" t="e">
        <f t="shared" si="22"/>
        <v>#DIV/0!</v>
      </c>
      <c r="DU17" s="174"/>
      <c r="DV17" s="175" t="e">
        <f t="shared" si="23"/>
        <v>#DIV/0!</v>
      </c>
      <c r="DW17" s="163">
        <f t="shared" si="24"/>
        <v>0</v>
      </c>
      <c r="DX17" s="164"/>
      <c r="DY17" s="176">
        <f t="shared" si="25"/>
        <v>0</v>
      </c>
      <c r="DZ17" s="177">
        <f t="shared" si="26"/>
        <v>0</v>
      </c>
      <c r="EA17" s="178">
        <f t="shared" si="27"/>
        <v>0</v>
      </c>
      <c r="EB17" s="179">
        <f t="shared" si="28"/>
        <v>0</v>
      </c>
      <c r="EC17" s="180"/>
      <c r="ED17" s="175" t="e">
        <f t="shared" si="29"/>
        <v>#DIV/0!</v>
      </c>
      <c r="EE17" s="163">
        <f t="shared" si="30"/>
        <v>0</v>
      </c>
      <c r="EF17" s="164"/>
      <c r="EG17" s="181">
        <f t="shared" si="31"/>
        <v>0</v>
      </c>
      <c r="EH17" s="182">
        <f t="shared" si="32"/>
        <v>0</v>
      </c>
      <c r="EI17" s="182">
        <f t="shared" si="33"/>
        <v>0</v>
      </c>
      <c r="EJ17" s="182">
        <f t="shared" si="34"/>
        <v>0</v>
      </c>
      <c r="EK17" s="183">
        <f t="shared" si="35"/>
        <v>0</v>
      </c>
      <c r="EL17" s="184" t="e">
        <f t="shared" si="36"/>
        <v>#DIV/0!</v>
      </c>
      <c r="EM17" s="185">
        <f t="shared" si="37"/>
        <v>0</v>
      </c>
      <c r="EN17" s="164"/>
      <c r="EO17" s="181">
        <f t="shared" si="38"/>
        <v>0</v>
      </c>
      <c r="EP17" s="183">
        <f t="shared" si="39"/>
        <v>0</v>
      </c>
      <c r="EQ17" s="184" t="e">
        <f t="shared" si="40"/>
        <v>#DIV/0!</v>
      </c>
      <c r="ER17" s="185">
        <f t="shared" si="41"/>
        <v>0</v>
      </c>
      <c r="ES17" s="164"/>
      <c r="ET17" s="164"/>
      <c r="EU17" s="186">
        <f t="shared" si="42"/>
        <v>0</v>
      </c>
      <c r="EV17" s="186">
        <f t="shared" si="43"/>
        <v>0</v>
      </c>
      <c r="EW17" s="186">
        <f t="shared" si="44"/>
        <v>0</v>
      </c>
      <c r="EX17" s="186">
        <f t="shared" si="45"/>
        <v>0</v>
      </c>
      <c r="EY17" s="131"/>
      <c r="EZ17" s="187">
        <f t="shared" si="46"/>
        <v>0</v>
      </c>
      <c r="FA17" s="188" t="e">
        <f t="shared" si="47"/>
        <v>#DIV/0!</v>
      </c>
      <c r="FB17" s="189"/>
      <c r="FC17" s="219"/>
      <c r="FD17" s="219"/>
      <c r="FE17" s="219"/>
      <c r="FF17" s="219"/>
      <c r="FG17" s="219"/>
    </row>
    <row r="18" spans="1:163" s="220" customFormat="1" ht="16" outlineLevel="1" thickBot="1" x14ac:dyDescent="0.4">
      <c r="B18" s="357"/>
      <c r="C18" s="354"/>
      <c r="D18" s="190"/>
      <c r="E18" s="191"/>
      <c r="F18" s="135"/>
      <c r="G18" s="192"/>
      <c r="H18" s="137"/>
      <c r="I18" s="138">
        <f t="shared" si="0"/>
        <v>0</v>
      </c>
      <c r="J18" s="139"/>
      <c r="K18" s="193">
        <f t="shared" si="49"/>
        <v>0</v>
      </c>
      <c r="L18" s="141"/>
      <c r="M18" s="194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4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6"/>
      <c r="AN18" s="197">
        <f>SUM(M18:AM18)</f>
        <v>0</v>
      </c>
      <c r="AO18" s="146"/>
      <c r="AP18" s="147">
        <f>K18-AN18</f>
        <v>0</v>
      </c>
      <c r="AQ18" s="221"/>
      <c r="AR18" s="198"/>
      <c r="AS18" s="198"/>
      <c r="AT18" s="222"/>
      <c r="AU18" s="228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01"/>
      <c r="BR18" s="228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31"/>
      <c r="CD18" s="228"/>
      <c r="CE18" s="194"/>
      <c r="CF18" s="195"/>
      <c r="CG18" s="195"/>
      <c r="CH18" s="195"/>
      <c r="CI18" s="195"/>
      <c r="CJ18" s="195"/>
      <c r="CK18" s="195"/>
      <c r="CL18" s="195"/>
      <c r="CM18" s="195"/>
      <c r="CN18" s="195"/>
      <c r="CO18" s="350"/>
      <c r="CP18" s="229"/>
      <c r="CQ18" s="230"/>
      <c r="CR18" s="231"/>
      <c r="CS18" s="232">
        <f>SUM(AU18:CR18)</f>
        <v>0</v>
      </c>
      <c r="CT18" s="146"/>
      <c r="CU18" s="147">
        <f t="shared" si="4"/>
        <v>0</v>
      </c>
      <c r="CV18" s="156"/>
      <c r="CW18" s="157" t="e">
        <f>(SUM(M18:Z18))/K18</f>
        <v>#DIV/0!</v>
      </c>
      <c r="CX18" s="157" t="e">
        <f>(SUM(AA18:AM18))/K18</f>
        <v>#DIV/0!</v>
      </c>
      <c r="CY18" s="157" t="e">
        <f>(SUM(AU18:BQ18))/$K18</f>
        <v>#DIV/0!</v>
      </c>
      <c r="CZ18" s="157" t="e">
        <f>(SUM(BR18:CC18))/K18</f>
        <v>#DIV/0!</v>
      </c>
      <c r="DA18" s="157" t="e">
        <f t="shared" si="9"/>
        <v>#DIV/0!</v>
      </c>
      <c r="DB18" s="158" t="e">
        <f t="shared" si="10"/>
        <v>#DIV/0!</v>
      </c>
      <c r="DC18" s="131"/>
      <c r="DD18" s="159">
        <f>AP18</f>
        <v>0</v>
      </c>
      <c r="DE18" s="160">
        <f>CS18</f>
        <v>0</v>
      </c>
      <c r="DF18" s="161">
        <f>$DD18-DE18</f>
        <v>0</v>
      </c>
      <c r="DG18" s="162" t="e">
        <f>DF18/$DD18</f>
        <v>#DIV/0!</v>
      </c>
      <c r="DH18" s="163">
        <f>IF(AP18&gt;0.01,1,0)</f>
        <v>0</v>
      </c>
      <c r="DI18" s="164"/>
      <c r="DJ18" s="165">
        <f>H18</f>
        <v>0</v>
      </c>
      <c r="DK18" s="166">
        <f>I18</f>
        <v>0</v>
      </c>
      <c r="DL18" s="167" t="e">
        <f>DR18/DF18</f>
        <v>#DIV/0!</v>
      </c>
      <c r="DM18" s="168" t="e">
        <f>DL18/DK18</f>
        <v>#DIV/0!</v>
      </c>
      <c r="DN18" s="163" t="e">
        <f>IF(DM18&gt;0.01,1,0)</f>
        <v>#DIV/0!</v>
      </c>
      <c r="DO18" s="169"/>
      <c r="DP18" s="170"/>
      <c r="DQ18" s="171"/>
      <c r="DR18" s="172">
        <f>DP18+DQ18</f>
        <v>0</v>
      </c>
      <c r="DS18" s="173" t="e">
        <f>IF(DL18=0,0,DP18/DR18)</f>
        <v>#DIV/0!</v>
      </c>
      <c r="DT18" s="163" t="e">
        <f>IF(DS18&gt;0.01,1,0)</f>
        <v>#DIV/0!</v>
      </c>
      <c r="DU18" s="174"/>
      <c r="DV18" s="175" t="e">
        <f>DG18*DM18*DS18</f>
        <v>#DIV/0!</v>
      </c>
      <c r="DW18" s="163">
        <f t="shared" si="24"/>
        <v>0</v>
      </c>
      <c r="DX18" s="164"/>
      <c r="DY18" s="176">
        <f>DP18</f>
        <v>0</v>
      </c>
      <c r="DZ18" s="177">
        <f>DK18</f>
        <v>0</v>
      </c>
      <c r="EA18" s="178">
        <f>+AP18</f>
        <v>0</v>
      </c>
      <c r="EB18" s="179">
        <f>DZ18*EA18</f>
        <v>0</v>
      </c>
      <c r="EC18" s="180"/>
      <c r="ED18" s="175" t="e">
        <f>DY18/EB18</f>
        <v>#DIV/0!</v>
      </c>
      <c r="EE18" s="163">
        <f t="shared" si="30"/>
        <v>0</v>
      </c>
      <c r="EF18" s="164"/>
      <c r="EG18" s="181">
        <f>DP18</f>
        <v>0</v>
      </c>
      <c r="EH18" s="182">
        <f>K18</f>
        <v>0</v>
      </c>
      <c r="EI18" s="182">
        <f>SUM(M18:Z18)</f>
        <v>0</v>
      </c>
      <c r="EJ18" s="182">
        <f>I18</f>
        <v>0</v>
      </c>
      <c r="EK18" s="183">
        <f>(EH18-EI18)*EJ18</f>
        <v>0</v>
      </c>
      <c r="EL18" s="184" t="e">
        <f>EG18/EK18</f>
        <v>#DIV/0!</v>
      </c>
      <c r="EM18" s="185">
        <f>IF(EK18&gt;0.01,1,0)</f>
        <v>0</v>
      </c>
      <c r="EN18" s="164"/>
      <c r="EO18" s="181">
        <f>EG18</f>
        <v>0</v>
      </c>
      <c r="EP18" s="183">
        <f>EJ18</f>
        <v>0</v>
      </c>
      <c r="EQ18" s="184" t="e">
        <f t="shared" si="40"/>
        <v>#DIV/0!</v>
      </c>
      <c r="ER18" s="185">
        <f t="shared" si="41"/>
        <v>0</v>
      </c>
      <c r="ES18" s="164"/>
      <c r="ET18" s="164"/>
      <c r="EU18" s="186">
        <f>DK18</f>
        <v>0</v>
      </c>
      <c r="EV18" s="186">
        <f>CU18</f>
        <v>0</v>
      </c>
      <c r="EW18" s="186">
        <f t="shared" si="44"/>
        <v>0</v>
      </c>
      <c r="EX18" s="186">
        <f>DR18</f>
        <v>0</v>
      </c>
      <c r="EY18" s="131"/>
      <c r="EZ18" s="187">
        <f>EW18-EX18</f>
        <v>0</v>
      </c>
      <c r="FA18" s="188" t="e">
        <f t="shared" si="47"/>
        <v>#DIV/0!</v>
      </c>
      <c r="FB18" s="189"/>
      <c r="FC18" s="219"/>
      <c r="FD18" s="219"/>
      <c r="FE18" s="219"/>
      <c r="FF18" s="219"/>
      <c r="FG18" s="219"/>
    </row>
    <row r="19" spans="1:163" s="220" customFormat="1" ht="16" outlineLevel="1" thickBot="1" x14ac:dyDescent="0.4">
      <c r="B19" s="358"/>
      <c r="C19" s="355"/>
      <c r="D19" s="204"/>
      <c r="E19" s="205"/>
      <c r="F19" s="135"/>
      <c r="G19" s="206"/>
      <c r="H19" s="207"/>
      <c r="I19" s="138">
        <f t="shared" si="0"/>
        <v>0</v>
      </c>
      <c r="J19" s="139"/>
      <c r="K19" s="208">
        <f t="shared" si="49"/>
        <v>0</v>
      </c>
      <c r="L19" s="141"/>
      <c r="M19" s="209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09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1"/>
      <c r="AN19" s="212">
        <f t="shared" si="2"/>
        <v>0</v>
      </c>
      <c r="AO19" s="146"/>
      <c r="AP19" s="147">
        <f t="shared" si="3"/>
        <v>0</v>
      </c>
      <c r="AQ19" s="221"/>
      <c r="AR19" s="213"/>
      <c r="AS19" s="213"/>
      <c r="AT19" s="222"/>
      <c r="AU19" s="233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5"/>
      <c r="BG19" s="235"/>
      <c r="BH19" s="216"/>
      <c r="BI19" s="235"/>
      <c r="BJ19" s="235"/>
      <c r="BK19" s="235"/>
      <c r="BL19" s="235"/>
      <c r="BM19" s="235"/>
      <c r="BN19" s="235"/>
      <c r="BO19" s="235"/>
      <c r="BP19" s="235"/>
      <c r="BQ19" s="235"/>
      <c r="BR19" s="233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6"/>
      <c r="CD19" s="233"/>
      <c r="CE19" s="209"/>
      <c r="CF19" s="210"/>
      <c r="CG19" s="210"/>
      <c r="CH19" s="210"/>
      <c r="CI19" s="210"/>
      <c r="CJ19" s="210"/>
      <c r="CK19" s="210"/>
      <c r="CL19" s="210"/>
      <c r="CM19" s="210"/>
      <c r="CN19" s="210"/>
      <c r="CO19" s="351"/>
      <c r="CP19" s="234"/>
      <c r="CQ19" s="235"/>
      <c r="CR19" s="236"/>
      <c r="CS19" s="237">
        <f t="shared" si="48"/>
        <v>0</v>
      </c>
      <c r="CT19" s="146"/>
      <c r="CU19" s="147">
        <f t="shared" si="4"/>
        <v>0</v>
      </c>
      <c r="CV19" s="156"/>
      <c r="CW19" s="157" t="e">
        <f t="shared" si="5"/>
        <v>#DIV/0!</v>
      </c>
      <c r="CX19" s="157" t="e">
        <f t="shared" si="6"/>
        <v>#DIV/0!</v>
      </c>
      <c r="CY19" s="157" t="e">
        <f t="shared" si="7"/>
        <v>#DIV/0!</v>
      </c>
      <c r="CZ19" s="157" t="e">
        <f t="shared" si="8"/>
        <v>#DIV/0!</v>
      </c>
      <c r="DA19" s="157" t="e">
        <f t="shared" si="9"/>
        <v>#DIV/0!</v>
      </c>
      <c r="DB19" s="158" t="e">
        <f t="shared" si="10"/>
        <v>#DIV/0!</v>
      </c>
      <c r="DC19" s="131"/>
      <c r="DD19" s="159">
        <f t="shared" si="11"/>
        <v>0</v>
      </c>
      <c r="DE19" s="160">
        <f t="shared" si="12"/>
        <v>0</v>
      </c>
      <c r="DF19" s="161">
        <f t="shared" si="13"/>
        <v>0</v>
      </c>
      <c r="DG19" s="162" t="e">
        <f t="shared" si="14"/>
        <v>#DIV/0!</v>
      </c>
      <c r="DH19" s="163">
        <f t="shared" si="15"/>
        <v>0</v>
      </c>
      <c r="DI19" s="164"/>
      <c r="DJ19" s="165">
        <f t="shared" si="16"/>
        <v>0</v>
      </c>
      <c r="DK19" s="166">
        <f t="shared" si="16"/>
        <v>0</v>
      </c>
      <c r="DL19" s="167" t="e">
        <f t="shared" si="17"/>
        <v>#DIV/0!</v>
      </c>
      <c r="DM19" s="168" t="e">
        <f t="shared" si="18"/>
        <v>#DIV/0!</v>
      </c>
      <c r="DN19" s="163" t="e">
        <f t="shared" si="19"/>
        <v>#DIV/0!</v>
      </c>
      <c r="DO19" s="169"/>
      <c r="DP19" s="170"/>
      <c r="DQ19" s="171"/>
      <c r="DR19" s="172">
        <f t="shared" si="20"/>
        <v>0</v>
      </c>
      <c r="DS19" s="173" t="e">
        <f t="shared" si="21"/>
        <v>#DIV/0!</v>
      </c>
      <c r="DT19" s="163" t="e">
        <f t="shared" si="22"/>
        <v>#DIV/0!</v>
      </c>
      <c r="DU19" s="174"/>
      <c r="DV19" s="175" t="e">
        <f t="shared" si="23"/>
        <v>#DIV/0!</v>
      </c>
      <c r="DW19" s="163">
        <f t="shared" si="24"/>
        <v>0</v>
      </c>
      <c r="DX19" s="164"/>
      <c r="DY19" s="176">
        <f t="shared" si="25"/>
        <v>0</v>
      </c>
      <c r="DZ19" s="177">
        <f t="shared" si="26"/>
        <v>0</v>
      </c>
      <c r="EA19" s="178">
        <f t="shared" si="27"/>
        <v>0</v>
      </c>
      <c r="EB19" s="179">
        <f t="shared" si="28"/>
        <v>0</v>
      </c>
      <c r="EC19" s="180"/>
      <c r="ED19" s="175" t="e">
        <f t="shared" si="29"/>
        <v>#DIV/0!</v>
      </c>
      <c r="EE19" s="163">
        <f t="shared" si="30"/>
        <v>0</v>
      </c>
      <c r="EF19" s="164"/>
      <c r="EG19" s="181">
        <f t="shared" si="31"/>
        <v>0</v>
      </c>
      <c r="EH19" s="182">
        <f t="shared" si="32"/>
        <v>0</v>
      </c>
      <c r="EI19" s="182">
        <f t="shared" si="33"/>
        <v>0</v>
      </c>
      <c r="EJ19" s="182">
        <f t="shared" si="34"/>
        <v>0</v>
      </c>
      <c r="EK19" s="183">
        <f t="shared" si="35"/>
        <v>0</v>
      </c>
      <c r="EL19" s="184" t="e">
        <f t="shared" si="36"/>
        <v>#DIV/0!</v>
      </c>
      <c r="EM19" s="185">
        <f t="shared" si="37"/>
        <v>0</v>
      </c>
      <c r="EN19" s="164"/>
      <c r="EO19" s="181">
        <f t="shared" si="38"/>
        <v>0</v>
      </c>
      <c r="EP19" s="183">
        <f t="shared" si="39"/>
        <v>0</v>
      </c>
      <c r="EQ19" s="184" t="e">
        <f t="shared" si="40"/>
        <v>#DIV/0!</v>
      </c>
      <c r="ER19" s="185">
        <f t="shared" si="41"/>
        <v>0</v>
      </c>
      <c r="ES19" s="164"/>
      <c r="ET19" s="164"/>
      <c r="EU19" s="186">
        <f t="shared" si="42"/>
        <v>0</v>
      </c>
      <c r="EV19" s="186">
        <f t="shared" si="43"/>
        <v>0</v>
      </c>
      <c r="EW19" s="186">
        <f t="shared" si="44"/>
        <v>0</v>
      </c>
      <c r="EX19" s="186">
        <f t="shared" si="45"/>
        <v>0</v>
      </c>
      <c r="EY19" s="131"/>
      <c r="EZ19" s="187">
        <f t="shared" si="46"/>
        <v>0</v>
      </c>
      <c r="FA19" s="188" t="e">
        <f t="shared" si="47"/>
        <v>#DIV/0!</v>
      </c>
      <c r="FB19" s="189"/>
      <c r="FC19" s="131"/>
      <c r="FD19" s="131"/>
      <c r="FE19" s="219"/>
      <c r="FF19" s="219"/>
      <c r="FG19" s="219"/>
    </row>
    <row r="20" spans="1:163" ht="16" outlineLevel="1" thickBot="1" x14ac:dyDescent="0.4">
      <c r="B20" s="356"/>
      <c r="C20" s="353"/>
      <c r="D20" s="133"/>
      <c r="E20" s="134"/>
      <c r="F20" s="135"/>
      <c r="G20" s="136"/>
      <c r="H20" s="137"/>
      <c r="I20" s="138">
        <f t="shared" si="0"/>
        <v>0</v>
      </c>
      <c r="J20" s="139"/>
      <c r="K20" s="140">
        <f t="shared" si="49"/>
        <v>0</v>
      </c>
      <c r="L20" s="141"/>
      <c r="M20" s="142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2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4"/>
      <c r="AN20" s="145">
        <f t="shared" si="2"/>
        <v>0</v>
      </c>
      <c r="AO20" s="146"/>
      <c r="AP20" s="147">
        <f t="shared" si="3"/>
        <v>0</v>
      </c>
      <c r="AQ20" s="148"/>
      <c r="AR20" s="149"/>
      <c r="AS20" s="149"/>
      <c r="AT20" s="135"/>
      <c r="AU20" s="150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0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4"/>
      <c r="CD20" s="150"/>
      <c r="CE20" s="142"/>
      <c r="CF20" s="143"/>
      <c r="CG20" s="143"/>
      <c r="CH20" s="143"/>
      <c r="CI20" s="143"/>
      <c r="CJ20" s="143"/>
      <c r="CK20" s="143"/>
      <c r="CL20" s="143"/>
      <c r="CM20" s="143"/>
      <c r="CN20" s="143"/>
      <c r="CO20" s="346"/>
      <c r="CP20" s="151"/>
      <c r="CQ20" s="152"/>
      <c r="CR20" s="154"/>
      <c r="CS20" s="155">
        <f t="shared" si="48"/>
        <v>0</v>
      </c>
      <c r="CT20" s="146"/>
      <c r="CU20" s="147">
        <f t="shared" si="4"/>
        <v>0</v>
      </c>
      <c r="CV20" s="156"/>
      <c r="CW20" s="157" t="e">
        <f t="shared" si="5"/>
        <v>#DIV/0!</v>
      </c>
      <c r="CX20" s="157" t="e">
        <f t="shared" si="6"/>
        <v>#DIV/0!</v>
      </c>
      <c r="CY20" s="157" t="e">
        <f t="shared" si="7"/>
        <v>#DIV/0!</v>
      </c>
      <c r="CZ20" s="157" t="e">
        <f t="shared" si="8"/>
        <v>#DIV/0!</v>
      </c>
      <c r="DA20" s="157" t="e">
        <f t="shared" si="9"/>
        <v>#DIV/0!</v>
      </c>
      <c r="DB20" s="158" t="e">
        <f t="shared" si="10"/>
        <v>#DIV/0!</v>
      </c>
      <c r="DC20" s="131"/>
      <c r="DD20" s="159">
        <f t="shared" si="11"/>
        <v>0</v>
      </c>
      <c r="DE20" s="160">
        <f t="shared" si="12"/>
        <v>0</v>
      </c>
      <c r="DF20" s="161">
        <f t="shared" si="13"/>
        <v>0</v>
      </c>
      <c r="DG20" s="162" t="e">
        <f t="shared" si="14"/>
        <v>#DIV/0!</v>
      </c>
      <c r="DH20" s="163">
        <f t="shared" si="15"/>
        <v>0</v>
      </c>
      <c r="DI20" s="164"/>
      <c r="DJ20" s="165">
        <f t="shared" si="16"/>
        <v>0</v>
      </c>
      <c r="DK20" s="166">
        <f t="shared" si="16"/>
        <v>0</v>
      </c>
      <c r="DL20" s="167" t="e">
        <f t="shared" si="17"/>
        <v>#DIV/0!</v>
      </c>
      <c r="DM20" s="168" t="e">
        <f t="shared" si="18"/>
        <v>#DIV/0!</v>
      </c>
      <c r="DN20" s="163" t="e">
        <f t="shared" si="19"/>
        <v>#DIV/0!</v>
      </c>
      <c r="DO20" s="169"/>
      <c r="DP20" s="170"/>
      <c r="DQ20" s="171"/>
      <c r="DR20" s="172">
        <f t="shared" si="20"/>
        <v>0</v>
      </c>
      <c r="DS20" s="173" t="e">
        <f t="shared" si="21"/>
        <v>#DIV/0!</v>
      </c>
      <c r="DT20" s="163" t="e">
        <f t="shared" si="22"/>
        <v>#DIV/0!</v>
      </c>
      <c r="DU20" s="174"/>
      <c r="DV20" s="175" t="e">
        <f t="shared" si="23"/>
        <v>#DIV/0!</v>
      </c>
      <c r="DW20" s="163">
        <f t="shared" si="24"/>
        <v>0</v>
      </c>
      <c r="DX20" s="164"/>
      <c r="DY20" s="176">
        <f t="shared" si="25"/>
        <v>0</v>
      </c>
      <c r="DZ20" s="177">
        <f t="shared" si="26"/>
        <v>0</v>
      </c>
      <c r="EA20" s="178">
        <f t="shared" si="27"/>
        <v>0</v>
      </c>
      <c r="EB20" s="179">
        <f t="shared" si="28"/>
        <v>0</v>
      </c>
      <c r="EC20" s="180"/>
      <c r="ED20" s="175" t="e">
        <f t="shared" si="29"/>
        <v>#DIV/0!</v>
      </c>
      <c r="EE20" s="163">
        <f t="shared" si="30"/>
        <v>0</v>
      </c>
      <c r="EF20" s="164"/>
      <c r="EG20" s="181">
        <f t="shared" si="31"/>
        <v>0</v>
      </c>
      <c r="EH20" s="182">
        <f t="shared" si="32"/>
        <v>0</v>
      </c>
      <c r="EI20" s="182">
        <f t="shared" si="33"/>
        <v>0</v>
      </c>
      <c r="EJ20" s="182">
        <f t="shared" si="34"/>
        <v>0</v>
      </c>
      <c r="EK20" s="183">
        <f t="shared" si="35"/>
        <v>0</v>
      </c>
      <c r="EL20" s="184" t="e">
        <f t="shared" si="36"/>
        <v>#DIV/0!</v>
      </c>
      <c r="EM20" s="185">
        <f t="shared" si="37"/>
        <v>0</v>
      </c>
      <c r="EN20" s="164"/>
      <c r="EO20" s="181">
        <f t="shared" si="38"/>
        <v>0</v>
      </c>
      <c r="EP20" s="183">
        <f t="shared" si="39"/>
        <v>0</v>
      </c>
      <c r="EQ20" s="184" t="e">
        <f t="shared" si="40"/>
        <v>#DIV/0!</v>
      </c>
      <c r="ER20" s="185">
        <f t="shared" si="41"/>
        <v>0</v>
      </c>
      <c r="ES20" s="164"/>
      <c r="ET20" s="164"/>
      <c r="EU20" s="186">
        <f t="shared" si="42"/>
        <v>0</v>
      </c>
      <c r="EV20" s="186">
        <f t="shared" si="43"/>
        <v>0</v>
      </c>
      <c r="EW20" s="186">
        <f t="shared" si="44"/>
        <v>0</v>
      </c>
      <c r="EX20" s="186">
        <f t="shared" si="45"/>
        <v>0</v>
      </c>
      <c r="EY20" s="131"/>
      <c r="EZ20" s="187">
        <f t="shared" si="46"/>
        <v>0</v>
      </c>
      <c r="FA20" s="188" t="e">
        <f t="shared" si="47"/>
        <v>#DIV/0!</v>
      </c>
      <c r="FB20" s="189"/>
      <c r="FC20" s="131"/>
      <c r="FD20" s="131"/>
      <c r="FE20" s="131"/>
      <c r="FF20" s="131"/>
      <c r="FG20" s="131"/>
    </row>
    <row r="21" spans="1:163" ht="16" outlineLevel="1" thickBot="1" x14ac:dyDescent="0.4">
      <c r="B21" s="357"/>
      <c r="C21" s="354"/>
      <c r="D21" s="190"/>
      <c r="E21" s="191"/>
      <c r="F21" s="135"/>
      <c r="G21" s="192"/>
      <c r="H21" s="137"/>
      <c r="I21" s="138">
        <f t="shared" si="0"/>
        <v>0</v>
      </c>
      <c r="J21" s="139"/>
      <c r="K21" s="193">
        <f t="shared" si="49"/>
        <v>0</v>
      </c>
      <c r="L21" s="141"/>
      <c r="M21" s="194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4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6"/>
      <c r="AN21" s="197">
        <f t="shared" si="2"/>
        <v>0</v>
      </c>
      <c r="AO21" s="146"/>
      <c r="AP21" s="147">
        <f t="shared" si="3"/>
        <v>0</v>
      </c>
      <c r="AQ21" s="148"/>
      <c r="AR21" s="198"/>
      <c r="AS21" s="198"/>
      <c r="AT21" s="135"/>
      <c r="AU21" s="199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199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2"/>
      <c r="CD21" s="199"/>
      <c r="CE21" s="194"/>
      <c r="CF21" s="195"/>
      <c r="CG21" s="195"/>
      <c r="CH21" s="195"/>
      <c r="CI21" s="195"/>
      <c r="CJ21" s="195"/>
      <c r="CK21" s="195"/>
      <c r="CL21" s="195"/>
      <c r="CM21" s="195"/>
      <c r="CN21" s="195"/>
      <c r="CO21" s="347"/>
      <c r="CP21" s="200"/>
      <c r="CQ21" s="201"/>
      <c r="CR21" s="202"/>
      <c r="CS21" s="203">
        <f t="shared" si="48"/>
        <v>0</v>
      </c>
      <c r="CT21" s="146"/>
      <c r="CU21" s="147">
        <f t="shared" si="4"/>
        <v>0</v>
      </c>
      <c r="CV21" s="156"/>
      <c r="CW21" s="157" t="e">
        <f t="shared" si="5"/>
        <v>#DIV/0!</v>
      </c>
      <c r="CX21" s="157" t="e">
        <f t="shared" si="6"/>
        <v>#DIV/0!</v>
      </c>
      <c r="CY21" s="157" t="e">
        <f t="shared" si="7"/>
        <v>#DIV/0!</v>
      </c>
      <c r="CZ21" s="157" t="e">
        <f t="shared" si="8"/>
        <v>#DIV/0!</v>
      </c>
      <c r="DA21" s="157" t="e">
        <f t="shared" si="9"/>
        <v>#DIV/0!</v>
      </c>
      <c r="DB21" s="158" t="e">
        <f t="shared" si="10"/>
        <v>#DIV/0!</v>
      </c>
      <c r="DC21" s="131"/>
      <c r="DD21" s="159">
        <f t="shared" si="11"/>
        <v>0</v>
      </c>
      <c r="DE21" s="160">
        <f t="shared" si="12"/>
        <v>0</v>
      </c>
      <c r="DF21" s="161">
        <f t="shared" si="13"/>
        <v>0</v>
      </c>
      <c r="DG21" s="162" t="e">
        <f t="shared" si="14"/>
        <v>#DIV/0!</v>
      </c>
      <c r="DH21" s="163">
        <f t="shared" si="15"/>
        <v>0</v>
      </c>
      <c r="DI21" s="164"/>
      <c r="DJ21" s="165">
        <f t="shared" si="16"/>
        <v>0</v>
      </c>
      <c r="DK21" s="166">
        <f t="shared" si="16"/>
        <v>0</v>
      </c>
      <c r="DL21" s="167" t="e">
        <f t="shared" si="17"/>
        <v>#DIV/0!</v>
      </c>
      <c r="DM21" s="168" t="e">
        <f t="shared" si="18"/>
        <v>#DIV/0!</v>
      </c>
      <c r="DN21" s="163" t="e">
        <f t="shared" si="19"/>
        <v>#DIV/0!</v>
      </c>
      <c r="DO21" s="169"/>
      <c r="DP21" s="170"/>
      <c r="DQ21" s="171"/>
      <c r="DR21" s="172">
        <f t="shared" si="20"/>
        <v>0</v>
      </c>
      <c r="DS21" s="173" t="e">
        <f t="shared" si="21"/>
        <v>#DIV/0!</v>
      </c>
      <c r="DT21" s="163" t="e">
        <f t="shared" si="22"/>
        <v>#DIV/0!</v>
      </c>
      <c r="DU21" s="174"/>
      <c r="DV21" s="175" t="e">
        <f t="shared" si="23"/>
        <v>#DIV/0!</v>
      </c>
      <c r="DW21" s="163">
        <f t="shared" si="24"/>
        <v>0</v>
      </c>
      <c r="DX21" s="164"/>
      <c r="DY21" s="176">
        <f t="shared" si="25"/>
        <v>0</v>
      </c>
      <c r="DZ21" s="177">
        <f t="shared" si="26"/>
        <v>0</v>
      </c>
      <c r="EA21" s="178">
        <f t="shared" si="27"/>
        <v>0</v>
      </c>
      <c r="EB21" s="179">
        <f t="shared" si="28"/>
        <v>0</v>
      </c>
      <c r="EC21" s="180"/>
      <c r="ED21" s="175" t="e">
        <f t="shared" si="29"/>
        <v>#DIV/0!</v>
      </c>
      <c r="EE21" s="163">
        <f t="shared" si="30"/>
        <v>0</v>
      </c>
      <c r="EF21" s="164"/>
      <c r="EG21" s="181">
        <f t="shared" si="31"/>
        <v>0</v>
      </c>
      <c r="EH21" s="182">
        <f t="shared" si="32"/>
        <v>0</v>
      </c>
      <c r="EI21" s="182">
        <f t="shared" si="33"/>
        <v>0</v>
      </c>
      <c r="EJ21" s="182">
        <f t="shared" si="34"/>
        <v>0</v>
      </c>
      <c r="EK21" s="183">
        <f t="shared" si="35"/>
        <v>0</v>
      </c>
      <c r="EL21" s="184" t="e">
        <f t="shared" si="36"/>
        <v>#DIV/0!</v>
      </c>
      <c r="EM21" s="185">
        <f t="shared" si="37"/>
        <v>0</v>
      </c>
      <c r="EN21" s="164"/>
      <c r="EO21" s="181">
        <f t="shared" si="38"/>
        <v>0</v>
      </c>
      <c r="EP21" s="183">
        <f t="shared" si="39"/>
        <v>0</v>
      </c>
      <c r="EQ21" s="184" t="e">
        <f t="shared" si="40"/>
        <v>#DIV/0!</v>
      </c>
      <c r="ER21" s="185">
        <f t="shared" si="41"/>
        <v>0</v>
      </c>
      <c r="ES21" s="164"/>
      <c r="ET21" s="164"/>
      <c r="EU21" s="186">
        <f t="shared" si="42"/>
        <v>0</v>
      </c>
      <c r="EV21" s="186">
        <f t="shared" si="43"/>
        <v>0</v>
      </c>
      <c r="EW21" s="186">
        <f t="shared" si="44"/>
        <v>0</v>
      </c>
      <c r="EX21" s="186">
        <f t="shared" si="45"/>
        <v>0</v>
      </c>
      <c r="EY21" s="131"/>
      <c r="EZ21" s="187">
        <f t="shared" si="46"/>
        <v>0</v>
      </c>
      <c r="FA21" s="188" t="e">
        <f t="shared" si="47"/>
        <v>#DIV/0!</v>
      </c>
      <c r="FB21" s="189"/>
      <c r="FC21" s="131"/>
      <c r="FD21" s="131"/>
      <c r="FE21" s="131"/>
      <c r="FF21" s="131"/>
      <c r="FG21" s="131"/>
    </row>
    <row r="22" spans="1:163" ht="16" outlineLevel="1" thickBot="1" x14ac:dyDescent="0.4">
      <c r="B22" s="358"/>
      <c r="C22" s="355"/>
      <c r="D22" s="204"/>
      <c r="E22" s="205"/>
      <c r="F22" s="135"/>
      <c r="G22" s="206"/>
      <c r="H22" s="207"/>
      <c r="I22" s="138">
        <f t="shared" si="0"/>
        <v>0</v>
      </c>
      <c r="J22" s="139"/>
      <c r="K22" s="208">
        <f t="shared" si="49"/>
        <v>0</v>
      </c>
      <c r="L22" s="141"/>
      <c r="M22" s="209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09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1"/>
      <c r="AN22" s="212">
        <f t="shared" si="2"/>
        <v>0</v>
      </c>
      <c r="AO22" s="146"/>
      <c r="AP22" s="147">
        <f t="shared" si="3"/>
        <v>0</v>
      </c>
      <c r="AQ22" s="148"/>
      <c r="AR22" s="213"/>
      <c r="AS22" s="213"/>
      <c r="AT22" s="135"/>
      <c r="AU22" s="214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4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7"/>
      <c r="CD22" s="214"/>
      <c r="CE22" s="209"/>
      <c r="CF22" s="210"/>
      <c r="CG22" s="210"/>
      <c r="CH22" s="210"/>
      <c r="CI22" s="210"/>
      <c r="CJ22" s="210"/>
      <c r="CK22" s="210"/>
      <c r="CL22" s="210"/>
      <c r="CM22" s="210"/>
      <c r="CN22" s="210"/>
      <c r="CO22" s="348"/>
      <c r="CP22" s="215"/>
      <c r="CQ22" s="216"/>
      <c r="CR22" s="217"/>
      <c r="CS22" s="218">
        <f t="shared" si="48"/>
        <v>0</v>
      </c>
      <c r="CT22" s="146"/>
      <c r="CU22" s="147">
        <f t="shared" si="4"/>
        <v>0</v>
      </c>
      <c r="CV22" s="156"/>
      <c r="CW22" s="157" t="e">
        <f t="shared" si="5"/>
        <v>#DIV/0!</v>
      </c>
      <c r="CX22" s="157" t="e">
        <f t="shared" si="6"/>
        <v>#DIV/0!</v>
      </c>
      <c r="CY22" s="157" t="e">
        <f t="shared" si="7"/>
        <v>#DIV/0!</v>
      </c>
      <c r="CZ22" s="157" t="e">
        <f t="shared" si="8"/>
        <v>#DIV/0!</v>
      </c>
      <c r="DA22" s="157" t="e">
        <f t="shared" si="9"/>
        <v>#DIV/0!</v>
      </c>
      <c r="DB22" s="158" t="e">
        <f t="shared" si="10"/>
        <v>#DIV/0!</v>
      </c>
      <c r="DC22" s="131"/>
      <c r="DD22" s="159">
        <f t="shared" si="11"/>
        <v>0</v>
      </c>
      <c r="DE22" s="160">
        <f t="shared" si="12"/>
        <v>0</v>
      </c>
      <c r="DF22" s="161">
        <f t="shared" si="13"/>
        <v>0</v>
      </c>
      <c r="DG22" s="162" t="e">
        <f t="shared" si="14"/>
        <v>#DIV/0!</v>
      </c>
      <c r="DH22" s="163">
        <f t="shared" si="15"/>
        <v>0</v>
      </c>
      <c r="DI22" s="164"/>
      <c r="DJ22" s="165">
        <f t="shared" si="16"/>
        <v>0</v>
      </c>
      <c r="DK22" s="166">
        <f t="shared" si="16"/>
        <v>0</v>
      </c>
      <c r="DL22" s="167" t="e">
        <f t="shared" si="17"/>
        <v>#DIV/0!</v>
      </c>
      <c r="DM22" s="168" t="e">
        <f t="shared" si="18"/>
        <v>#DIV/0!</v>
      </c>
      <c r="DN22" s="163" t="e">
        <f t="shared" si="19"/>
        <v>#DIV/0!</v>
      </c>
      <c r="DO22" s="169"/>
      <c r="DP22" s="170"/>
      <c r="DQ22" s="171"/>
      <c r="DR22" s="172">
        <f t="shared" si="20"/>
        <v>0</v>
      </c>
      <c r="DS22" s="173" t="e">
        <f t="shared" si="21"/>
        <v>#DIV/0!</v>
      </c>
      <c r="DT22" s="163" t="e">
        <f t="shared" si="22"/>
        <v>#DIV/0!</v>
      </c>
      <c r="DU22" s="174"/>
      <c r="DV22" s="175" t="e">
        <f t="shared" si="23"/>
        <v>#DIV/0!</v>
      </c>
      <c r="DW22" s="163">
        <f t="shared" si="24"/>
        <v>0</v>
      </c>
      <c r="DX22" s="164"/>
      <c r="DY22" s="176">
        <f t="shared" si="25"/>
        <v>0</v>
      </c>
      <c r="DZ22" s="177">
        <f t="shared" si="26"/>
        <v>0</v>
      </c>
      <c r="EA22" s="178">
        <f t="shared" si="27"/>
        <v>0</v>
      </c>
      <c r="EB22" s="179">
        <f t="shared" si="28"/>
        <v>0</v>
      </c>
      <c r="EC22" s="180"/>
      <c r="ED22" s="175" t="e">
        <f t="shared" si="29"/>
        <v>#DIV/0!</v>
      </c>
      <c r="EE22" s="163">
        <f t="shared" si="30"/>
        <v>0</v>
      </c>
      <c r="EF22" s="164"/>
      <c r="EG22" s="181">
        <f t="shared" si="31"/>
        <v>0</v>
      </c>
      <c r="EH22" s="182">
        <f t="shared" si="32"/>
        <v>0</v>
      </c>
      <c r="EI22" s="182">
        <f t="shared" si="33"/>
        <v>0</v>
      </c>
      <c r="EJ22" s="182">
        <f t="shared" si="34"/>
        <v>0</v>
      </c>
      <c r="EK22" s="183">
        <f t="shared" si="35"/>
        <v>0</v>
      </c>
      <c r="EL22" s="184" t="e">
        <f t="shared" si="36"/>
        <v>#DIV/0!</v>
      </c>
      <c r="EM22" s="185">
        <f t="shared" si="37"/>
        <v>0</v>
      </c>
      <c r="EN22" s="164"/>
      <c r="EO22" s="181">
        <f t="shared" si="38"/>
        <v>0</v>
      </c>
      <c r="EP22" s="183">
        <f t="shared" si="39"/>
        <v>0</v>
      </c>
      <c r="EQ22" s="184" t="e">
        <f t="shared" si="40"/>
        <v>#DIV/0!</v>
      </c>
      <c r="ER22" s="185">
        <f t="shared" si="41"/>
        <v>0</v>
      </c>
      <c r="ES22" s="164"/>
      <c r="ET22" s="164"/>
      <c r="EU22" s="186">
        <f t="shared" si="42"/>
        <v>0</v>
      </c>
      <c r="EV22" s="186">
        <f t="shared" si="43"/>
        <v>0</v>
      </c>
      <c r="EW22" s="186">
        <f t="shared" si="44"/>
        <v>0</v>
      </c>
      <c r="EX22" s="186">
        <f t="shared" si="45"/>
        <v>0</v>
      </c>
      <c r="EY22" s="131"/>
      <c r="EZ22" s="187">
        <f t="shared" si="46"/>
        <v>0</v>
      </c>
      <c r="FA22" s="188" t="e">
        <f t="shared" si="47"/>
        <v>#DIV/0!</v>
      </c>
      <c r="FB22" s="189"/>
      <c r="FC22" s="131"/>
      <c r="FD22" s="131"/>
      <c r="FE22" s="131"/>
      <c r="FF22" s="131"/>
      <c r="FG22" s="131"/>
    </row>
    <row r="23" spans="1:163" s="169" customFormat="1" ht="16" outlineLevel="1" thickBot="1" x14ac:dyDescent="0.4">
      <c r="B23" s="356"/>
      <c r="C23" s="353"/>
      <c r="D23" s="133"/>
      <c r="E23" s="134"/>
      <c r="F23" s="135"/>
      <c r="G23" s="136"/>
      <c r="H23" s="137"/>
      <c r="I23" s="138">
        <f>IF(E23&gt;0.0001,9.4,0)</f>
        <v>0</v>
      </c>
      <c r="J23" s="139"/>
      <c r="K23" s="140">
        <f t="shared" si="49"/>
        <v>0</v>
      </c>
      <c r="L23" s="141"/>
      <c r="M23" s="142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2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4"/>
      <c r="AN23" s="145">
        <f t="shared" si="2"/>
        <v>0</v>
      </c>
      <c r="AO23" s="146"/>
      <c r="AP23" s="147">
        <f t="shared" si="3"/>
        <v>0</v>
      </c>
      <c r="AQ23" s="148"/>
      <c r="AR23" s="149"/>
      <c r="AS23" s="149"/>
      <c r="AT23" s="135"/>
      <c r="AU23" s="150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0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4"/>
      <c r="CD23" s="150"/>
      <c r="CE23" s="142"/>
      <c r="CF23" s="143"/>
      <c r="CG23" s="143"/>
      <c r="CH23" s="143"/>
      <c r="CI23" s="143"/>
      <c r="CJ23" s="143"/>
      <c r="CK23" s="143"/>
      <c r="CL23" s="143"/>
      <c r="CM23" s="143"/>
      <c r="CN23" s="143"/>
      <c r="CO23" s="346"/>
      <c r="CP23" s="151"/>
      <c r="CQ23" s="152"/>
      <c r="CR23" s="154"/>
      <c r="CS23" s="155">
        <f t="shared" si="48"/>
        <v>0</v>
      </c>
      <c r="CT23" s="146"/>
      <c r="CU23" s="147">
        <f t="shared" si="4"/>
        <v>0</v>
      </c>
      <c r="CV23" s="156"/>
      <c r="CW23" s="157" t="e">
        <f t="shared" si="5"/>
        <v>#DIV/0!</v>
      </c>
      <c r="CX23" s="157" t="e">
        <f t="shared" si="6"/>
        <v>#DIV/0!</v>
      </c>
      <c r="CY23" s="157" t="e">
        <f t="shared" si="7"/>
        <v>#DIV/0!</v>
      </c>
      <c r="CZ23" s="157" t="e">
        <f t="shared" si="8"/>
        <v>#DIV/0!</v>
      </c>
      <c r="DA23" s="157" t="e">
        <f t="shared" si="9"/>
        <v>#DIV/0!</v>
      </c>
      <c r="DB23" s="158" t="e">
        <f t="shared" si="10"/>
        <v>#DIV/0!</v>
      </c>
      <c r="DC23" s="131"/>
      <c r="DD23" s="159">
        <f t="shared" si="11"/>
        <v>0</v>
      </c>
      <c r="DE23" s="160">
        <f t="shared" si="12"/>
        <v>0</v>
      </c>
      <c r="DF23" s="161">
        <f t="shared" si="13"/>
        <v>0</v>
      </c>
      <c r="DG23" s="162" t="e">
        <f t="shared" si="14"/>
        <v>#DIV/0!</v>
      </c>
      <c r="DH23" s="163">
        <f t="shared" si="15"/>
        <v>0</v>
      </c>
      <c r="DI23" s="164"/>
      <c r="DJ23" s="165">
        <f t="shared" si="16"/>
        <v>0</v>
      </c>
      <c r="DK23" s="166">
        <f t="shared" si="16"/>
        <v>0</v>
      </c>
      <c r="DL23" s="167" t="e">
        <f t="shared" si="17"/>
        <v>#DIV/0!</v>
      </c>
      <c r="DM23" s="168" t="e">
        <f t="shared" si="18"/>
        <v>#DIV/0!</v>
      </c>
      <c r="DN23" s="163" t="e">
        <f t="shared" si="19"/>
        <v>#DIV/0!</v>
      </c>
      <c r="DP23" s="170"/>
      <c r="DQ23" s="171"/>
      <c r="DR23" s="172">
        <f t="shared" si="20"/>
        <v>0</v>
      </c>
      <c r="DS23" s="173" t="e">
        <f t="shared" si="21"/>
        <v>#DIV/0!</v>
      </c>
      <c r="DT23" s="163" t="e">
        <f t="shared" si="22"/>
        <v>#DIV/0!</v>
      </c>
      <c r="DU23" s="174"/>
      <c r="DV23" s="175" t="e">
        <f t="shared" si="23"/>
        <v>#DIV/0!</v>
      </c>
      <c r="DW23" s="163">
        <f t="shared" si="24"/>
        <v>0</v>
      </c>
      <c r="DX23" s="164"/>
      <c r="DY23" s="176">
        <f t="shared" si="25"/>
        <v>0</v>
      </c>
      <c r="DZ23" s="177">
        <f t="shared" si="26"/>
        <v>0</v>
      </c>
      <c r="EA23" s="178">
        <f t="shared" si="27"/>
        <v>0</v>
      </c>
      <c r="EB23" s="179">
        <f t="shared" si="28"/>
        <v>0</v>
      </c>
      <c r="EC23" s="180"/>
      <c r="ED23" s="175" t="e">
        <f t="shared" si="29"/>
        <v>#DIV/0!</v>
      </c>
      <c r="EE23" s="163">
        <f t="shared" si="30"/>
        <v>0</v>
      </c>
      <c r="EF23" s="164"/>
      <c r="EG23" s="181">
        <f t="shared" si="31"/>
        <v>0</v>
      </c>
      <c r="EH23" s="182">
        <f t="shared" si="32"/>
        <v>0</v>
      </c>
      <c r="EI23" s="182">
        <f t="shared" si="33"/>
        <v>0</v>
      </c>
      <c r="EJ23" s="182">
        <f t="shared" si="34"/>
        <v>0</v>
      </c>
      <c r="EK23" s="183">
        <f t="shared" si="35"/>
        <v>0</v>
      </c>
      <c r="EL23" s="184" t="e">
        <f t="shared" si="36"/>
        <v>#DIV/0!</v>
      </c>
      <c r="EM23" s="185">
        <f t="shared" si="37"/>
        <v>0</v>
      </c>
      <c r="EN23" s="164"/>
      <c r="EO23" s="181">
        <f t="shared" si="38"/>
        <v>0</v>
      </c>
      <c r="EP23" s="183">
        <f t="shared" si="39"/>
        <v>0</v>
      </c>
      <c r="EQ23" s="184" t="e">
        <f t="shared" si="40"/>
        <v>#DIV/0!</v>
      </c>
      <c r="ER23" s="185">
        <f t="shared" si="41"/>
        <v>0</v>
      </c>
      <c r="ES23" s="164"/>
      <c r="ET23" s="164"/>
      <c r="EU23" s="186">
        <f t="shared" si="42"/>
        <v>0</v>
      </c>
      <c r="EV23" s="186">
        <f t="shared" si="43"/>
        <v>0</v>
      </c>
      <c r="EW23" s="186">
        <f t="shared" si="44"/>
        <v>0</v>
      </c>
      <c r="EX23" s="186">
        <f t="shared" si="45"/>
        <v>0</v>
      </c>
      <c r="EY23" s="131"/>
      <c r="EZ23" s="187">
        <f t="shared" si="46"/>
        <v>0</v>
      </c>
      <c r="FA23" s="188" t="e">
        <f t="shared" si="47"/>
        <v>#DIV/0!</v>
      </c>
      <c r="FB23" s="189"/>
      <c r="FC23" s="131"/>
      <c r="FD23" s="131"/>
      <c r="FE23" s="131"/>
      <c r="FF23" s="131"/>
      <c r="FG23" s="131"/>
    </row>
    <row r="24" spans="1:163" ht="16" outlineLevel="1" thickBot="1" x14ac:dyDescent="0.4">
      <c r="B24" s="357"/>
      <c r="C24" s="354"/>
      <c r="D24" s="190"/>
      <c r="E24" s="191"/>
      <c r="F24" s="135"/>
      <c r="G24" s="192"/>
      <c r="H24" s="137"/>
      <c r="I24" s="138">
        <f t="shared" si="0"/>
        <v>0</v>
      </c>
      <c r="J24" s="139"/>
      <c r="K24" s="193">
        <f t="shared" si="49"/>
        <v>0</v>
      </c>
      <c r="L24" s="141"/>
      <c r="M24" s="194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4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6"/>
      <c r="AN24" s="197">
        <f t="shared" si="2"/>
        <v>0</v>
      </c>
      <c r="AO24" s="146"/>
      <c r="AP24" s="147">
        <f>K24-AN24</f>
        <v>0</v>
      </c>
      <c r="AQ24" s="148"/>
      <c r="AR24" s="198"/>
      <c r="AS24" s="198"/>
      <c r="AT24" s="135"/>
      <c r="AU24" s="199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1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199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2"/>
      <c r="CD24" s="199"/>
      <c r="CE24" s="194"/>
      <c r="CF24" s="195"/>
      <c r="CG24" s="195"/>
      <c r="CH24" s="195"/>
      <c r="CI24" s="195"/>
      <c r="CJ24" s="195"/>
      <c r="CK24" s="195"/>
      <c r="CL24" s="195"/>
      <c r="CM24" s="195"/>
      <c r="CN24" s="195"/>
      <c r="CO24" s="347"/>
      <c r="CP24" s="200"/>
      <c r="CQ24" s="201"/>
      <c r="CR24" s="202"/>
      <c r="CS24" s="203">
        <f>SUM(AU24:CR24)</f>
        <v>0</v>
      </c>
      <c r="CT24" s="146"/>
      <c r="CU24" s="147">
        <f t="shared" si="4"/>
        <v>0</v>
      </c>
      <c r="CV24" s="156"/>
      <c r="CW24" s="157" t="e">
        <f>(SUM(M24:Z24))/K24</f>
        <v>#DIV/0!</v>
      </c>
      <c r="CX24" s="157" t="e">
        <f>(SUM(AA24:AM24))/K24</f>
        <v>#DIV/0!</v>
      </c>
      <c r="CY24" s="157" t="e">
        <f>(SUM(AU24:BQ24))/$K24</f>
        <v>#DIV/0!</v>
      </c>
      <c r="CZ24" s="157" t="e">
        <f>(SUM(BR24:CC24))/K24</f>
        <v>#DIV/0!</v>
      </c>
      <c r="DA24" s="157" t="e">
        <f t="shared" si="9"/>
        <v>#DIV/0!</v>
      </c>
      <c r="DB24" s="158" t="e">
        <f t="shared" si="10"/>
        <v>#DIV/0!</v>
      </c>
      <c r="DC24" s="131"/>
      <c r="DD24" s="159">
        <f>AP24</f>
        <v>0</v>
      </c>
      <c r="DE24" s="160">
        <f>CS24</f>
        <v>0</v>
      </c>
      <c r="DF24" s="161">
        <f>$DD24-DE24</f>
        <v>0</v>
      </c>
      <c r="DG24" s="162" t="e">
        <f>DF24/$DD24</f>
        <v>#DIV/0!</v>
      </c>
      <c r="DH24" s="163">
        <f>IF(AP24&gt;0.01,1,0)</f>
        <v>0</v>
      </c>
      <c r="DI24" s="164"/>
      <c r="DJ24" s="165">
        <f>H24</f>
        <v>0</v>
      </c>
      <c r="DK24" s="166">
        <f>I24</f>
        <v>0</v>
      </c>
      <c r="DL24" s="167" t="e">
        <f>DR24/DF24</f>
        <v>#DIV/0!</v>
      </c>
      <c r="DM24" s="168" t="e">
        <f>DL24/DK24</f>
        <v>#DIV/0!</v>
      </c>
      <c r="DN24" s="163" t="e">
        <f>IF(DM24&gt;0.01,1,0)</f>
        <v>#DIV/0!</v>
      </c>
      <c r="DO24" s="169"/>
      <c r="DP24" s="170"/>
      <c r="DQ24" s="171"/>
      <c r="DR24" s="172">
        <f>DP24+DQ24</f>
        <v>0</v>
      </c>
      <c r="DS24" s="173" t="e">
        <f>IF(DL24=0,0,DP24/DR24)</f>
        <v>#DIV/0!</v>
      </c>
      <c r="DT24" s="163" t="e">
        <f>IF(DS24&gt;0.01,1,0)</f>
        <v>#DIV/0!</v>
      </c>
      <c r="DU24" s="174"/>
      <c r="DV24" s="175" t="e">
        <f>DG24*DM24*DS24</f>
        <v>#DIV/0!</v>
      </c>
      <c r="DW24" s="163">
        <f t="shared" si="24"/>
        <v>0</v>
      </c>
      <c r="DX24" s="164"/>
      <c r="DY24" s="176">
        <f>DP24</f>
        <v>0</v>
      </c>
      <c r="DZ24" s="177">
        <f>DK24</f>
        <v>0</v>
      </c>
      <c r="EA24" s="178">
        <f>+AP24</f>
        <v>0</v>
      </c>
      <c r="EB24" s="179">
        <f>DZ24*EA24</f>
        <v>0</v>
      </c>
      <c r="EC24" s="180"/>
      <c r="ED24" s="175" t="e">
        <f>DY24/EB24</f>
        <v>#DIV/0!</v>
      </c>
      <c r="EE24" s="163">
        <f t="shared" si="30"/>
        <v>0</v>
      </c>
      <c r="EF24" s="164"/>
      <c r="EG24" s="181">
        <f>DP24</f>
        <v>0</v>
      </c>
      <c r="EH24" s="182">
        <f>K24</f>
        <v>0</v>
      </c>
      <c r="EI24" s="182">
        <f>SUM(M24:Z24)</f>
        <v>0</v>
      </c>
      <c r="EJ24" s="182">
        <f>I24</f>
        <v>0</v>
      </c>
      <c r="EK24" s="183">
        <f>(EH24-EI24)*EJ24</f>
        <v>0</v>
      </c>
      <c r="EL24" s="184" t="e">
        <f>EG24/EK24</f>
        <v>#DIV/0!</v>
      </c>
      <c r="EM24" s="185">
        <f>IF(EK24&gt;0.01,1,0)</f>
        <v>0</v>
      </c>
      <c r="EN24" s="164"/>
      <c r="EO24" s="181">
        <f>EG24</f>
        <v>0</v>
      </c>
      <c r="EP24" s="183">
        <f>EJ24</f>
        <v>0</v>
      </c>
      <c r="EQ24" s="184" t="e">
        <f t="shared" si="40"/>
        <v>#DIV/0!</v>
      </c>
      <c r="ER24" s="185">
        <f t="shared" si="41"/>
        <v>0</v>
      </c>
      <c r="ES24" s="164"/>
      <c r="ET24" s="164"/>
      <c r="EU24" s="186">
        <f>DK24</f>
        <v>0</v>
      </c>
      <c r="EV24" s="186">
        <f>CU24</f>
        <v>0</v>
      </c>
      <c r="EW24" s="186">
        <f t="shared" si="44"/>
        <v>0</v>
      </c>
      <c r="EX24" s="186">
        <f>DR24</f>
        <v>0</v>
      </c>
      <c r="EY24" s="131"/>
      <c r="EZ24" s="187">
        <f>EW24-EX24</f>
        <v>0</v>
      </c>
      <c r="FA24" s="188" t="e">
        <f t="shared" si="47"/>
        <v>#DIV/0!</v>
      </c>
      <c r="FB24" s="189"/>
      <c r="FC24" s="131"/>
      <c r="FD24" s="131"/>
      <c r="FE24" s="131"/>
      <c r="FF24" s="131"/>
      <c r="FG24" s="131"/>
    </row>
    <row r="25" spans="1:163" s="169" customFormat="1" ht="16" outlineLevel="1" thickBot="1" x14ac:dyDescent="0.4">
      <c r="B25" s="358"/>
      <c r="C25" s="355"/>
      <c r="D25" s="204"/>
      <c r="E25" s="205"/>
      <c r="F25" s="135"/>
      <c r="G25" s="206"/>
      <c r="H25" s="207"/>
      <c r="I25" s="138">
        <f t="shared" si="0"/>
        <v>0</v>
      </c>
      <c r="J25" s="139"/>
      <c r="K25" s="208">
        <f t="shared" si="49"/>
        <v>0</v>
      </c>
      <c r="L25" s="141"/>
      <c r="M25" s="209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09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1"/>
      <c r="AN25" s="212">
        <f t="shared" si="2"/>
        <v>0</v>
      </c>
      <c r="AO25" s="146"/>
      <c r="AP25" s="147">
        <f t="shared" si="3"/>
        <v>0</v>
      </c>
      <c r="AQ25" s="148"/>
      <c r="AR25" s="213"/>
      <c r="AS25" s="213"/>
      <c r="AT25" s="135"/>
      <c r="AU25" s="214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4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7"/>
      <c r="CD25" s="214"/>
      <c r="CE25" s="194"/>
      <c r="CF25" s="195"/>
      <c r="CG25" s="195"/>
      <c r="CH25" s="195"/>
      <c r="CI25" s="195"/>
      <c r="CJ25" s="195"/>
      <c r="CK25" s="195"/>
      <c r="CL25" s="195"/>
      <c r="CM25" s="195"/>
      <c r="CN25" s="210"/>
      <c r="CO25" s="348"/>
      <c r="CP25" s="215"/>
      <c r="CQ25" s="216"/>
      <c r="CR25" s="217"/>
      <c r="CS25" s="218">
        <f t="shared" si="48"/>
        <v>0</v>
      </c>
      <c r="CT25" s="146"/>
      <c r="CU25" s="147">
        <f t="shared" si="4"/>
        <v>0</v>
      </c>
      <c r="CV25" s="156"/>
      <c r="CW25" s="157" t="e">
        <f t="shared" si="5"/>
        <v>#DIV/0!</v>
      </c>
      <c r="CX25" s="157" t="e">
        <f t="shared" si="6"/>
        <v>#DIV/0!</v>
      </c>
      <c r="CY25" s="157" t="e">
        <f t="shared" si="7"/>
        <v>#DIV/0!</v>
      </c>
      <c r="CZ25" s="157" t="e">
        <f t="shared" si="8"/>
        <v>#DIV/0!</v>
      </c>
      <c r="DA25" s="157" t="e">
        <f t="shared" si="9"/>
        <v>#DIV/0!</v>
      </c>
      <c r="DB25" s="158" t="e">
        <f t="shared" si="10"/>
        <v>#DIV/0!</v>
      </c>
      <c r="DC25" s="131"/>
      <c r="DD25" s="159">
        <f t="shared" si="11"/>
        <v>0</v>
      </c>
      <c r="DE25" s="160">
        <f t="shared" si="12"/>
        <v>0</v>
      </c>
      <c r="DF25" s="161">
        <f t="shared" si="13"/>
        <v>0</v>
      </c>
      <c r="DG25" s="162" t="e">
        <f t="shared" si="14"/>
        <v>#DIV/0!</v>
      </c>
      <c r="DH25" s="163">
        <f t="shared" si="15"/>
        <v>0</v>
      </c>
      <c r="DI25" s="164"/>
      <c r="DJ25" s="165">
        <f t="shared" si="16"/>
        <v>0</v>
      </c>
      <c r="DK25" s="166">
        <f t="shared" si="16"/>
        <v>0</v>
      </c>
      <c r="DL25" s="167" t="e">
        <f t="shared" si="17"/>
        <v>#DIV/0!</v>
      </c>
      <c r="DM25" s="168" t="e">
        <f t="shared" si="18"/>
        <v>#DIV/0!</v>
      </c>
      <c r="DN25" s="163" t="e">
        <f t="shared" si="19"/>
        <v>#DIV/0!</v>
      </c>
      <c r="DP25" s="170"/>
      <c r="DQ25" s="171"/>
      <c r="DR25" s="172">
        <f t="shared" si="20"/>
        <v>0</v>
      </c>
      <c r="DS25" s="173" t="e">
        <f t="shared" si="21"/>
        <v>#DIV/0!</v>
      </c>
      <c r="DT25" s="163" t="e">
        <f t="shared" si="22"/>
        <v>#DIV/0!</v>
      </c>
      <c r="DU25" s="174"/>
      <c r="DV25" s="175" t="e">
        <f t="shared" si="23"/>
        <v>#DIV/0!</v>
      </c>
      <c r="DW25" s="163">
        <f t="shared" si="24"/>
        <v>0</v>
      </c>
      <c r="DX25" s="164"/>
      <c r="DY25" s="176">
        <f t="shared" si="25"/>
        <v>0</v>
      </c>
      <c r="DZ25" s="177">
        <f t="shared" si="26"/>
        <v>0</v>
      </c>
      <c r="EA25" s="178">
        <f t="shared" si="27"/>
        <v>0</v>
      </c>
      <c r="EB25" s="179">
        <f t="shared" si="28"/>
        <v>0</v>
      </c>
      <c r="EC25" s="180"/>
      <c r="ED25" s="175" t="e">
        <f t="shared" si="29"/>
        <v>#DIV/0!</v>
      </c>
      <c r="EE25" s="163">
        <f t="shared" si="30"/>
        <v>0</v>
      </c>
      <c r="EF25" s="164"/>
      <c r="EG25" s="181">
        <f t="shared" si="31"/>
        <v>0</v>
      </c>
      <c r="EH25" s="182">
        <f t="shared" si="32"/>
        <v>0</v>
      </c>
      <c r="EI25" s="182">
        <f t="shared" si="33"/>
        <v>0</v>
      </c>
      <c r="EJ25" s="182">
        <f t="shared" si="34"/>
        <v>0</v>
      </c>
      <c r="EK25" s="183">
        <f t="shared" si="35"/>
        <v>0</v>
      </c>
      <c r="EL25" s="184" t="e">
        <f t="shared" si="36"/>
        <v>#DIV/0!</v>
      </c>
      <c r="EM25" s="185">
        <f t="shared" si="37"/>
        <v>0</v>
      </c>
      <c r="EN25" s="164"/>
      <c r="EO25" s="181">
        <f t="shared" si="38"/>
        <v>0</v>
      </c>
      <c r="EP25" s="183">
        <f t="shared" si="39"/>
        <v>0</v>
      </c>
      <c r="EQ25" s="184" t="e">
        <f t="shared" si="40"/>
        <v>#DIV/0!</v>
      </c>
      <c r="ER25" s="185">
        <f t="shared" si="41"/>
        <v>0</v>
      </c>
      <c r="ES25" s="164"/>
      <c r="ET25" s="164"/>
      <c r="EU25" s="186">
        <f t="shared" si="42"/>
        <v>0</v>
      </c>
      <c r="EV25" s="186">
        <f t="shared" si="43"/>
        <v>0</v>
      </c>
      <c r="EW25" s="186">
        <f t="shared" si="44"/>
        <v>0</v>
      </c>
      <c r="EX25" s="186">
        <f t="shared" si="45"/>
        <v>0</v>
      </c>
      <c r="EY25" s="131"/>
      <c r="EZ25" s="187">
        <f t="shared" si="46"/>
        <v>0</v>
      </c>
      <c r="FA25" s="188" t="e">
        <f t="shared" si="47"/>
        <v>#DIV/0!</v>
      </c>
      <c r="FB25" s="189"/>
      <c r="FC25" s="131"/>
      <c r="FD25" s="131"/>
      <c r="FE25" s="131"/>
      <c r="FF25" s="131"/>
      <c r="FG25" s="131"/>
    </row>
    <row r="26" spans="1:163" ht="16" outlineLevel="1" thickBot="1" x14ac:dyDescent="0.4">
      <c r="A26" s="132">
        <v>0</v>
      </c>
      <c r="B26" s="356"/>
      <c r="C26" s="353"/>
      <c r="D26" s="133"/>
      <c r="E26" s="134"/>
      <c r="F26" s="135"/>
      <c r="G26" s="136"/>
      <c r="H26" s="137"/>
      <c r="I26" s="138">
        <f>IF(E26&gt;0.0001,9.4,0)</f>
        <v>0</v>
      </c>
      <c r="J26" s="139"/>
      <c r="K26" s="140">
        <f t="shared" si="49"/>
        <v>0</v>
      </c>
      <c r="L26" s="141"/>
      <c r="M26" s="142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2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4"/>
      <c r="AN26" s="145">
        <f t="shared" si="2"/>
        <v>0</v>
      </c>
      <c r="AO26" s="146"/>
      <c r="AP26" s="147">
        <f t="shared" si="3"/>
        <v>0</v>
      </c>
      <c r="AQ26" s="148"/>
      <c r="AR26" s="149"/>
      <c r="AS26" s="149"/>
      <c r="AT26" s="135"/>
      <c r="AU26" s="150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0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4"/>
      <c r="CD26" s="150"/>
      <c r="CE26" s="142"/>
      <c r="CF26" s="143"/>
      <c r="CG26" s="143"/>
      <c r="CH26" s="143"/>
      <c r="CI26" s="143"/>
      <c r="CJ26" s="143"/>
      <c r="CK26" s="143"/>
      <c r="CL26" s="143"/>
      <c r="CM26" s="143"/>
      <c r="CN26" s="143"/>
      <c r="CO26" s="346"/>
      <c r="CP26" s="151"/>
      <c r="CQ26" s="152"/>
      <c r="CR26" s="154"/>
      <c r="CS26" s="155">
        <f t="shared" si="48"/>
        <v>0</v>
      </c>
      <c r="CT26" s="146"/>
      <c r="CU26" s="147">
        <f t="shared" si="4"/>
        <v>0</v>
      </c>
      <c r="CV26" s="156"/>
      <c r="CW26" s="157" t="e">
        <f t="shared" si="5"/>
        <v>#DIV/0!</v>
      </c>
      <c r="CX26" s="157" t="e">
        <f t="shared" si="6"/>
        <v>#DIV/0!</v>
      </c>
      <c r="CY26" s="157" t="e">
        <f t="shared" si="7"/>
        <v>#DIV/0!</v>
      </c>
      <c r="CZ26" s="157" t="e">
        <f t="shared" si="8"/>
        <v>#DIV/0!</v>
      </c>
      <c r="DA26" s="157" t="e">
        <f t="shared" si="9"/>
        <v>#DIV/0!</v>
      </c>
      <c r="DB26" s="158" t="e">
        <f t="shared" si="10"/>
        <v>#DIV/0!</v>
      </c>
      <c r="DC26" s="131"/>
      <c r="DD26" s="159">
        <f t="shared" si="11"/>
        <v>0</v>
      </c>
      <c r="DE26" s="160">
        <f t="shared" si="12"/>
        <v>0</v>
      </c>
      <c r="DF26" s="161">
        <f t="shared" si="13"/>
        <v>0</v>
      </c>
      <c r="DG26" s="162" t="e">
        <f t="shared" si="14"/>
        <v>#DIV/0!</v>
      </c>
      <c r="DH26" s="163">
        <f t="shared" si="15"/>
        <v>0</v>
      </c>
      <c r="DI26" s="164"/>
      <c r="DJ26" s="165">
        <f t="shared" si="16"/>
        <v>0</v>
      </c>
      <c r="DK26" s="166">
        <f t="shared" si="16"/>
        <v>0</v>
      </c>
      <c r="DL26" s="167" t="e">
        <f t="shared" si="17"/>
        <v>#DIV/0!</v>
      </c>
      <c r="DM26" s="168" t="e">
        <f t="shared" si="18"/>
        <v>#DIV/0!</v>
      </c>
      <c r="DN26" s="163" t="e">
        <f t="shared" si="19"/>
        <v>#DIV/0!</v>
      </c>
      <c r="DO26" s="169"/>
      <c r="DP26" s="170"/>
      <c r="DQ26" s="171"/>
      <c r="DR26" s="172">
        <f t="shared" si="20"/>
        <v>0</v>
      </c>
      <c r="DS26" s="173" t="e">
        <f t="shared" si="21"/>
        <v>#DIV/0!</v>
      </c>
      <c r="DT26" s="163" t="e">
        <f t="shared" si="22"/>
        <v>#DIV/0!</v>
      </c>
      <c r="DU26" s="174"/>
      <c r="DV26" s="175" t="e">
        <f t="shared" si="23"/>
        <v>#DIV/0!</v>
      </c>
      <c r="DW26" s="163">
        <f t="shared" si="24"/>
        <v>0</v>
      </c>
      <c r="DX26" s="164"/>
      <c r="DY26" s="176">
        <f t="shared" si="25"/>
        <v>0</v>
      </c>
      <c r="DZ26" s="177">
        <f t="shared" si="26"/>
        <v>0</v>
      </c>
      <c r="EA26" s="178">
        <f t="shared" si="27"/>
        <v>0</v>
      </c>
      <c r="EB26" s="179">
        <f t="shared" si="28"/>
        <v>0</v>
      </c>
      <c r="EC26" s="180"/>
      <c r="ED26" s="175" t="e">
        <f t="shared" si="29"/>
        <v>#DIV/0!</v>
      </c>
      <c r="EE26" s="163">
        <f t="shared" si="30"/>
        <v>0</v>
      </c>
      <c r="EF26" s="164"/>
      <c r="EG26" s="181">
        <f t="shared" si="31"/>
        <v>0</v>
      </c>
      <c r="EH26" s="182">
        <f t="shared" si="32"/>
        <v>0</v>
      </c>
      <c r="EI26" s="182">
        <f t="shared" si="33"/>
        <v>0</v>
      </c>
      <c r="EJ26" s="182">
        <f t="shared" si="34"/>
        <v>0</v>
      </c>
      <c r="EK26" s="183">
        <f t="shared" si="35"/>
        <v>0</v>
      </c>
      <c r="EL26" s="184" t="e">
        <f t="shared" si="36"/>
        <v>#DIV/0!</v>
      </c>
      <c r="EM26" s="185">
        <f t="shared" si="37"/>
        <v>0</v>
      </c>
      <c r="EN26" s="164"/>
      <c r="EO26" s="181">
        <f t="shared" si="38"/>
        <v>0</v>
      </c>
      <c r="EP26" s="183">
        <f t="shared" si="39"/>
        <v>0</v>
      </c>
      <c r="EQ26" s="184" t="e">
        <f t="shared" si="40"/>
        <v>#DIV/0!</v>
      </c>
      <c r="ER26" s="185">
        <f t="shared" si="41"/>
        <v>0</v>
      </c>
      <c r="ES26" s="164"/>
      <c r="ET26" s="164"/>
      <c r="EU26" s="186">
        <f t="shared" si="42"/>
        <v>0</v>
      </c>
      <c r="EV26" s="186">
        <f t="shared" si="43"/>
        <v>0</v>
      </c>
      <c r="EW26" s="186">
        <f t="shared" si="44"/>
        <v>0</v>
      </c>
      <c r="EX26" s="186">
        <f t="shared" si="45"/>
        <v>0</v>
      </c>
      <c r="EY26" s="131"/>
      <c r="EZ26" s="187">
        <f t="shared" si="46"/>
        <v>0</v>
      </c>
      <c r="FA26" s="188" t="e">
        <f t="shared" si="47"/>
        <v>#DIV/0!</v>
      </c>
      <c r="FB26" s="189"/>
      <c r="FC26" s="131"/>
      <c r="FD26" s="131"/>
      <c r="FE26" s="131"/>
      <c r="FF26" s="131"/>
      <c r="FG26" s="131"/>
    </row>
    <row r="27" spans="1:163" ht="16" outlineLevel="1" thickBot="1" x14ac:dyDescent="0.4">
      <c r="B27" s="357"/>
      <c r="C27" s="354"/>
      <c r="D27" s="190"/>
      <c r="E27" s="191"/>
      <c r="F27" s="135"/>
      <c r="G27" s="192"/>
      <c r="H27" s="137"/>
      <c r="I27" s="138">
        <f t="shared" si="0"/>
        <v>0</v>
      </c>
      <c r="J27" s="139"/>
      <c r="K27" s="193">
        <f t="shared" si="49"/>
        <v>0</v>
      </c>
      <c r="L27" s="141"/>
      <c r="M27" s="194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4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6"/>
      <c r="AN27" s="197">
        <f t="shared" si="2"/>
        <v>0</v>
      </c>
      <c r="AO27" s="146"/>
      <c r="AP27" s="147">
        <f t="shared" si="3"/>
        <v>0</v>
      </c>
      <c r="AQ27" s="148"/>
      <c r="AR27" s="198"/>
      <c r="AS27" s="198"/>
      <c r="AT27" s="135"/>
      <c r="AU27" s="199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1"/>
      <c r="BQ27" s="201"/>
      <c r="BR27" s="199"/>
      <c r="BS27" s="200"/>
      <c r="BT27" s="200"/>
      <c r="BU27" s="200"/>
      <c r="BV27" s="200"/>
      <c r="BW27" s="200"/>
      <c r="BX27" s="200"/>
      <c r="BY27" s="200"/>
      <c r="BZ27" s="200"/>
      <c r="CA27" s="200"/>
      <c r="CB27" s="200"/>
      <c r="CC27" s="202"/>
      <c r="CD27" s="199"/>
      <c r="CE27" s="194"/>
      <c r="CF27" s="195"/>
      <c r="CG27" s="195"/>
      <c r="CH27" s="195"/>
      <c r="CI27" s="195"/>
      <c r="CJ27" s="195"/>
      <c r="CK27" s="195"/>
      <c r="CL27" s="195"/>
      <c r="CM27" s="195"/>
      <c r="CN27" s="195"/>
      <c r="CO27" s="347"/>
      <c r="CP27" s="200"/>
      <c r="CQ27" s="201"/>
      <c r="CR27" s="202"/>
      <c r="CS27" s="203">
        <f t="shared" si="48"/>
        <v>0</v>
      </c>
      <c r="CT27" s="146"/>
      <c r="CU27" s="147">
        <f t="shared" si="4"/>
        <v>0</v>
      </c>
      <c r="CV27" s="156"/>
      <c r="CW27" s="157" t="e">
        <f t="shared" si="5"/>
        <v>#DIV/0!</v>
      </c>
      <c r="CX27" s="157" t="e">
        <f t="shared" si="6"/>
        <v>#DIV/0!</v>
      </c>
      <c r="CY27" s="157" t="e">
        <f t="shared" si="7"/>
        <v>#DIV/0!</v>
      </c>
      <c r="CZ27" s="157" t="e">
        <f t="shared" si="8"/>
        <v>#DIV/0!</v>
      </c>
      <c r="DA27" s="157" t="e">
        <f t="shared" si="9"/>
        <v>#DIV/0!</v>
      </c>
      <c r="DB27" s="158" t="e">
        <f t="shared" si="10"/>
        <v>#DIV/0!</v>
      </c>
      <c r="DC27" s="131"/>
      <c r="DD27" s="159">
        <f t="shared" si="11"/>
        <v>0</v>
      </c>
      <c r="DE27" s="160">
        <f t="shared" si="12"/>
        <v>0</v>
      </c>
      <c r="DF27" s="161">
        <f t="shared" si="13"/>
        <v>0</v>
      </c>
      <c r="DG27" s="162" t="e">
        <f t="shared" si="14"/>
        <v>#DIV/0!</v>
      </c>
      <c r="DH27" s="163">
        <f t="shared" si="15"/>
        <v>0</v>
      </c>
      <c r="DI27" s="164"/>
      <c r="DJ27" s="165">
        <f t="shared" si="16"/>
        <v>0</v>
      </c>
      <c r="DK27" s="166">
        <f t="shared" si="16"/>
        <v>0</v>
      </c>
      <c r="DL27" s="167" t="e">
        <f t="shared" si="17"/>
        <v>#DIV/0!</v>
      </c>
      <c r="DM27" s="168" t="e">
        <f t="shared" si="18"/>
        <v>#DIV/0!</v>
      </c>
      <c r="DN27" s="163" t="e">
        <f t="shared" si="19"/>
        <v>#DIV/0!</v>
      </c>
      <c r="DO27" s="169"/>
      <c r="DP27" s="170"/>
      <c r="DQ27" s="171"/>
      <c r="DR27" s="172">
        <f t="shared" si="20"/>
        <v>0</v>
      </c>
      <c r="DS27" s="173" t="e">
        <f t="shared" si="21"/>
        <v>#DIV/0!</v>
      </c>
      <c r="DT27" s="163" t="e">
        <f t="shared" si="22"/>
        <v>#DIV/0!</v>
      </c>
      <c r="DU27" s="174"/>
      <c r="DV27" s="175" t="e">
        <f t="shared" si="23"/>
        <v>#DIV/0!</v>
      </c>
      <c r="DW27" s="163">
        <f t="shared" si="24"/>
        <v>0</v>
      </c>
      <c r="DX27" s="164"/>
      <c r="DY27" s="176">
        <f t="shared" si="25"/>
        <v>0</v>
      </c>
      <c r="DZ27" s="177">
        <f t="shared" si="26"/>
        <v>0</v>
      </c>
      <c r="EA27" s="178">
        <f t="shared" si="27"/>
        <v>0</v>
      </c>
      <c r="EB27" s="179">
        <f t="shared" si="28"/>
        <v>0</v>
      </c>
      <c r="EC27" s="180"/>
      <c r="ED27" s="175" t="e">
        <f t="shared" si="29"/>
        <v>#DIV/0!</v>
      </c>
      <c r="EE27" s="163">
        <f t="shared" si="30"/>
        <v>0</v>
      </c>
      <c r="EF27" s="164"/>
      <c r="EG27" s="181">
        <f t="shared" si="31"/>
        <v>0</v>
      </c>
      <c r="EH27" s="182">
        <f t="shared" si="32"/>
        <v>0</v>
      </c>
      <c r="EI27" s="182">
        <f t="shared" si="33"/>
        <v>0</v>
      </c>
      <c r="EJ27" s="182">
        <f t="shared" si="34"/>
        <v>0</v>
      </c>
      <c r="EK27" s="183">
        <f t="shared" si="35"/>
        <v>0</v>
      </c>
      <c r="EL27" s="184" t="e">
        <f t="shared" si="36"/>
        <v>#DIV/0!</v>
      </c>
      <c r="EM27" s="185">
        <f t="shared" si="37"/>
        <v>0</v>
      </c>
      <c r="EN27" s="164"/>
      <c r="EO27" s="181">
        <f t="shared" si="38"/>
        <v>0</v>
      </c>
      <c r="EP27" s="183">
        <f t="shared" si="39"/>
        <v>0</v>
      </c>
      <c r="EQ27" s="184" t="e">
        <f t="shared" si="40"/>
        <v>#DIV/0!</v>
      </c>
      <c r="ER27" s="185">
        <f t="shared" si="41"/>
        <v>0</v>
      </c>
      <c r="ES27" s="164"/>
      <c r="ET27" s="164"/>
      <c r="EU27" s="186">
        <f t="shared" si="42"/>
        <v>0</v>
      </c>
      <c r="EV27" s="186">
        <f t="shared" si="43"/>
        <v>0</v>
      </c>
      <c r="EW27" s="186">
        <f t="shared" si="44"/>
        <v>0</v>
      </c>
      <c r="EX27" s="186">
        <f t="shared" si="45"/>
        <v>0</v>
      </c>
      <c r="EY27" s="131"/>
      <c r="EZ27" s="187">
        <f t="shared" si="46"/>
        <v>0</v>
      </c>
      <c r="FA27" s="188" t="e">
        <f t="shared" si="47"/>
        <v>#DIV/0!</v>
      </c>
      <c r="FB27" s="189"/>
      <c r="FC27" s="131"/>
      <c r="FD27" s="131"/>
      <c r="FE27" s="131"/>
      <c r="FF27" s="131"/>
      <c r="FG27" s="131"/>
    </row>
    <row r="28" spans="1:163" ht="16" outlineLevel="1" thickBot="1" x14ac:dyDescent="0.4">
      <c r="B28" s="358"/>
      <c r="C28" s="355"/>
      <c r="D28" s="204"/>
      <c r="E28" s="205"/>
      <c r="F28" s="135"/>
      <c r="G28" s="206"/>
      <c r="H28" s="207"/>
      <c r="I28" s="138">
        <f t="shared" si="0"/>
        <v>0</v>
      </c>
      <c r="J28" s="139"/>
      <c r="K28" s="208">
        <f t="shared" si="49"/>
        <v>0</v>
      </c>
      <c r="L28" s="141"/>
      <c r="M28" s="209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09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1"/>
      <c r="AN28" s="212">
        <f t="shared" si="2"/>
        <v>0</v>
      </c>
      <c r="AO28" s="146"/>
      <c r="AP28" s="147">
        <f t="shared" si="3"/>
        <v>0</v>
      </c>
      <c r="AQ28" s="148"/>
      <c r="AR28" s="213"/>
      <c r="AS28" s="213"/>
      <c r="AT28" s="135"/>
      <c r="AU28" s="214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4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7"/>
      <c r="CD28" s="214"/>
      <c r="CE28" s="209"/>
      <c r="CF28" s="210"/>
      <c r="CG28" s="210"/>
      <c r="CH28" s="210"/>
      <c r="CI28" s="210"/>
      <c r="CJ28" s="210"/>
      <c r="CK28" s="210"/>
      <c r="CL28" s="210"/>
      <c r="CM28" s="210"/>
      <c r="CN28" s="210"/>
      <c r="CO28" s="348"/>
      <c r="CP28" s="215"/>
      <c r="CQ28" s="216"/>
      <c r="CR28" s="217"/>
      <c r="CS28" s="218">
        <f t="shared" si="48"/>
        <v>0</v>
      </c>
      <c r="CT28" s="146"/>
      <c r="CU28" s="147">
        <f t="shared" si="4"/>
        <v>0</v>
      </c>
      <c r="CV28" s="156"/>
      <c r="CW28" s="157" t="e">
        <f t="shared" si="5"/>
        <v>#DIV/0!</v>
      </c>
      <c r="CX28" s="157" t="e">
        <f t="shared" si="6"/>
        <v>#DIV/0!</v>
      </c>
      <c r="CY28" s="157" t="e">
        <f t="shared" si="7"/>
        <v>#DIV/0!</v>
      </c>
      <c r="CZ28" s="157" t="e">
        <f t="shared" si="8"/>
        <v>#DIV/0!</v>
      </c>
      <c r="DA28" s="157" t="e">
        <f t="shared" si="9"/>
        <v>#DIV/0!</v>
      </c>
      <c r="DB28" s="158" t="e">
        <f t="shared" si="10"/>
        <v>#DIV/0!</v>
      </c>
      <c r="DC28" s="131"/>
      <c r="DD28" s="159">
        <f t="shared" si="11"/>
        <v>0</v>
      </c>
      <c r="DE28" s="160">
        <f t="shared" si="12"/>
        <v>0</v>
      </c>
      <c r="DF28" s="161">
        <f t="shared" si="13"/>
        <v>0</v>
      </c>
      <c r="DG28" s="162" t="e">
        <f t="shared" si="14"/>
        <v>#DIV/0!</v>
      </c>
      <c r="DH28" s="163">
        <f t="shared" si="15"/>
        <v>0</v>
      </c>
      <c r="DI28" s="164"/>
      <c r="DJ28" s="165">
        <f t="shared" si="16"/>
        <v>0</v>
      </c>
      <c r="DK28" s="166">
        <f t="shared" si="16"/>
        <v>0</v>
      </c>
      <c r="DL28" s="167" t="e">
        <f t="shared" si="17"/>
        <v>#DIV/0!</v>
      </c>
      <c r="DM28" s="168" t="e">
        <f t="shared" si="18"/>
        <v>#DIV/0!</v>
      </c>
      <c r="DN28" s="163" t="e">
        <f t="shared" si="19"/>
        <v>#DIV/0!</v>
      </c>
      <c r="DO28" s="169"/>
      <c r="DP28" s="170"/>
      <c r="DQ28" s="171"/>
      <c r="DR28" s="172">
        <f t="shared" si="20"/>
        <v>0</v>
      </c>
      <c r="DS28" s="173" t="e">
        <f t="shared" si="21"/>
        <v>#DIV/0!</v>
      </c>
      <c r="DT28" s="163" t="e">
        <f t="shared" si="22"/>
        <v>#DIV/0!</v>
      </c>
      <c r="DU28" s="174"/>
      <c r="DV28" s="175" t="e">
        <f t="shared" si="23"/>
        <v>#DIV/0!</v>
      </c>
      <c r="DW28" s="163">
        <f t="shared" si="24"/>
        <v>0</v>
      </c>
      <c r="DX28" s="164"/>
      <c r="DY28" s="176">
        <f t="shared" si="25"/>
        <v>0</v>
      </c>
      <c r="DZ28" s="177">
        <f t="shared" si="26"/>
        <v>0</v>
      </c>
      <c r="EA28" s="178">
        <f t="shared" si="27"/>
        <v>0</v>
      </c>
      <c r="EB28" s="179">
        <f t="shared" si="28"/>
        <v>0</v>
      </c>
      <c r="EC28" s="180"/>
      <c r="ED28" s="175" t="e">
        <f t="shared" si="29"/>
        <v>#DIV/0!</v>
      </c>
      <c r="EE28" s="163">
        <f t="shared" si="30"/>
        <v>0</v>
      </c>
      <c r="EF28" s="164"/>
      <c r="EG28" s="181">
        <f t="shared" si="31"/>
        <v>0</v>
      </c>
      <c r="EH28" s="182">
        <f t="shared" si="32"/>
        <v>0</v>
      </c>
      <c r="EI28" s="182">
        <f t="shared" si="33"/>
        <v>0</v>
      </c>
      <c r="EJ28" s="182">
        <f t="shared" si="34"/>
        <v>0</v>
      </c>
      <c r="EK28" s="183">
        <f t="shared" si="35"/>
        <v>0</v>
      </c>
      <c r="EL28" s="184" t="e">
        <f t="shared" si="36"/>
        <v>#DIV/0!</v>
      </c>
      <c r="EM28" s="185">
        <f t="shared" si="37"/>
        <v>0</v>
      </c>
      <c r="EN28" s="164"/>
      <c r="EO28" s="181">
        <f t="shared" si="38"/>
        <v>0</v>
      </c>
      <c r="EP28" s="183">
        <f t="shared" si="39"/>
        <v>0</v>
      </c>
      <c r="EQ28" s="184" t="e">
        <f t="shared" si="40"/>
        <v>#DIV/0!</v>
      </c>
      <c r="ER28" s="185">
        <f t="shared" si="41"/>
        <v>0</v>
      </c>
      <c r="ES28" s="164"/>
      <c r="ET28" s="164"/>
      <c r="EU28" s="186">
        <f t="shared" si="42"/>
        <v>0</v>
      </c>
      <c r="EV28" s="186">
        <f t="shared" si="43"/>
        <v>0</v>
      </c>
      <c r="EW28" s="186">
        <f t="shared" si="44"/>
        <v>0</v>
      </c>
      <c r="EX28" s="186">
        <f t="shared" si="45"/>
        <v>0</v>
      </c>
      <c r="EY28" s="131"/>
      <c r="EZ28" s="187">
        <f t="shared" si="46"/>
        <v>0</v>
      </c>
      <c r="FA28" s="188" t="e">
        <f t="shared" si="47"/>
        <v>#DIV/0!</v>
      </c>
      <c r="FB28" s="189"/>
      <c r="FC28" s="131"/>
      <c r="FD28" s="131"/>
      <c r="FE28" s="131"/>
      <c r="FF28" s="131"/>
      <c r="FG28" s="131"/>
    </row>
    <row r="29" spans="1:163" ht="16" outlineLevel="1" thickBot="1" x14ac:dyDescent="0.4">
      <c r="B29" s="356"/>
      <c r="C29" s="353"/>
      <c r="D29" s="133"/>
      <c r="E29" s="134"/>
      <c r="F29" s="135"/>
      <c r="G29" s="136"/>
      <c r="H29" s="137"/>
      <c r="I29" s="138">
        <f t="shared" si="0"/>
        <v>0</v>
      </c>
      <c r="J29" s="139"/>
      <c r="K29" s="140">
        <f t="shared" si="49"/>
        <v>0</v>
      </c>
      <c r="L29" s="141"/>
      <c r="M29" s="142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4"/>
      <c r="AN29" s="145">
        <f t="shared" si="2"/>
        <v>0</v>
      </c>
      <c r="AO29" s="146"/>
      <c r="AP29" s="147">
        <f t="shared" si="3"/>
        <v>0</v>
      </c>
      <c r="AQ29" s="148"/>
      <c r="AR29" s="149"/>
      <c r="AS29" s="149"/>
      <c r="AT29" s="135"/>
      <c r="AU29" s="150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0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4"/>
      <c r="CD29" s="150"/>
      <c r="CE29" s="142"/>
      <c r="CF29" s="143"/>
      <c r="CG29" s="143"/>
      <c r="CH29" s="143"/>
      <c r="CI29" s="143"/>
      <c r="CJ29" s="143"/>
      <c r="CK29" s="143"/>
      <c r="CL29" s="143"/>
      <c r="CM29" s="143"/>
      <c r="CN29" s="143"/>
      <c r="CO29" s="346"/>
      <c r="CP29" s="151"/>
      <c r="CQ29" s="152"/>
      <c r="CR29" s="154"/>
      <c r="CS29" s="155">
        <f t="shared" si="48"/>
        <v>0</v>
      </c>
      <c r="CT29" s="146"/>
      <c r="CU29" s="147">
        <f t="shared" si="4"/>
        <v>0</v>
      </c>
      <c r="CV29" s="156"/>
      <c r="CW29" s="157" t="e">
        <f t="shared" si="5"/>
        <v>#DIV/0!</v>
      </c>
      <c r="CX29" s="157" t="e">
        <f t="shared" si="6"/>
        <v>#DIV/0!</v>
      </c>
      <c r="CY29" s="157" t="e">
        <f t="shared" si="7"/>
        <v>#DIV/0!</v>
      </c>
      <c r="CZ29" s="157" t="e">
        <f t="shared" si="8"/>
        <v>#DIV/0!</v>
      </c>
      <c r="DA29" s="157" t="e">
        <f t="shared" si="9"/>
        <v>#DIV/0!</v>
      </c>
      <c r="DB29" s="158" t="e">
        <f t="shared" si="10"/>
        <v>#DIV/0!</v>
      </c>
      <c r="DC29" s="131"/>
      <c r="DD29" s="159">
        <f t="shared" si="11"/>
        <v>0</v>
      </c>
      <c r="DE29" s="160">
        <f t="shared" si="12"/>
        <v>0</v>
      </c>
      <c r="DF29" s="161">
        <f t="shared" si="13"/>
        <v>0</v>
      </c>
      <c r="DG29" s="162" t="e">
        <f t="shared" si="14"/>
        <v>#DIV/0!</v>
      </c>
      <c r="DH29" s="163">
        <f t="shared" si="15"/>
        <v>0</v>
      </c>
      <c r="DI29" s="164"/>
      <c r="DJ29" s="165">
        <f t="shared" si="16"/>
        <v>0</v>
      </c>
      <c r="DK29" s="166">
        <f t="shared" si="16"/>
        <v>0</v>
      </c>
      <c r="DL29" s="167" t="e">
        <f t="shared" si="17"/>
        <v>#DIV/0!</v>
      </c>
      <c r="DM29" s="168" t="e">
        <f t="shared" si="18"/>
        <v>#DIV/0!</v>
      </c>
      <c r="DN29" s="163" t="e">
        <f t="shared" si="19"/>
        <v>#DIV/0!</v>
      </c>
      <c r="DO29" s="169"/>
      <c r="DP29" s="170"/>
      <c r="DQ29" s="171"/>
      <c r="DR29" s="172">
        <f t="shared" si="20"/>
        <v>0</v>
      </c>
      <c r="DS29" s="173" t="e">
        <f t="shared" si="21"/>
        <v>#DIV/0!</v>
      </c>
      <c r="DT29" s="163" t="e">
        <f t="shared" si="22"/>
        <v>#DIV/0!</v>
      </c>
      <c r="DU29" s="174"/>
      <c r="DV29" s="175" t="e">
        <f t="shared" si="23"/>
        <v>#DIV/0!</v>
      </c>
      <c r="DW29" s="163">
        <f t="shared" si="24"/>
        <v>0</v>
      </c>
      <c r="DX29" s="164"/>
      <c r="DY29" s="176">
        <f t="shared" si="25"/>
        <v>0</v>
      </c>
      <c r="DZ29" s="177">
        <f t="shared" si="26"/>
        <v>0</v>
      </c>
      <c r="EA29" s="178">
        <f t="shared" si="27"/>
        <v>0</v>
      </c>
      <c r="EB29" s="179">
        <f t="shared" si="28"/>
        <v>0</v>
      </c>
      <c r="EC29" s="180"/>
      <c r="ED29" s="175" t="e">
        <f t="shared" si="29"/>
        <v>#DIV/0!</v>
      </c>
      <c r="EE29" s="163">
        <f t="shared" si="30"/>
        <v>0</v>
      </c>
      <c r="EF29" s="164"/>
      <c r="EG29" s="181">
        <f t="shared" si="31"/>
        <v>0</v>
      </c>
      <c r="EH29" s="182">
        <f t="shared" si="32"/>
        <v>0</v>
      </c>
      <c r="EI29" s="182">
        <f t="shared" si="33"/>
        <v>0</v>
      </c>
      <c r="EJ29" s="182">
        <f t="shared" si="34"/>
        <v>0</v>
      </c>
      <c r="EK29" s="183">
        <f t="shared" si="35"/>
        <v>0</v>
      </c>
      <c r="EL29" s="184" t="e">
        <f t="shared" si="36"/>
        <v>#DIV/0!</v>
      </c>
      <c r="EM29" s="185">
        <f t="shared" si="37"/>
        <v>0</v>
      </c>
      <c r="EN29" s="164"/>
      <c r="EO29" s="181">
        <f t="shared" si="38"/>
        <v>0</v>
      </c>
      <c r="EP29" s="183">
        <f t="shared" si="39"/>
        <v>0</v>
      </c>
      <c r="EQ29" s="184" t="e">
        <f t="shared" si="40"/>
        <v>#DIV/0!</v>
      </c>
      <c r="ER29" s="185">
        <f t="shared" si="41"/>
        <v>0</v>
      </c>
      <c r="ES29" s="164"/>
      <c r="ET29" s="164"/>
      <c r="EU29" s="186">
        <f t="shared" si="42"/>
        <v>0</v>
      </c>
      <c r="EV29" s="186">
        <f t="shared" si="43"/>
        <v>0</v>
      </c>
      <c r="EW29" s="186">
        <f t="shared" si="44"/>
        <v>0</v>
      </c>
      <c r="EX29" s="186">
        <f t="shared" si="45"/>
        <v>0</v>
      </c>
      <c r="EY29" s="131"/>
      <c r="EZ29" s="187">
        <f t="shared" si="46"/>
        <v>0</v>
      </c>
      <c r="FA29" s="188" t="e">
        <f t="shared" si="47"/>
        <v>#DIV/0!</v>
      </c>
      <c r="FB29" s="189"/>
      <c r="FC29" s="131"/>
      <c r="FD29" s="131"/>
      <c r="FE29" s="131"/>
      <c r="FF29" s="131"/>
      <c r="FG29" s="131"/>
    </row>
    <row r="30" spans="1:163" ht="16" outlineLevel="1" thickBot="1" x14ac:dyDescent="0.4">
      <c r="B30" s="357"/>
      <c r="C30" s="354"/>
      <c r="D30" s="190"/>
      <c r="E30" s="191"/>
      <c r="F30" s="135"/>
      <c r="G30" s="192"/>
      <c r="H30" s="137"/>
      <c r="I30" s="138">
        <f t="shared" si="0"/>
        <v>0</v>
      </c>
      <c r="J30" s="139"/>
      <c r="K30" s="193">
        <f t="shared" si="49"/>
        <v>0</v>
      </c>
      <c r="L30" s="141"/>
      <c r="M30" s="194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4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6"/>
      <c r="AN30" s="197">
        <f t="shared" si="2"/>
        <v>0</v>
      </c>
      <c r="AO30" s="146"/>
      <c r="AP30" s="147">
        <f t="shared" si="3"/>
        <v>0</v>
      </c>
      <c r="AQ30" s="148"/>
      <c r="AR30" s="198"/>
      <c r="AS30" s="198"/>
      <c r="AT30" s="135"/>
      <c r="AU30" s="199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199"/>
      <c r="BS30" s="200"/>
      <c r="BT30" s="200"/>
      <c r="BU30" s="200"/>
      <c r="BV30" s="200"/>
      <c r="BW30" s="200"/>
      <c r="BX30" s="200"/>
      <c r="BY30" s="200"/>
      <c r="BZ30" s="200"/>
      <c r="CA30" s="200"/>
      <c r="CB30" s="200"/>
      <c r="CC30" s="202"/>
      <c r="CD30" s="199"/>
      <c r="CE30" s="194"/>
      <c r="CF30" s="195"/>
      <c r="CG30" s="195"/>
      <c r="CH30" s="195"/>
      <c r="CI30" s="195"/>
      <c r="CJ30" s="195"/>
      <c r="CK30" s="195"/>
      <c r="CL30" s="195"/>
      <c r="CM30" s="195"/>
      <c r="CN30" s="195"/>
      <c r="CO30" s="347"/>
      <c r="CP30" s="200"/>
      <c r="CQ30" s="201"/>
      <c r="CR30" s="202"/>
      <c r="CS30" s="203">
        <f t="shared" si="48"/>
        <v>0</v>
      </c>
      <c r="CT30" s="146"/>
      <c r="CU30" s="147">
        <f t="shared" si="4"/>
        <v>0</v>
      </c>
      <c r="CV30" s="156"/>
      <c r="CW30" s="157" t="e">
        <f t="shared" si="5"/>
        <v>#DIV/0!</v>
      </c>
      <c r="CX30" s="157" t="e">
        <f t="shared" si="6"/>
        <v>#DIV/0!</v>
      </c>
      <c r="CY30" s="157" t="e">
        <f t="shared" si="7"/>
        <v>#DIV/0!</v>
      </c>
      <c r="CZ30" s="157" t="e">
        <f t="shared" si="8"/>
        <v>#DIV/0!</v>
      </c>
      <c r="DA30" s="157" t="e">
        <f t="shared" si="9"/>
        <v>#DIV/0!</v>
      </c>
      <c r="DB30" s="158" t="e">
        <f t="shared" si="10"/>
        <v>#DIV/0!</v>
      </c>
      <c r="DC30" s="131"/>
      <c r="DD30" s="159">
        <f t="shared" si="11"/>
        <v>0</v>
      </c>
      <c r="DE30" s="160">
        <f t="shared" si="12"/>
        <v>0</v>
      </c>
      <c r="DF30" s="161">
        <f t="shared" si="13"/>
        <v>0</v>
      </c>
      <c r="DG30" s="162" t="e">
        <f t="shared" si="14"/>
        <v>#DIV/0!</v>
      </c>
      <c r="DH30" s="163">
        <f t="shared" si="15"/>
        <v>0</v>
      </c>
      <c r="DI30" s="164"/>
      <c r="DJ30" s="165">
        <f t="shared" si="16"/>
        <v>0</v>
      </c>
      <c r="DK30" s="166">
        <f t="shared" si="16"/>
        <v>0</v>
      </c>
      <c r="DL30" s="167" t="e">
        <f t="shared" si="17"/>
        <v>#DIV/0!</v>
      </c>
      <c r="DM30" s="168" t="e">
        <f t="shared" si="18"/>
        <v>#DIV/0!</v>
      </c>
      <c r="DN30" s="163" t="e">
        <f t="shared" si="19"/>
        <v>#DIV/0!</v>
      </c>
      <c r="DO30" s="169"/>
      <c r="DP30" s="170"/>
      <c r="DQ30" s="171"/>
      <c r="DR30" s="172">
        <f t="shared" si="20"/>
        <v>0</v>
      </c>
      <c r="DS30" s="173" t="e">
        <f t="shared" si="21"/>
        <v>#DIV/0!</v>
      </c>
      <c r="DT30" s="163" t="e">
        <f t="shared" si="22"/>
        <v>#DIV/0!</v>
      </c>
      <c r="DU30" s="174"/>
      <c r="DV30" s="175" t="e">
        <f t="shared" si="23"/>
        <v>#DIV/0!</v>
      </c>
      <c r="DW30" s="163">
        <f t="shared" si="24"/>
        <v>0</v>
      </c>
      <c r="DX30" s="164"/>
      <c r="DY30" s="176">
        <f t="shared" si="25"/>
        <v>0</v>
      </c>
      <c r="DZ30" s="177">
        <f t="shared" si="26"/>
        <v>0</v>
      </c>
      <c r="EA30" s="178">
        <f t="shared" si="27"/>
        <v>0</v>
      </c>
      <c r="EB30" s="179">
        <f t="shared" si="28"/>
        <v>0</v>
      </c>
      <c r="EC30" s="180"/>
      <c r="ED30" s="175" t="e">
        <f t="shared" si="29"/>
        <v>#DIV/0!</v>
      </c>
      <c r="EE30" s="163">
        <f t="shared" si="30"/>
        <v>0</v>
      </c>
      <c r="EF30" s="164"/>
      <c r="EG30" s="181">
        <f t="shared" si="31"/>
        <v>0</v>
      </c>
      <c r="EH30" s="182">
        <f t="shared" si="32"/>
        <v>0</v>
      </c>
      <c r="EI30" s="182">
        <f t="shared" si="33"/>
        <v>0</v>
      </c>
      <c r="EJ30" s="182">
        <f t="shared" si="34"/>
        <v>0</v>
      </c>
      <c r="EK30" s="183">
        <f t="shared" si="35"/>
        <v>0</v>
      </c>
      <c r="EL30" s="184" t="e">
        <f t="shared" si="36"/>
        <v>#DIV/0!</v>
      </c>
      <c r="EM30" s="185">
        <f t="shared" si="37"/>
        <v>0</v>
      </c>
      <c r="EN30" s="164"/>
      <c r="EO30" s="181">
        <f t="shared" si="38"/>
        <v>0</v>
      </c>
      <c r="EP30" s="183">
        <f t="shared" si="39"/>
        <v>0</v>
      </c>
      <c r="EQ30" s="184" t="e">
        <f t="shared" si="40"/>
        <v>#DIV/0!</v>
      </c>
      <c r="ER30" s="185">
        <f t="shared" si="41"/>
        <v>0</v>
      </c>
      <c r="ES30" s="164"/>
      <c r="ET30" s="164"/>
      <c r="EU30" s="186">
        <f t="shared" si="42"/>
        <v>0</v>
      </c>
      <c r="EV30" s="186">
        <f t="shared" si="43"/>
        <v>0</v>
      </c>
      <c r="EW30" s="186">
        <f t="shared" si="44"/>
        <v>0</v>
      </c>
      <c r="EX30" s="186">
        <f t="shared" si="45"/>
        <v>0</v>
      </c>
      <c r="EY30" s="131"/>
      <c r="EZ30" s="187">
        <f t="shared" si="46"/>
        <v>0</v>
      </c>
      <c r="FA30" s="188" t="e">
        <f t="shared" si="47"/>
        <v>#DIV/0!</v>
      </c>
      <c r="FB30" s="189"/>
      <c r="FC30" s="131"/>
      <c r="FD30" s="131"/>
      <c r="FE30" s="131"/>
      <c r="FF30" s="131"/>
      <c r="FG30" s="131"/>
    </row>
    <row r="31" spans="1:163" ht="16" outlineLevel="1" thickBot="1" x14ac:dyDescent="0.4">
      <c r="B31" s="358"/>
      <c r="C31" s="355"/>
      <c r="D31" s="204"/>
      <c r="E31" s="205"/>
      <c r="F31" s="135"/>
      <c r="G31" s="206"/>
      <c r="H31" s="207"/>
      <c r="I31" s="138">
        <f t="shared" si="0"/>
        <v>0</v>
      </c>
      <c r="J31" s="139"/>
      <c r="K31" s="208">
        <f t="shared" si="49"/>
        <v>0</v>
      </c>
      <c r="L31" s="141"/>
      <c r="M31" s="209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09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1"/>
      <c r="AN31" s="212">
        <f t="shared" si="2"/>
        <v>0</v>
      </c>
      <c r="AO31" s="146"/>
      <c r="AP31" s="147">
        <f t="shared" si="3"/>
        <v>0</v>
      </c>
      <c r="AQ31" s="148"/>
      <c r="AR31" s="213"/>
      <c r="AS31" s="213"/>
      <c r="AT31" s="135"/>
      <c r="AU31" s="214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4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7"/>
      <c r="CD31" s="214"/>
      <c r="CE31" s="209"/>
      <c r="CF31" s="210"/>
      <c r="CG31" s="210"/>
      <c r="CH31" s="210"/>
      <c r="CI31" s="210"/>
      <c r="CJ31" s="210"/>
      <c r="CK31" s="210"/>
      <c r="CL31" s="210"/>
      <c r="CM31" s="210"/>
      <c r="CN31" s="210"/>
      <c r="CO31" s="348"/>
      <c r="CP31" s="215"/>
      <c r="CQ31" s="216"/>
      <c r="CR31" s="217"/>
      <c r="CS31" s="218">
        <f t="shared" si="48"/>
        <v>0</v>
      </c>
      <c r="CT31" s="146"/>
      <c r="CU31" s="147">
        <f t="shared" si="4"/>
        <v>0</v>
      </c>
      <c r="CV31" s="156"/>
      <c r="CW31" s="157" t="e">
        <f t="shared" si="5"/>
        <v>#DIV/0!</v>
      </c>
      <c r="CX31" s="157" t="e">
        <f t="shared" si="6"/>
        <v>#DIV/0!</v>
      </c>
      <c r="CY31" s="157" t="e">
        <f t="shared" si="7"/>
        <v>#DIV/0!</v>
      </c>
      <c r="CZ31" s="157" t="e">
        <f t="shared" si="8"/>
        <v>#DIV/0!</v>
      </c>
      <c r="DA31" s="157" t="e">
        <f t="shared" si="9"/>
        <v>#DIV/0!</v>
      </c>
      <c r="DB31" s="158" t="e">
        <f t="shared" si="10"/>
        <v>#DIV/0!</v>
      </c>
      <c r="DC31" s="131"/>
      <c r="DD31" s="159">
        <f t="shared" si="11"/>
        <v>0</v>
      </c>
      <c r="DE31" s="160">
        <f t="shared" si="12"/>
        <v>0</v>
      </c>
      <c r="DF31" s="161">
        <f t="shared" si="13"/>
        <v>0</v>
      </c>
      <c r="DG31" s="162" t="e">
        <f t="shared" si="14"/>
        <v>#DIV/0!</v>
      </c>
      <c r="DH31" s="163">
        <f t="shared" si="15"/>
        <v>0</v>
      </c>
      <c r="DI31" s="164"/>
      <c r="DJ31" s="165">
        <f t="shared" si="16"/>
        <v>0</v>
      </c>
      <c r="DK31" s="166">
        <f t="shared" si="16"/>
        <v>0</v>
      </c>
      <c r="DL31" s="167" t="e">
        <f t="shared" si="17"/>
        <v>#DIV/0!</v>
      </c>
      <c r="DM31" s="168" t="e">
        <f t="shared" si="18"/>
        <v>#DIV/0!</v>
      </c>
      <c r="DN31" s="163" t="e">
        <f t="shared" si="19"/>
        <v>#DIV/0!</v>
      </c>
      <c r="DO31" s="169"/>
      <c r="DP31" s="170"/>
      <c r="DQ31" s="171"/>
      <c r="DR31" s="172">
        <f t="shared" si="20"/>
        <v>0</v>
      </c>
      <c r="DS31" s="173" t="e">
        <f t="shared" si="21"/>
        <v>#DIV/0!</v>
      </c>
      <c r="DT31" s="163" t="e">
        <f t="shared" si="22"/>
        <v>#DIV/0!</v>
      </c>
      <c r="DU31" s="174"/>
      <c r="DV31" s="175" t="e">
        <f t="shared" si="23"/>
        <v>#DIV/0!</v>
      </c>
      <c r="DW31" s="163">
        <f t="shared" si="24"/>
        <v>0</v>
      </c>
      <c r="DX31" s="164"/>
      <c r="DY31" s="176">
        <f t="shared" si="25"/>
        <v>0</v>
      </c>
      <c r="DZ31" s="177">
        <f t="shared" si="26"/>
        <v>0</v>
      </c>
      <c r="EA31" s="178">
        <f t="shared" si="27"/>
        <v>0</v>
      </c>
      <c r="EB31" s="179">
        <f t="shared" si="28"/>
        <v>0</v>
      </c>
      <c r="EC31" s="180"/>
      <c r="ED31" s="175" t="e">
        <f t="shared" si="29"/>
        <v>#DIV/0!</v>
      </c>
      <c r="EE31" s="163">
        <f t="shared" si="30"/>
        <v>0</v>
      </c>
      <c r="EF31" s="164"/>
      <c r="EG31" s="181">
        <f t="shared" si="31"/>
        <v>0</v>
      </c>
      <c r="EH31" s="182">
        <f t="shared" si="32"/>
        <v>0</v>
      </c>
      <c r="EI31" s="182">
        <f t="shared" si="33"/>
        <v>0</v>
      </c>
      <c r="EJ31" s="182">
        <f t="shared" si="34"/>
        <v>0</v>
      </c>
      <c r="EK31" s="183">
        <f t="shared" si="35"/>
        <v>0</v>
      </c>
      <c r="EL31" s="184" t="e">
        <f t="shared" si="36"/>
        <v>#DIV/0!</v>
      </c>
      <c r="EM31" s="185">
        <f t="shared" si="37"/>
        <v>0</v>
      </c>
      <c r="EN31" s="164"/>
      <c r="EO31" s="181">
        <f t="shared" si="38"/>
        <v>0</v>
      </c>
      <c r="EP31" s="183">
        <f t="shared" si="39"/>
        <v>0</v>
      </c>
      <c r="EQ31" s="184" t="e">
        <f t="shared" si="40"/>
        <v>#DIV/0!</v>
      </c>
      <c r="ER31" s="185">
        <f t="shared" si="41"/>
        <v>0</v>
      </c>
      <c r="ES31" s="164"/>
      <c r="ET31" s="164"/>
      <c r="EU31" s="186">
        <f t="shared" si="42"/>
        <v>0</v>
      </c>
      <c r="EV31" s="186">
        <f t="shared" si="43"/>
        <v>0</v>
      </c>
      <c r="EW31" s="186">
        <f t="shared" si="44"/>
        <v>0</v>
      </c>
      <c r="EX31" s="186">
        <f t="shared" si="45"/>
        <v>0</v>
      </c>
      <c r="EY31" s="131"/>
      <c r="EZ31" s="187">
        <f t="shared" si="46"/>
        <v>0</v>
      </c>
      <c r="FA31" s="188" t="e">
        <f t="shared" si="47"/>
        <v>#DIV/0!</v>
      </c>
      <c r="FB31" s="189"/>
      <c r="FC31" s="131"/>
      <c r="FD31" s="131"/>
      <c r="FE31" s="131"/>
      <c r="FF31" s="131"/>
      <c r="FG31" s="131"/>
    </row>
    <row r="32" spans="1:163" ht="16" outlineLevel="1" thickBot="1" x14ac:dyDescent="0.4">
      <c r="B32" s="356"/>
      <c r="C32" s="353"/>
      <c r="D32" s="190"/>
      <c r="E32" s="134"/>
      <c r="F32" s="135"/>
      <c r="G32" s="136"/>
      <c r="H32" s="137"/>
      <c r="I32" s="138">
        <f>IF(E32&gt;0.0001,12.5,0)</f>
        <v>0</v>
      </c>
      <c r="J32" s="139"/>
      <c r="K32" s="193">
        <f t="shared" si="49"/>
        <v>0</v>
      </c>
      <c r="L32" s="141"/>
      <c r="M32" s="194"/>
      <c r="N32" s="195"/>
      <c r="O32" s="195"/>
      <c r="P32" s="195"/>
      <c r="Q32" s="195"/>
      <c r="R32" s="143"/>
      <c r="S32" s="195"/>
      <c r="T32" s="195"/>
      <c r="U32" s="195"/>
      <c r="V32" s="195"/>
      <c r="W32" s="195"/>
      <c r="X32" s="195"/>
      <c r="Y32" s="195"/>
      <c r="Z32" s="195"/>
      <c r="AA32" s="194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6"/>
      <c r="AN32" s="197">
        <f t="shared" si="2"/>
        <v>0</v>
      </c>
      <c r="AO32" s="146"/>
      <c r="AP32" s="147">
        <f t="shared" si="3"/>
        <v>0</v>
      </c>
      <c r="AQ32" s="148"/>
      <c r="AR32" s="198"/>
      <c r="AS32" s="198"/>
      <c r="AT32" s="135"/>
      <c r="AU32" s="199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1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1"/>
      <c r="BR32" s="199"/>
      <c r="BS32" s="200"/>
      <c r="BT32" s="200"/>
      <c r="BU32" s="200"/>
      <c r="BV32" s="200"/>
      <c r="BW32" s="200"/>
      <c r="BX32" s="200"/>
      <c r="BY32" s="200"/>
      <c r="BZ32" s="200"/>
      <c r="CA32" s="200"/>
      <c r="CB32" s="200"/>
      <c r="CC32" s="202"/>
      <c r="CD32" s="199"/>
      <c r="CE32" s="194"/>
      <c r="CF32" s="195"/>
      <c r="CG32" s="195"/>
      <c r="CH32" s="195"/>
      <c r="CI32" s="195"/>
      <c r="CJ32" s="195"/>
      <c r="CK32" s="195"/>
      <c r="CL32" s="195"/>
      <c r="CM32" s="195"/>
      <c r="CN32" s="195"/>
      <c r="CO32" s="347"/>
      <c r="CP32" s="200"/>
      <c r="CQ32" s="201"/>
      <c r="CR32" s="202"/>
      <c r="CS32" s="203">
        <f t="shared" si="48"/>
        <v>0</v>
      </c>
      <c r="CT32" s="146"/>
      <c r="CU32" s="147">
        <f t="shared" si="4"/>
        <v>0</v>
      </c>
      <c r="CV32" s="156"/>
      <c r="CW32" s="157" t="e">
        <f t="shared" si="5"/>
        <v>#DIV/0!</v>
      </c>
      <c r="CX32" s="157" t="e">
        <f t="shared" si="6"/>
        <v>#DIV/0!</v>
      </c>
      <c r="CY32" s="157" t="e">
        <f t="shared" si="7"/>
        <v>#DIV/0!</v>
      </c>
      <c r="CZ32" s="157" t="e">
        <f t="shared" si="8"/>
        <v>#DIV/0!</v>
      </c>
      <c r="DA32" s="157" t="e">
        <f t="shared" si="9"/>
        <v>#DIV/0!</v>
      </c>
      <c r="DB32" s="158" t="e">
        <f t="shared" si="10"/>
        <v>#DIV/0!</v>
      </c>
      <c r="DC32" s="131"/>
      <c r="DD32" s="159">
        <f t="shared" si="11"/>
        <v>0</v>
      </c>
      <c r="DE32" s="160">
        <f t="shared" si="12"/>
        <v>0</v>
      </c>
      <c r="DF32" s="161">
        <f t="shared" si="13"/>
        <v>0</v>
      </c>
      <c r="DG32" s="162" t="e">
        <f t="shared" si="14"/>
        <v>#DIV/0!</v>
      </c>
      <c r="DH32" s="163">
        <f t="shared" si="15"/>
        <v>0</v>
      </c>
      <c r="DI32" s="164"/>
      <c r="DJ32" s="165">
        <f t="shared" si="16"/>
        <v>0</v>
      </c>
      <c r="DK32" s="166">
        <f t="shared" si="16"/>
        <v>0</v>
      </c>
      <c r="DL32" s="167" t="e">
        <f t="shared" si="17"/>
        <v>#DIV/0!</v>
      </c>
      <c r="DM32" s="168" t="e">
        <f t="shared" si="18"/>
        <v>#DIV/0!</v>
      </c>
      <c r="DN32" s="163" t="e">
        <f t="shared" si="19"/>
        <v>#DIV/0!</v>
      </c>
      <c r="DO32" s="169"/>
      <c r="DP32" s="170"/>
      <c r="DQ32" s="171"/>
      <c r="DR32" s="172">
        <f t="shared" si="20"/>
        <v>0</v>
      </c>
      <c r="DS32" s="173" t="e">
        <f t="shared" si="21"/>
        <v>#DIV/0!</v>
      </c>
      <c r="DT32" s="163" t="e">
        <f t="shared" si="22"/>
        <v>#DIV/0!</v>
      </c>
      <c r="DU32" s="174"/>
      <c r="DV32" s="175" t="e">
        <f t="shared" si="23"/>
        <v>#DIV/0!</v>
      </c>
      <c r="DW32" s="163">
        <f t="shared" si="24"/>
        <v>0</v>
      </c>
      <c r="DX32" s="164"/>
      <c r="DY32" s="176">
        <f t="shared" si="25"/>
        <v>0</v>
      </c>
      <c r="DZ32" s="177">
        <f t="shared" si="26"/>
        <v>0</v>
      </c>
      <c r="EA32" s="178">
        <f t="shared" si="27"/>
        <v>0</v>
      </c>
      <c r="EB32" s="179">
        <f t="shared" si="28"/>
        <v>0</v>
      </c>
      <c r="EC32" s="180"/>
      <c r="ED32" s="175" t="e">
        <f t="shared" si="29"/>
        <v>#DIV/0!</v>
      </c>
      <c r="EE32" s="163">
        <f t="shared" si="30"/>
        <v>0</v>
      </c>
      <c r="EF32" s="164"/>
      <c r="EG32" s="181">
        <f t="shared" si="31"/>
        <v>0</v>
      </c>
      <c r="EH32" s="182">
        <f t="shared" si="32"/>
        <v>0</v>
      </c>
      <c r="EI32" s="182">
        <f t="shared" si="33"/>
        <v>0</v>
      </c>
      <c r="EJ32" s="182">
        <f t="shared" si="34"/>
        <v>0</v>
      </c>
      <c r="EK32" s="183">
        <f t="shared" si="35"/>
        <v>0</v>
      </c>
      <c r="EL32" s="184" t="e">
        <f t="shared" si="36"/>
        <v>#DIV/0!</v>
      </c>
      <c r="EM32" s="185">
        <f t="shared" si="37"/>
        <v>0</v>
      </c>
      <c r="EN32" s="164"/>
      <c r="EO32" s="181">
        <f t="shared" si="38"/>
        <v>0</v>
      </c>
      <c r="EP32" s="183">
        <f t="shared" si="39"/>
        <v>0</v>
      </c>
      <c r="EQ32" s="184" t="e">
        <f t="shared" si="40"/>
        <v>#DIV/0!</v>
      </c>
      <c r="ER32" s="185">
        <f t="shared" si="41"/>
        <v>0</v>
      </c>
      <c r="ES32" s="164"/>
      <c r="ET32" s="164"/>
      <c r="EU32" s="186">
        <f t="shared" si="42"/>
        <v>0</v>
      </c>
      <c r="EV32" s="186">
        <f t="shared" si="43"/>
        <v>0</v>
      </c>
      <c r="EW32" s="186">
        <f t="shared" si="44"/>
        <v>0</v>
      </c>
      <c r="EX32" s="186">
        <f t="shared" si="45"/>
        <v>0</v>
      </c>
      <c r="EY32" s="131"/>
      <c r="EZ32" s="187">
        <f t="shared" si="46"/>
        <v>0</v>
      </c>
      <c r="FA32" s="188" t="e">
        <f t="shared" si="47"/>
        <v>#DIV/0!</v>
      </c>
      <c r="FB32" s="189"/>
      <c r="FC32" s="131"/>
      <c r="FD32" s="131"/>
      <c r="FE32" s="131"/>
      <c r="FF32" s="131"/>
      <c r="FG32" s="131"/>
    </row>
    <row r="33" spans="2:163" ht="16" outlineLevel="1" thickBot="1" x14ac:dyDescent="0.4">
      <c r="B33" s="357"/>
      <c r="C33" s="354"/>
      <c r="D33" s="204"/>
      <c r="E33" s="205"/>
      <c r="F33" s="135"/>
      <c r="G33" s="206"/>
      <c r="H33" s="137"/>
      <c r="I33" s="138">
        <f>IF(E33&gt;0.0001,12.5,0)</f>
        <v>0</v>
      </c>
      <c r="J33" s="139"/>
      <c r="K33" s="208">
        <f t="shared" si="49"/>
        <v>0</v>
      </c>
      <c r="L33" s="141"/>
      <c r="M33" s="209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09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1"/>
      <c r="AN33" s="212">
        <f t="shared" si="2"/>
        <v>0</v>
      </c>
      <c r="AO33" s="146"/>
      <c r="AP33" s="147">
        <f t="shared" si="3"/>
        <v>0</v>
      </c>
      <c r="AQ33" s="148"/>
      <c r="AR33" s="213"/>
      <c r="AS33" s="213"/>
      <c r="AT33" s="135"/>
      <c r="AU33" s="214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4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7"/>
      <c r="CD33" s="214"/>
      <c r="CE33" s="209"/>
      <c r="CF33" s="210"/>
      <c r="CG33" s="210"/>
      <c r="CH33" s="210"/>
      <c r="CI33" s="210"/>
      <c r="CJ33" s="210"/>
      <c r="CK33" s="210"/>
      <c r="CL33" s="210"/>
      <c r="CM33" s="210"/>
      <c r="CN33" s="210"/>
      <c r="CO33" s="348"/>
      <c r="CP33" s="215"/>
      <c r="CQ33" s="216"/>
      <c r="CR33" s="217"/>
      <c r="CS33" s="218">
        <f t="shared" si="48"/>
        <v>0</v>
      </c>
      <c r="CT33" s="146"/>
      <c r="CU33" s="147">
        <f t="shared" si="4"/>
        <v>0</v>
      </c>
      <c r="CV33" s="156"/>
      <c r="CW33" s="157" t="e">
        <f t="shared" si="5"/>
        <v>#DIV/0!</v>
      </c>
      <c r="CX33" s="157" t="e">
        <f t="shared" si="6"/>
        <v>#DIV/0!</v>
      </c>
      <c r="CY33" s="157" t="e">
        <f t="shared" si="7"/>
        <v>#DIV/0!</v>
      </c>
      <c r="CZ33" s="157" t="e">
        <f t="shared" si="8"/>
        <v>#DIV/0!</v>
      </c>
      <c r="DA33" s="157" t="e">
        <f t="shared" si="9"/>
        <v>#DIV/0!</v>
      </c>
      <c r="DB33" s="158" t="e">
        <f t="shared" si="10"/>
        <v>#DIV/0!</v>
      </c>
      <c r="DC33" s="131"/>
      <c r="DD33" s="159">
        <f t="shared" si="11"/>
        <v>0</v>
      </c>
      <c r="DE33" s="160">
        <f t="shared" si="12"/>
        <v>0</v>
      </c>
      <c r="DF33" s="161">
        <f t="shared" si="13"/>
        <v>0</v>
      </c>
      <c r="DG33" s="162" t="e">
        <f t="shared" si="14"/>
        <v>#DIV/0!</v>
      </c>
      <c r="DH33" s="163">
        <f t="shared" si="15"/>
        <v>0</v>
      </c>
      <c r="DI33" s="164"/>
      <c r="DJ33" s="165">
        <f t="shared" si="16"/>
        <v>0</v>
      </c>
      <c r="DK33" s="166">
        <f t="shared" si="16"/>
        <v>0</v>
      </c>
      <c r="DL33" s="167" t="e">
        <f t="shared" si="17"/>
        <v>#DIV/0!</v>
      </c>
      <c r="DM33" s="168" t="e">
        <f t="shared" si="18"/>
        <v>#DIV/0!</v>
      </c>
      <c r="DN33" s="163" t="e">
        <f t="shared" si="19"/>
        <v>#DIV/0!</v>
      </c>
      <c r="DO33" s="169"/>
      <c r="DP33" s="170"/>
      <c r="DQ33" s="171"/>
      <c r="DR33" s="172">
        <f t="shared" si="20"/>
        <v>0</v>
      </c>
      <c r="DS33" s="173" t="e">
        <f t="shared" si="21"/>
        <v>#DIV/0!</v>
      </c>
      <c r="DT33" s="163" t="e">
        <f t="shared" si="22"/>
        <v>#DIV/0!</v>
      </c>
      <c r="DU33" s="174"/>
      <c r="DV33" s="175" t="e">
        <f t="shared" si="23"/>
        <v>#DIV/0!</v>
      </c>
      <c r="DW33" s="163">
        <f t="shared" si="24"/>
        <v>0</v>
      </c>
      <c r="DX33" s="164"/>
      <c r="DY33" s="176">
        <f t="shared" si="25"/>
        <v>0</v>
      </c>
      <c r="DZ33" s="177">
        <f t="shared" si="26"/>
        <v>0</v>
      </c>
      <c r="EA33" s="178">
        <f t="shared" si="27"/>
        <v>0</v>
      </c>
      <c r="EB33" s="179">
        <f t="shared" si="28"/>
        <v>0</v>
      </c>
      <c r="EC33" s="180"/>
      <c r="ED33" s="175" t="e">
        <f t="shared" si="29"/>
        <v>#DIV/0!</v>
      </c>
      <c r="EE33" s="163">
        <f t="shared" si="30"/>
        <v>0</v>
      </c>
      <c r="EF33" s="164"/>
      <c r="EG33" s="181">
        <f t="shared" si="31"/>
        <v>0</v>
      </c>
      <c r="EH33" s="182">
        <f t="shared" si="32"/>
        <v>0</v>
      </c>
      <c r="EI33" s="182">
        <f t="shared" si="33"/>
        <v>0</v>
      </c>
      <c r="EJ33" s="182">
        <f t="shared" si="34"/>
        <v>0</v>
      </c>
      <c r="EK33" s="183">
        <f t="shared" si="35"/>
        <v>0</v>
      </c>
      <c r="EL33" s="184" t="e">
        <f t="shared" si="36"/>
        <v>#DIV/0!</v>
      </c>
      <c r="EM33" s="185">
        <f t="shared" si="37"/>
        <v>0</v>
      </c>
      <c r="EN33" s="164"/>
      <c r="EO33" s="181">
        <f t="shared" si="38"/>
        <v>0</v>
      </c>
      <c r="EP33" s="183">
        <f t="shared" si="39"/>
        <v>0</v>
      </c>
      <c r="EQ33" s="184" t="e">
        <f t="shared" si="40"/>
        <v>#DIV/0!</v>
      </c>
      <c r="ER33" s="185">
        <f t="shared" si="41"/>
        <v>0</v>
      </c>
      <c r="ES33" s="164"/>
      <c r="ET33" s="164"/>
      <c r="EU33" s="186">
        <f t="shared" si="42"/>
        <v>0</v>
      </c>
      <c r="EV33" s="186">
        <f t="shared" si="43"/>
        <v>0</v>
      </c>
      <c r="EW33" s="186">
        <f t="shared" si="44"/>
        <v>0</v>
      </c>
      <c r="EX33" s="186">
        <f t="shared" si="45"/>
        <v>0</v>
      </c>
      <c r="EY33" s="131"/>
      <c r="EZ33" s="187">
        <f t="shared" si="46"/>
        <v>0</v>
      </c>
      <c r="FA33" s="188" t="e">
        <f t="shared" si="47"/>
        <v>#DIV/0!</v>
      </c>
      <c r="FB33" s="189"/>
      <c r="FC33" s="131"/>
      <c r="FD33" s="131"/>
      <c r="FE33" s="131"/>
      <c r="FF33" s="131"/>
      <c r="FG33" s="131"/>
    </row>
    <row r="34" spans="2:163" ht="16" outlineLevel="1" thickBot="1" x14ac:dyDescent="0.4">
      <c r="B34" s="358"/>
      <c r="C34" s="355"/>
      <c r="D34" s="204"/>
      <c r="E34" s="205"/>
      <c r="F34" s="135"/>
      <c r="G34" s="206"/>
      <c r="H34" s="137"/>
      <c r="I34" s="138">
        <f t="shared" si="0"/>
        <v>0</v>
      </c>
      <c r="J34" s="139"/>
      <c r="K34" s="208">
        <f t="shared" si="49"/>
        <v>0</v>
      </c>
      <c r="L34" s="141"/>
      <c r="M34" s="209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09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1"/>
      <c r="AN34" s="212">
        <f t="shared" si="2"/>
        <v>0</v>
      </c>
      <c r="AO34" s="146"/>
      <c r="AP34" s="147">
        <f t="shared" si="3"/>
        <v>0</v>
      </c>
      <c r="AQ34" s="148"/>
      <c r="AR34" s="213"/>
      <c r="AS34" s="213"/>
      <c r="AT34" s="135"/>
      <c r="AU34" s="214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4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7"/>
      <c r="CD34" s="214"/>
      <c r="CE34" s="209"/>
      <c r="CF34" s="210"/>
      <c r="CG34" s="210"/>
      <c r="CH34" s="210"/>
      <c r="CI34" s="210"/>
      <c r="CJ34" s="210"/>
      <c r="CK34" s="210"/>
      <c r="CL34" s="210"/>
      <c r="CM34" s="210"/>
      <c r="CN34" s="210"/>
      <c r="CO34" s="348"/>
      <c r="CP34" s="215"/>
      <c r="CQ34" s="216"/>
      <c r="CR34" s="217"/>
      <c r="CS34" s="218">
        <f t="shared" si="48"/>
        <v>0</v>
      </c>
      <c r="CT34" s="146"/>
      <c r="CU34" s="147">
        <f t="shared" si="4"/>
        <v>0</v>
      </c>
      <c r="CV34" s="156"/>
      <c r="CW34" s="157" t="e">
        <f t="shared" si="5"/>
        <v>#DIV/0!</v>
      </c>
      <c r="CX34" s="157" t="e">
        <f t="shared" si="6"/>
        <v>#DIV/0!</v>
      </c>
      <c r="CY34" s="157" t="e">
        <f t="shared" si="7"/>
        <v>#DIV/0!</v>
      </c>
      <c r="CZ34" s="157" t="e">
        <f t="shared" si="8"/>
        <v>#DIV/0!</v>
      </c>
      <c r="DA34" s="157" t="e">
        <f t="shared" si="9"/>
        <v>#DIV/0!</v>
      </c>
      <c r="DB34" s="158" t="e">
        <f t="shared" si="10"/>
        <v>#DIV/0!</v>
      </c>
      <c r="DC34" s="131"/>
      <c r="DD34" s="159">
        <f t="shared" si="11"/>
        <v>0</v>
      </c>
      <c r="DE34" s="160">
        <f t="shared" si="12"/>
        <v>0</v>
      </c>
      <c r="DF34" s="161">
        <f t="shared" si="13"/>
        <v>0</v>
      </c>
      <c r="DG34" s="162" t="e">
        <f t="shared" si="14"/>
        <v>#DIV/0!</v>
      </c>
      <c r="DH34" s="163">
        <f t="shared" si="15"/>
        <v>0</v>
      </c>
      <c r="DI34" s="164"/>
      <c r="DJ34" s="165">
        <f t="shared" si="16"/>
        <v>0</v>
      </c>
      <c r="DK34" s="166">
        <f t="shared" si="16"/>
        <v>0</v>
      </c>
      <c r="DL34" s="167" t="e">
        <f t="shared" si="17"/>
        <v>#DIV/0!</v>
      </c>
      <c r="DM34" s="168" t="e">
        <f t="shared" si="18"/>
        <v>#DIV/0!</v>
      </c>
      <c r="DN34" s="163" t="e">
        <f t="shared" si="19"/>
        <v>#DIV/0!</v>
      </c>
      <c r="DO34" s="169"/>
      <c r="DP34" s="170"/>
      <c r="DQ34" s="171"/>
      <c r="DR34" s="172">
        <f t="shared" si="20"/>
        <v>0</v>
      </c>
      <c r="DS34" s="173" t="e">
        <f t="shared" si="21"/>
        <v>#DIV/0!</v>
      </c>
      <c r="DT34" s="163" t="e">
        <f t="shared" si="22"/>
        <v>#DIV/0!</v>
      </c>
      <c r="DU34" s="174"/>
      <c r="DV34" s="175" t="e">
        <f t="shared" si="23"/>
        <v>#DIV/0!</v>
      </c>
      <c r="DW34" s="163">
        <f t="shared" si="24"/>
        <v>0</v>
      </c>
      <c r="DX34" s="164"/>
      <c r="DY34" s="176">
        <f t="shared" si="25"/>
        <v>0</v>
      </c>
      <c r="DZ34" s="177">
        <f t="shared" si="26"/>
        <v>0</v>
      </c>
      <c r="EA34" s="178">
        <f t="shared" si="27"/>
        <v>0</v>
      </c>
      <c r="EB34" s="179">
        <f t="shared" si="28"/>
        <v>0</v>
      </c>
      <c r="EC34" s="180"/>
      <c r="ED34" s="175" t="e">
        <f t="shared" si="29"/>
        <v>#DIV/0!</v>
      </c>
      <c r="EE34" s="163">
        <f t="shared" si="30"/>
        <v>0</v>
      </c>
      <c r="EF34" s="164"/>
      <c r="EG34" s="181">
        <f t="shared" si="31"/>
        <v>0</v>
      </c>
      <c r="EH34" s="182">
        <f t="shared" si="32"/>
        <v>0</v>
      </c>
      <c r="EI34" s="182">
        <f t="shared" si="33"/>
        <v>0</v>
      </c>
      <c r="EJ34" s="182">
        <f t="shared" si="34"/>
        <v>0</v>
      </c>
      <c r="EK34" s="183">
        <f t="shared" si="35"/>
        <v>0</v>
      </c>
      <c r="EL34" s="184" t="e">
        <f t="shared" si="36"/>
        <v>#DIV/0!</v>
      </c>
      <c r="EM34" s="185">
        <f t="shared" si="37"/>
        <v>0</v>
      </c>
      <c r="EN34" s="164"/>
      <c r="EO34" s="181">
        <f t="shared" si="38"/>
        <v>0</v>
      </c>
      <c r="EP34" s="183">
        <f t="shared" si="39"/>
        <v>0</v>
      </c>
      <c r="EQ34" s="184" t="e">
        <f t="shared" si="40"/>
        <v>#DIV/0!</v>
      </c>
      <c r="ER34" s="185">
        <f t="shared" si="41"/>
        <v>0</v>
      </c>
      <c r="ES34" s="164"/>
      <c r="ET34" s="164"/>
      <c r="EU34" s="186">
        <f t="shared" si="42"/>
        <v>0</v>
      </c>
      <c r="EV34" s="186">
        <f t="shared" si="43"/>
        <v>0</v>
      </c>
      <c r="EW34" s="186">
        <f t="shared" si="44"/>
        <v>0</v>
      </c>
      <c r="EX34" s="186">
        <f t="shared" si="45"/>
        <v>0</v>
      </c>
      <c r="EY34" s="131"/>
      <c r="EZ34" s="187">
        <f t="shared" si="46"/>
        <v>0</v>
      </c>
      <c r="FA34" s="188" t="e">
        <f t="shared" si="47"/>
        <v>#DIV/0!</v>
      </c>
      <c r="FB34" s="189"/>
      <c r="FC34" s="131"/>
      <c r="FD34" s="131"/>
      <c r="FE34" s="131"/>
      <c r="FF34" s="131"/>
      <c r="FG34" s="131"/>
    </row>
    <row r="35" spans="2:163" s="220" customFormat="1" ht="16" outlineLevel="1" thickBot="1" x14ac:dyDescent="0.4">
      <c r="B35" s="356"/>
      <c r="C35" s="353"/>
      <c r="D35" s="133"/>
      <c r="E35" s="134"/>
      <c r="F35" s="135"/>
      <c r="G35" s="136"/>
      <c r="H35" s="137"/>
      <c r="I35" s="138">
        <f>IF(E35&gt;0.0001,12.5,0)</f>
        <v>0</v>
      </c>
      <c r="J35" s="139"/>
      <c r="K35" s="140">
        <f t="shared" si="49"/>
        <v>0</v>
      </c>
      <c r="L35" s="141"/>
      <c r="M35" s="142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2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4"/>
      <c r="AN35" s="145">
        <f t="shared" si="2"/>
        <v>0</v>
      </c>
      <c r="AO35" s="146"/>
      <c r="AP35" s="147">
        <f t="shared" si="3"/>
        <v>0</v>
      </c>
      <c r="AQ35" s="221"/>
      <c r="AR35" s="149"/>
      <c r="AS35" s="149"/>
      <c r="AT35" s="222"/>
      <c r="AU35" s="223"/>
      <c r="AV35" s="224"/>
      <c r="AW35" s="224"/>
      <c r="AX35" s="224"/>
      <c r="AY35" s="224"/>
      <c r="AZ35" s="224"/>
      <c r="BA35" s="224"/>
      <c r="BB35" s="151"/>
      <c r="BC35" s="151"/>
      <c r="BD35" s="151"/>
      <c r="BE35" s="151"/>
      <c r="BF35" s="152"/>
      <c r="BG35" s="152"/>
      <c r="BH35" s="152"/>
      <c r="BI35" s="152"/>
      <c r="BJ35" s="225"/>
      <c r="BK35" s="225"/>
      <c r="BL35" s="225"/>
      <c r="BM35" s="152"/>
      <c r="BN35" s="152"/>
      <c r="BO35" s="225"/>
      <c r="BP35" s="225"/>
      <c r="BQ35" s="225"/>
      <c r="BR35" s="223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6"/>
      <c r="CD35" s="223"/>
      <c r="CE35" s="142"/>
      <c r="CF35" s="143"/>
      <c r="CG35" s="143"/>
      <c r="CH35" s="143"/>
      <c r="CI35" s="143"/>
      <c r="CJ35" s="143"/>
      <c r="CK35" s="143"/>
      <c r="CL35" s="143"/>
      <c r="CM35" s="143"/>
      <c r="CN35" s="143"/>
      <c r="CO35" s="349"/>
      <c r="CP35" s="224"/>
      <c r="CQ35" s="225"/>
      <c r="CR35" s="226"/>
      <c r="CS35" s="227">
        <f t="shared" si="48"/>
        <v>0</v>
      </c>
      <c r="CT35" s="146"/>
      <c r="CU35" s="147">
        <f t="shared" si="4"/>
        <v>0</v>
      </c>
      <c r="CV35" s="156"/>
      <c r="CW35" s="157" t="e">
        <f t="shared" si="5"/>
        <v>#DIV/0!</v>
      </c>
      <c r="CX35" s="157" t="e">
        <f t="shared" si="6"/>
        <v>#DIV/0!</v>
      </c>
      <c r="CY35" s="157" t="e">
        <f t="shared" si="7"/>
        <v>#DIV/0!</v>
      </c>
      <c r="CZ35" s="157" t="e">
        <f t="shared" si="8"/>
        <v>#DIV/0!</v>
      </c>
      <c r="DA35" s="157" t="e">
        <f t="shared" si="9"/>
        <v>#DIV/0!</v>
      </c>
      <c r="DB35" s="158" t="e">
        <f t="shared" si="10"/>
        <v>#DIV/0!</v>
      </c>
      <c r="DC35" s="131"/>
      <c r="DD35" s="159">
        <f t="shared" si="11"/>
        <v>0</v>
      </c>
      <c r="DE35" s="160">
        <f t="shared" si="12"/>
        <v>0</v>
      </c>
      <c r="DF35" s="161">
        <f t="shared" si="13"/>
        <v>0</v>
      </c>
      <c r="DG35" s="162" t="e">
        <f t="shared" si="14"/>
        <v>#DIV/0!</v>
      </c>
      <c r="DH35" s="163">
        <f t="shared" si="15"/>
        <v>0</v>
      </c>
      <c r="DI35" s="164"/>
      <c r="DJ35" s="165">
        <f t="shared" si="16"/>
        <v>0</v>
      </c>
      <c r="DK35" s="166">
        <f t="shared" si="16"/>
        <v>0</v>
      </c>
      <c r="DL35" s="167" t="e">
        <f t="shared" si="17"/>
        <v>#DIV/0!</v>
      </c>
      <c r="DM35" s="168" t="e">
        <f t="shared" si="18"/>
        <v>#DIV/0!</v>
      </c>
      <c r="DN35" s="163" t="e">
        <f t="shared" si="19"/>
        <v>#DIV/0!</v>
      </c>
      <c r="DO35" s="169"/>
      <c r="DP35" s="171"/>
      <c r="DQ35" s="171"/>
      <c r="DR35" s="172">
        <f t="shared" si="20"/>
        <v>0</v>
      </c>
      <c r="DS35" s="173" t="e">
        <f t="shared" si="21"/>
        <v>#DIV/0!</v>
      </c>
      <c r="DT35" s="163" t="e">
        <f t="shared" si="22"/>
        <v>#DIV/0!</v>
      </c>
      <c r="DU35" s="174"/>
      <c r="DV35" s="175" t="e">
        <f t="shared" si="23"/>
        <v>#DIV/0!</v>
      </c>
      <c r="DW35" s="163">
        <f t="shared" si="24"/>
        <v>0</v>
      </c>
      <c r="DX35" s="164"/>
      <c r="DY35" s="176">
        <f t="shared" si="25"/>
        <v>0</v>
      </c>
      <c r="DZ35" s="177">
        <f t="shared" si="26"/>
        <v>0</v>
      </c>
      <c r="EA35" s="178">
        <f t="shared" si="27"/>
        <v>0</v>
      </c>
      <c r="EB35" s="179">
        <f t="shared" si="28"/>
        <v>0</v>
      </c>
      <c r="EC35" s="180"/>
      <c r="ED35" s="175" t="e">
        <f t="shared" si="29"/>
        <v>#DIV/0!</v>
      </c>
      <c r="EE35" s="163">
        <f t="shared" si="30"/>
        <v>0</v>
      </c>
      <c r="EF35" s="164"/>
      <c r="EG35" s="181">
        <f t="shared" si="31"/>
        <v>0</v>
      </c>
      <c r="EH35" s="182">
        <f t="shared" si="32"/>
        <v>0</v>
      </c>
      <c r="EI35" s="182">
        <f t="shared" si="33"/>
        <v>0</v>
      </c>
      <c r="EJ35" s="182">
        <f t="shared" si="34"/>
        <v>0</v>
      </c>
      <c r="EK35" s="183">
        <f t="shared" si="35"/>
        <v>0</v>
      </c>
      <c r="EL35" s="184" t="e">
        <f t="shared" si="36"/>
        <v>#DIV/0!</v>
      </c>
      <c r="EM35" s="185">
        <f t="shared" si="37"/>
        <v>0</v>
      </c>
      <c r="EN35" s="164"/>
      <c r="EO35" s="181">
        <f t="shared" si="38"/>
        <v>0</v>
      </c>
      <c r="EP35" s="183">
        <f t="shared" si="39"/>
        <v>0</v>
      </c>
      <c r="EQ35" s="184" t="e">
        <f t="shared" si="40"/>
        <v>#DIV/0!</v>
      </c>
      <c r="ER35" s="185">
        <f t="shared" si="41"/>
        <v>0</v>
      </c>
      <c r="ES35" s="164"/>
      <c r="ET35" s="164"/>
      <c r="EU35" s="186">
        <f t="shared" si="42"/>
        <v>0</v>
      </c>
      <c r="EV35" s="186">
        <f t="shared" si="43"/>
        <v>0</v>
      </c>
      <c r="EW35" s="186">
        <f t="shared" si="44"/>
        <v>0</v>
      </c>
      <c r="EX35" s="186">
        <f t="shared" si="45"/>
        <v>0</v>
      </c>
      <c r="EY35" s="131"/>
      <c r="EZ35" s="187">
        <f t="shared" si="46"/>
        <v>0</v>
      </c>
      <c r="FA35" s="188" t="e">
        <f t="shared" si="47"/>
        <v>#DIV/0!</v>
      </c>
      <c r="FB35" s="189"/>
      <c r="FC35" s="219"/>
      <c r="FD35" s="219"/>
      <c r="FE35" s="219"/>
      <c r="FF35" s="219"/>
      <c r="FG35" s="219"/>
    </row>
    <row r="36" spans="2:163" ht="16" outlineLevel="1" thickBot="1" x14ac:dyDescent="0.4">
      <c r="B36" s="357"/>
      <c r="C36" s="354"/>
      <c r="D36" s="190"/>
      <c r="E36" s="191"/>
      <c r="F36" s="135"/>
      <c r="G36" s="192"/>
      <c r="H36" s="137"/>
      <c r="I36" s="138">
        <f t="shared" si="0"/>
        <v>0</v>
      </c>
      <c r="J36" s="139"/>
      <c r="K36" s="193">
        <f t="shared" si="49"/>
        <v>0</v>
      </c>
      <c r="L36" s="141"/>
      <c r="M36" s="194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4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6"/>
      <c r="AN36" s="197">
        <f t="shared" si="2"/>
        <v>0</v>
      </c>
      <c r="AO36" s="146"/>
      <c r="AP36" s="147">
        <f t="shared" si="3"/>
        <v>0</v>
      </c>
      <c r="AQ36" s="148"/>
      <c r="AR36" s="198"/>
      <c r="AS36" s="198"/>
      <c r="AT36" s="135"/>
      <c r="AU36" s="199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1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1"/>
      <c r="BR36" s="199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2"/>
      <c r="CD36" s="199"/>
      <c r="CE36" s="194"/>
      <c r="CF36" s="195"/>
      <c r="CG36" s="195"/>
      <c r="CH36" s="195"/>
      <c r="CI36" s="195"/>
      <c r="CJ36" s="195"/>
      <c r="CK36" s="195"/>
      <c r="CL36" s="195"/>
      <c r="CM36" s="195"/>
      <c r="CN36" s="195"/>
      <c r="CO36" s="347"/>
      <c r="CP36" s="200"/>
      <c r="CQ36" s="201"/>
      <c r="CR36" s="202"/>
      <c r="CS36" s="203">
        <f t="shared" si="48"/>
        <v>0</v>
      </c>
      <c r="CT36" s="146"/>
      <c r="CU36" s="147">
        <f t="shared" si="4"/>
        <v>0</v>
      </c>
      <c r="CV36" s="156"/>
      <c r="CW36" s="157" t="e">
        <f t="shared" si="5"/>
        <v>#DIV/0!</v>
      </c>
      <c r="CX36" s="157" t="e">
        <f t="shared" si="6"/>
        <v>#DIV/0!</v>
      </c>
      <c r="CY36" s="157" t="e">
        <f t="shared" si="7"/>
        <v>#DIV/0!</v>
      </c>
      <c r="CZ36" s="157" t="e">
        <f t="shared" si="8"/>
        <v>#DIV/0!</v>
      </c>
      <c r="DA36" s="157" t="e">
        <f t="shared" si="9"/>
        <v>#DIV/0!</v>
      </c>
      <c r="DB36" s="158" t="e">
        <f t="shared" si="10"/>
        <v>#DIV/0!</v>
      </c>
      <c r="DC36" s="131"/>
      <c r="DD36" s="159">
        <f t="shared" si="11"/>
        <v>0</v>
      </c>
      <c r="DE36" s="160">
        <f t="shared" si="12"/>
        <v>0</v>
      </c>
      <c r="DF36" s="161">
        <f t="shared" si="13"/>
        <v>0</v>
      </c>
      <c r="DG36" s="162" t="e">
        <f t="shared" si="14"/>
        <v>#DIV/0!</v>
      </c>
      <c r="DH36" s="163">
        <f t="shared" si="15"/>
        <v>0</v>
      </c>
      <c r="DI36" s="164"/>
      <c r="DJ36" s="165">
        <f t="shared" si="16"/>
        <v>0</v>
      </c>
      <c r="DK36" s="166">
        <v>0</v>
      </c>
      <c r="DL36" s="167" t="e">
        <f t="shared" si="17"/>
        <v>#DIV/0!</v>
      </c>
      <c r="DM36" s="168" t="e">
        <f t="shared" si="18"/>
        <v>#DIV/0!</v>
      </c>
      <c r="DN36" s="163" t="e">
        <f t="shared" si="19"/>
        <v>#DIV/0!</v>
      </c>
      <c r="DO36" s="169"/>
      <c r="DP36" s="170"/>
      <c r="DQ36" s="171"/>
      <c r="DR36" s="172">
        <f t="shared" si="20"/>
        <v>0</v>
      </c>
      <c r="DS36" s="173" t="e">
        <f t="shared" si="21"/>
        <v>#DIV/0!</v>
      </c>
      <c r="DT36" s="163" t="e">
        <f t="shared" si="22"/>
        <v>#DIV/0!</v>
      </c>
      <c r="DU36" s="174"/>
      <c r="DV36" s="175" t="e">
        <f t="shared" si="23"/>
        <v>#DIV/0!</v>
      </c>
      <c r="DW36" s="163">
        <f t="shared" si="24"/>
        <v>0</v>
      </c>
      <c r="DX36" s="164"/>
      <c r="DY36" s="176">
        <f t="shared" si="25"/>
        <v>0</v>
      </c>
      <c r="DZ36" s="177">
        <f t="shared" si="26"/>
        <v>0</v>
      </c>
      <c r="EA36" s="178">
        <f t="shared" si="27"/>
        <v>0</v>
      </c>
      <c r="EB36" s="179">
        <f t="shared" si="28"/>
        <v>0</v>
      </c>
      <c r="EC36" s="180"/>
      <c r="ED36" s="175" t="e">
        <f t="shared" si="29"/>
        <v>#DIV/0!</v>
      </c>
      <c r="EE36" s="163">
        <f t="shared" si="30"/>
        <v>0</v>
      </c>
      <c r="EF36" s="164"/>
      <c r="EG36" s="181">
        <f t="shared" si="31"/>
        <v>0</v>
      </c>
      <c r="EH36" s="182">
        <f t="shared" si="32"/>
        <v>0</v>
      </c>
      <c r="EI36" s="182">
        <f t="shared" si="33"/>
        <v>0</v>
      </c>
      <c r="EJ36" s="182">
        <f t="shared" si="34"/>
        <v>0</v>
      </c>
      <c r="EK36" s="183">
        <f t="shared" si="35"/>
        <v>0</v>
      </c>
      <c r="EL36" s="184" t="e">
        <f t="shared" si="36"/>
        <v>#DIV/0!</v>
      </c>
      <c r="EM36" s="185">
        <f t="shared" si="37"/>
        <v>0</v>
      </c>
      <c r="EN36" s="164"/>
      <c r="EO36" s="181">
        <f t="shared" si="38"/>
        <v>0</v>
      </c>
      <c r="EP36" s="183">
        <f t="shared" si="39"/>
        <v>0</v>
      </c>
      <c r="EQ36" s="184" t="e">
        <f t="shared" si="40"/>
        <v>#DIV/0!</v>
      </c>
      <c r="ER36" s="185">
        <f t="shared" si="41"/>
        <v>0</v>
      </c>
      <c r="ES36" s="164"/>
      <c r="ET36" s="164"/>
      <c r="EU36" s="186">
        <f t="shared" si="42"/>
        <v>0</v>
      </c>
      <c r="EV36" s="186">
        <f t="shared" si="43"/>
        <v>0</v>
      </c>
      <c r="EW36" s="186">
        <f t="shared" si="44"/>
        <v>0</v>
      </c>
      <c r="EX36" s="186">
        <f t="shared" si="45"/>
        <v>0</v>
      </c>
      <c r="EY36" s="131"/>
      <c r="EZ36" s="187">
        <f t="shared" si="46"/>
        <v>0</v>
      </c>
      <c r="FA36" s="188" t="e">
        <f t="shared" si="47"/>
        <v>#DIV/0!</v>
      </c>
      <c r="FB36" s="189"/>
      <c r="FC36" s="131"/>
      <c r="FD36" s="131"/>
      <c r="FE36" s="131"/>
      <c r="FF36" s="131"/>
      <c r="FG36" s="131"/>
    </row>
    <row r="37" spans="2:163" ht="16" outlineLevel="1" thickBot="1" x14ac:dyDescent="0.4">
      <c r="B37" s="358"/>
      <c r="C37" s="355"/>
      <c r="D37" s="190"/>
      <c r="E37" s="191"/>
      <c r="F37" s="135"/>
      <c r="G37" s="192"/>
      <c r="H37" s="137"/>
      <c r="I37" s="138">
        <f t="shared" si="0"/>
        <v>0</v>
      </c>
      <c r="J37" s="139"/>
      <c r="K37" s="193">
        <f t="shared" si="49"/>
        <v>0</v>
      </c>
      <c r="L37" s="141"/>
      <c r="M37" s="194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4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6"/>
      <c r="AN37" s="197">
        <f t="shared" si="2"/>
        <v>0</v>
      </c>
      <c r="AO37" s="146"/>
      <c r="AP37" s="147">
        <f t="shared" si="3"/>
        <v>0</v>
      </c>
      <c r="AQ37" s="148"/>
      <c r="AR37" s="198"/>
      <c r="AS37" s="198"/>
      <c r="AT37" s="135"/>
      <c r="AU37" s="199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1"/>
      <c r="BG37" s="201"/>
      <c r="BH37" s="201"/>
      <c r="BI37" s="201"/>
      <c r="BJ37" s="201"/>
      <c r="BK37" s="201"/>
      <c r="BL37" s="201"/>
      <c r="BM37" s="201"/>
      <c r="BN37" s="201"/>
      <c r="BO37" s="201"/>
      <c r="BP37" s="201"/>
      <c r="BQ37" s="201"/>
      <c r="BR37" s="199"/>
      <c r="BS37" s="200"/>
      <c r="BT37" s="200"/>
      <c r="BU37" s="200"/>
      <c r="BV37" s="200"/>
      <c r="BW37" s="200"/>
      <c r="BX37" s="200"/>
      <c r="BY37" s="200"/>
      <c r="BZ37" s="200"/>
      <c r="CA37" s="200"/>
      <c r="CB37" s="200"/>
      <c r="CC37" s="202"/>
      <c r="CD37" s="199"/>
      <c r="CE37" s="194"/>
      <c r="CF37" s="195"/>
      <c r="CG37" s="195"/>
      <c r="CH37" s="195"/>
      <c r="CI37" s="195"/>
      <c r="CJ37" s="195"/>
      <c r="CK37" s="195"/>
      <c r="CL37" s="195"/>
      <c r="CM37" s="195"/>
      <c r="CN37" s="195"/>
      <c r="CO37" s="347"/>
      <c r="CP37" s="200"/>
      <c r="CQ37" s="201"/>
      <c r="CR37" s="202"/>
      <c r="CS37" s="203">
        <f t="shared" si="48"/>
        <v>0</v>
      </c>
      <c r="CT37" s="146"/>
      <c r="CU37" s="147">
        <f t="shared" si="4"/>
        <v>0</v>
      </c>
      <c r="CV37" s="156"/>
      <c r="CW37" s="157" t="e">
        <f t="shared" si="5"/>
        <v>#DIV/0!</v>
      </c>
      <c r="CX37" s="157" t="e">
        <f t="shared" si="6"/>
        <v>#DIV/0!</v>
      </c>
      <c r="CY37" s="157" t="e">
        <f t="shared" si="7"/>
        <v>#DIV/0!</v>
      </c>
      <c r="CZ37" s="157" t="e">
        <f t="shared" si="8"/>
        <v>#DIV/0!</v>
      </c>
      <c r="DA37" s="157" t="e">
        <f t="shared" si="9"/>
        <v>#DIV/0!</v>
      </c>
      <c r="DB37" s="158" t="e">
        <f t="shared" si="10"/>
        <v>#DIV/0!</v>
      </c>
      <c r="DC37" s="131"/>
      <c r="DD37" s="159">
        <f t="shared" si="11"/>
        <v>0</v>
      </c>
      <c r="DE37" s="160">
        <f t="shared" si="12"/>
        <v>0</v>
      </c>
      <c r="DF37" s="161">
        <f t="shared" si="13"/>
        <v>0</v>
      </c>
      <c r="DG37" s="162" t="e">
        <f t="shared" si="14"/>
        <v>#DIV/0!</v>
      </c>
      <c r="DH37" s="163">
        <f t="shared" si="15"/>
        <v>0</v>
      </c>
      <c r="DI37" s="164"/>
      <c r="DJ37" s="165">
        <f t="shared" si="16"/>
        <v>0</v>
      </c>
      <c r="DK37" s="166">
        <v>0</v>
      </c>
      <c r="DL37" s="167" t="e">
        <f t="shared" si="17"/>
        <v>#DIV/0!</v>
      </c>
      <c r="DM37" s="168" t="e">
        <f t="shared" si="18"/>
        <v>#DIV/0!</v>
      </c>
      <c r="DN37" s="163" t="e">
        <f t="shared" si="19"/>
        <v>#DIV/0!</v>
      </c>
      <c r="DO37" s="169"/>
      <c r="DP37" s="170"/>
      <c r="DQ37" s="171"/>
      <c r="DR37" s="172">
        <f t="shared" si="20"/>
        <v>0</v>
      </c>
      <c r="DS37" s="173" t="e">
        <f t="shared" si="21"/>
        <v>#DIV/0!</v>
      </c>
      <c r="DT37" s="163" t="e">
        <f t="shared" si="22"/>
        <v>#DIV/0!</v>
      </c>
      <c r="DU37" s="174"/>
      <c r="DV37" s="175" t="e">
        <f t="shared" si="23"/>
        <v>#DIV/0!</v>
      </c>
      <c r="DW37" s="163">
        <f t="shared" si="24"/>
        <v>0</v>
      </c>
      <c r="DX37" s="164"/>
      <c r="DY37" s="176">
        <f t="shared" si="25"/>
        <v>0</v>
      </c>
      <c r="DZ37" s="177">
        <f t="shared" si="26"/>
        <v>0</v>
      </c>
      <c r="EA37" s="178">
        <f t="shared" si="27"/>
        <v>0</v>
      </c>
      <c r="EB37" s="179">
        <f t="shared" si="28"/>
        <v>0</v>
      </c>
      <c r="EC37" s="180"/>
      <c r="ED37" s="175" t="e">
        <f t="shared" si="29"/>
        <v>#DIV/0!</v>
      </c>
      <c r="EE37" s="163">
        <f t="shared" si="30"/>
        <v>0</v>
      </c>
      <c r="EF37" s="164"/>
      <c r="EG37" s="181">
        <f t="shared" si="31"/>
        <v>0</v>
      </c>
      <c r="EH37" s="182">
        <f t="shared" si="32"/>
        <v>0</v>
      </c>
      <c r="EI37" s="182">
        <f t="shared" si="33"/>
        <v>0</v>
      </c>
      <c r="EJ37" s="182">
        <f t="shared" si="34"/>
        <v>0</v>
      </c>
      <c r="EK37" s="183">
        <f t="shared" si="35"/>
        <v>0</v>
      </c>
      <c r="EL37" s="184" t="e">
        <f t="shared" si="36"/>
        <v>#DIV/0!</v>
      </c>
      <c r="EM37" s="185">
        <f t="shared" si="37"/>
        <v>0</v>
      </c>
      <c r="EN37" s="164"/>
      <c r="EO37" s="181">
        <f t="shared" si="38"/>
        <v>0</v>
      </c>
      <c r="EP37" s="183">
        <f t="shared" si="39"/>
        <v>0</v>
      </c>
      <c r="EQ37" s="184" t="e">
        <f t="shared" si="40"/>
        <v>#DIV/0!</v>
      </c>
      <c r="ER37" s="185">
        <f t="shared" si="41"/>
        <v>0</v>
      </c>
      <c r="ES37" s="164"/>
      <c r="ET37" s="164"/>
      <c r="EU37" s="186">
        <f t="shared" si="42"/>
        <v>0</v>
      </c>
      <c r="EV37" s="186">
        <f t="shared" si="43"/>
        <v>0</v>
      </c>
      <c r="EW37" s="186">
        <f t="shared" si="44"/>
        <v>0</v>
      </c>
      <c r="EX37" s="186">
        <f t="shared" si="45"/>
        <v>0</v>
      </c>
      <c r="EY37" s="131"/>
      <c r="EZ37" s="187">
        <f t="shared" si="46"/>
        <v>0</v>
      </c>
      <c r="FA37" s="188" t="e">
        <f t="shared" si="47"/>
        <v>#DIV/0!</v>
      </c>
      <c r="FB37" s="189"/>
      <c r="FC37" s="131"/>
      <c r="FD37" s="131"/>
      <c r="FE37" s="131"/>
      <c r="FF37" s="131"/>
      <c r="FG37" s="131"/>
    </row>
    <row r="38" spans="2:163" s="220" customFormat="1" ht="16" outlineLevel="1" thickBot="1" x14ac:dyDescent="0.4">
      <c r="B38" s="356"/>
      <c r="C38" s="353"/>
      <c r="D38" s="133"/>
      <c r="E38" s="134"/>
      <c r="F38" s="135"/>
      <c r="G38" s="136"/>
      <c r="H38" s="137"/>
      <c r="I38" s="138">
        <f t="shared" si="0"/>
        <v>0</v>
      </c>
      <c r="J38" s="139"/>
      <c r="K38" s="140">
        <f t="shared" si="49"/>
        <v>0</v>
      </c>
      <c r="L38" s="141"/>
      <c r="M38" s="142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2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4"/>
      <c r="AN38" s="145">
        <f t="shared" si="2"/>
        <v>0</v>
      </c>
      <c r="AO38" s="146"/>
      <c r="AP38" s="147">
        <f t="shared" si="3"/>
        <v>0</v>
      </c>
      <c r="AQ38" s="221"/>
      <c r="AR38" s="149"/>
      <c r="AS38" s="149"/>
      <c r="AT38" s="222"/>
      <c r="AU38" s="223"/>
      <c r="AV38" s="224"/>
      <c r="AW38" s="224"/>
      <c r="AX38" s="224"/>
      <c r="AY38" s="224"/>
      <c r="AZ38" s="224"/>
      <c r="BA38" s="224"/>
      <c r="BB38" s="151"/>
      <c r="BC38" s="151"/>
      <c r="BD38" s="151"/>
      <c r="BE38" s="151"/>
      <c r="BF38" s="152"/>
      <c r="BG38" s="152"/>
      <c r="BH38" s="152"/>
      <c r="BI38" s="152"/>
      <c r="BJ38" s="225"/>
      <c r="BK38" s="225"/>
      <c r="BL38" s="225"/>
      <c r="BM38" s="152"/>
      <c r="BN38" s="152"/>
      <c r="BO38" s="225"/>
      <c r="BP38" s="225"/>
      <c r="BQ38" s="225"/>
      <c r="BR38" s="223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6"/>
      <c r="CD38" s="223"/>
      <c r="CE38" s="142"/>
      <c r="CF38" s="143"/>
      <c r="CG38" s="143"/>
      <c r="CH38" s="143"/>
      <c r="CI38" s="143"/>
      <c r="CJ38" s="143"/>
      <c r="CK38" s="143"/>
      <c r="CL38" s="143"/>
      <c r="CM38" s="143"/>
      <c r="CN38" s="143"/>
      <c r="CO38" s="349"/>
      <c r="CP38" s="224"/>
      <c r="CQ38" s="225"/>
      <c r="CR38" s="226"/>
      <c r="CS38" s="227">
        <f t="shared" si="48"/>
        <v>0</v>
      </c>
      <c r="CT38" s="146"/>
      <c r="CU38" s="147">
        <f t="shared" si="4"/>
        <v>0</v>
      </c>
      <c r="CV38" s="156"/>
      <c r="CW38" s="157" t="e">
        <f t="shared" si="5"/>
        <v>#DIV/0!</v>
      </c>
      <c r="CX38" s="157" t="e">
        <f t="shared" si="6"/>
        <v>#DIV/0!</v>
      </c>
      <c r="CY38" s="157" t="e">
        <f t="shared" si="7"/>
        <v>#DIV/0!</v>
      </c>
      <c r="CZ38" s="157" t="e">
        <f t="shared" si="8"/>
        <v>#DIV/0!</v>
      </c>
      <c r="DA38" s="157" t="e">
        <f t="shared" si="9"/>
        <v>#DIV/0!</v>
      </c>
      <c r="DB38" s="158" t="e">
        <f t="shared" si="10"/>
        <v>#DIV/0!</v>
      </c>
      <c r="DC38" s="131"/>
      <c r="DD38" s="159">
        <f t="shared" si="11"/>
        <v>0</v>
      </c>
      <c r="DE38" s="160">
        <f t="shared" si="12"/>
        <v>0</v>
      </c>
      <c r="DF38" s="161">
        <f t="shared" si="13"/>
        <v>0</v>
      </c>
      <c r="DG38" s="162" t="e">
        <f t="shared" si="14"/>
        <v>#DIV/0!</v>
      </c>
      <c r="DH38" s="163">
        <f t="shared" si="15"/>
        <v>0</v>
      </c>
      <c r="DI38" s="164"/>
      <c r="DJ38" s="165">
        <f t="shared" ref="DJ38:DK67" si="50">H38</f>
        <v>0</v>
      </c>
      <c r="DK38" s="166">
        <f t="shared" si="50"/>
        <v>0</v>
      </c>
      <c r="DL38" s="167" t="e">
        <f t="shared" si="17"/>
        <v>#DIV/0!</v>
      </c>
      <c r="DM38" s="168" t="e">
        <f t="shared" si="18"/>
        <v>#DIV/0!</v>
      </c>
      <c r="DN38" s="163" t="e">
        <f t="shared" si="19"/>
        <v>#DIV/0!</v>
      </c>
      <c r="DO38" s="169"/>
      <c r="DP38" s="170"/>
      <c r="DQ38" s="171"/>
      <c r="DR38" s="172">
        <f t="shared" si="20"/>
        <v>0</v>
      </c>
      <c r="DS38" s="173" t="e">
        <f t="shared" si="21"/>
        <v>#DIV/0!</v>
      </c>
      <c r="DT38" s="163" t="e">
        <f t="shared" si="22"/>
        <v>#DIV/0!</v>
      </c>
      <c r="DU38" s="174"/>
      <c r="DV38" s="175" t="e">
        <f t="shared" si="23"/>
        <v>#DIV/0!</v>
      </c>
      <c r="DW38" s="163">
        <f t="shared" si="24"/>
        <v>0</v>
      </c>
      <c r="DX38" s="164"/>
      <c r="DY38" s="176">
        <f t="shared" si="25"/>
        <v>0</v>
      </c>
      <c r="DZ38" s="177">
        <f t="shared" si="26"/>
        <v>0</v>
      </c>
      <c r="EA38" s="178">
        <f t="shared" si="27"/>
        <v>0</v>
      </c>
      <c r="EB38" s="179">
        <f t="shared" si="28"/>
        <v>0</v>
      </c>
      <c r="EC38" s="180"/>
      <c r="ED38" s="175" t="e">
        <f t="shared" si="29"/>
        <v>#DIV/0!</v>
      </c>
      <c r="EE38" s="163">
        <f t="shared" si="30"/>
        <v>0</v>
      </c>
      <c r="EF38" s="164"/>
      <c r="EG38" s="181">
        <f t="shared" si="31"/>
        <v>0</v>
      </c>
      <c r="EH38" s="182">
        <f t="shared" si="32"/>
        <v>0</v>
      </c>
      <c r="EI38" s="182">
        <f t="shared" si="33"/>
        <v>0</v>
      </c>
      <c r="EJ38" s="182">
        <f t="shared" si="34"/>
        <v>0</v>
      </c>
      <c r="EK38" s="183">
        <f t="shared" si="35"/>
        <v>0</v>
      </c>
      <c r="EL38" s="184" t="e">
        <f t="shared" si="36"/>
        <v>#DIV/0!</v>
      </c>
      <c r="EM38" s="185">
        <f t="shared" si="37"/>
        <v>0</v>
      </c>
      <c r="EN38" s="164"/>
      <c r="EO38" s="181">
        <f t="shared" si="38"/>
        <v>0</v>
      </c>
      <c r="EP38" s="183">
        <f t="shared" si="39"/>
        <v>0</v>
      </c>
      <c r="EQ38" s="184" t="e">
        <f t="shared" si="40"/>
        <v>#DIV/0!</v>
      </c>
      <c r="ER38" s="185">
        <f t="shared" si="41"/>
        <v>0</v>
      </c>
      <c r="ES38" s="164"/>
      <c r="ET38" s="164"/>
      <c r="EU38" s="186">
        <f t="shared" si="42"/>
        <v>0</v>
      </c>
      <c r="EV38" s="186">
        <f t="shared" si="43"/>
        <v>0</v>
      </c>
      <c r="EW38" s="186">
        <f t="shared" si="44"/>
        <v>0</v>
      </c>
      <c r="EX38" s="186">
        <f t="shared" si="45"/>
        <v>0</v>
      </c>
      <c r="EY38" s="131"/>
      <c r="EZ38" s="187">
        <f t="shared" si="46"/>
        <v>0</v>
      </c>
      <c r="FA38" s="188" t="e">
        <f t="shared" si="47"/>
        <v>#DIV/0!</v>
      </c>
      <c r="FB38" s="189"/>
      <c r="FC38" s="219"/>
      <c r="FD38" s="219"/>
      <c r="FE38" s="219"/>
      <c r="FF38" s="219"/>
      <c r="FG38" s="219"/>
    </row>
    <row r="39" spans="2:163" ht="16" outlineLevel="1" thickBot="1" x14ac:dyDescent="0.4">
      <c r="B39" s="357"/>
      <c r="C39" s="354"/>
      <c r="D39" s="190"/>
      <c r="E39" s="191"/>
      <c r="F39" s="135"/>
      <c r="G39" s="192"/>
      <c r="H39" s="137"/>
      <c r="I39" s="138">
        <f t="shared" si="0"/>
        <v>0</v>
      </c>
      <c r="J39" s="139"/>
      <c r="K39" s="193">
        <f t="shared" si="49"/>
        <v>0</v>
      </c>
      <c r="L39" s="141"/>
      <c r="M39" s="194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4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6"/>
      <c r="AN39" s="197">
        <f t="shared" si="2"/>
        <v>0</v>
      </c>
      <c r="AO39" s="146"/>
      <c r="AP39" s="147">
        <f t="shared" si="3"/>
        <v>0</v>
      </c>
      <c r="AQ39" s="148"/>
      <c r="AR39" s="198"/>
      <c r="AS39" s="198"/>
      <c r="AT39" s="135"/>
      <c r="AU39" s="199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1"/>
      <c r="BG39" s="201"/>
      <c r="BH39" s="201"/>
      <c r="BI39" s="201"/>
      <c r="BJ39" s="201"/>
      <c r="BK39" s="201"/>
      <c r="BL39" s="201"/>
      <c r="BM39" s="201"/>
      <c r="BN39" s="201"/>
      <c r="BO39" s="201"/>
      <c r="BP39" s="201"/>
      <c r="BQ39" s="201"/>
      <c r="BR39" s="199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2"/>
      <c r="CD39" s="199"/>
      <c r="CE39" s="194"/>
      <c r="CF39" s="195"/>
      <c r="CG39" s="195"/>
      <c r="CH39" s="195"/>
      <c r="CI39" s="195"/>
      <c r="CJ39" s="195"/>
      <c r="CK39" s="195"/>
      <c r="CL39" s="195"/>
      <c r="CM39" s="195"/>
      <c r="CN39" s="195"/>
      <c r="CO39" s="347"/>
      <c r="CP39" s="200"/>
      <c r="CQ39" s="201"/>
      <c r="CR39" s="202"/>
      <c r="CS39" s="203">
        <f t="shared" si="48"/>
        <v>0</v>
      </c>
      <c r="CT39" s="146"/>
      <c r="CU39" s="147">
        <f t="shared" si="4"/>
        <v>0</v>
      </c>
      <c r="CV39" s="156"/>
      <c r="CW39" s="157" t="e">
        <f t="shared" si="5"/>
        <v>#DIV/0!</v>
      </c>
      <c r="CX39" s="157" t="e">
        <f t="shared" si="6"/>
        <v>#DIV/0!</v>
      </c>
      <c r="CY39" s="157" t="e">
        <f t="shared" si="7"/>
        <v>#DIV/0!</v>
      </c>
      <c r="CZ39" s="157" t="e">
        <f t="shared" si="8"/>
        <v>#DIV/0!</v>
      </c>
      <c r="DA39" s="157" t="e">
        <f t="shared" si="9"/>
        <v>#DIV/0!</v>
      </c>
      <c r="DB39" s="158" t="e">
        <f t="shared" si="10"/>
        <v>#DIV/0!</v>
      </c>
      <c r="DC39" s="131"/>
      <c r="DD39" s="159">
        <f t="shared" si="11"/>
        <v>0</v>
      </c>
      <c r="DE39" s="160">
        <f t="shared" si="12"/>
        <v>0</v>
      </c>
      <c r="DF39" s="161">
        <f t="shared" si="13"/>
        <v>0</v>
      </c>
      <c r="DG39" s="162" t="e">
        <f t="shared" si="14"/>
        <v>#DIV/0!</v>
      </c>
      <c r="DH39" s="163">
        <f t="shared" si="15"/>
        <v>0</v>
      </c>
      <c r="DI39" s="164"/>
      <c r="DJ39" s="165">
        <f t="shared" si="50"/>
        <v>0</v>
      </c>
      <c r="DK39" s="166">
        <v>0</v>
      </c>
      <c r="DL39" s="167" t="e">
        <f t="shared" si="17"/>
        <v>#DIV/0!</v>
      </c>
      <c r="DM39" s="168" t="e">
        <f t="shared" si="18"/>
        <v>#DIV/0!</v>
      </c>
      <c r="DN39" s="163" t="e">
        <f t="shared" si="19"/>
        <v>#DIV/0!</v>
      </c>
      <c r="DO39" s="169"/>
      <c r="DP39" s="170"/>
      <c r="DQ39" s="171"/>
      <c r="DR39" s="172">
        <f t="shared" si="20"/>
        <v>0</v>
      </c>
      <c r="DS39" s="173" t="e">
        <f t="shared" si="21"/>
        <v>#DIV/0!</v>
      </c>
      <c r="DT39" s="163" t="e">
        <f t="shared" si="22"/>
        <v>#DIV/0!</v>
      </c>
      <c r="DU39" s="174"/>
      <c r="DV39" s="175" t="e">
        <f t="shared" si="23"/>
        <v>#DIV/0!</v>
      </c>
      <c r="DW39" s="163">
        <f t="shared" si="24"/>
        <v>0</v>
      </c>
      <c r="DX39" s="164"/>
      <c r="DY39" s="176">
        <f t="shared" si="25"/>
        <v>0</v>
      </c>
      <c r="DZ39" s="177">
        <f t="shared" si="26"/>
        <v>0</v>
      </c>
      <c r="EA39" s="178">
        <f t="shared" si="27"/>
        <v>0</v>
      </c>
      <c r="EB39" s="179">
        <f t="shared" si="28"/>
        <v>0</v>
      </c>
      <c r="EC39" s="180"/>
      <c r="ED39" s="175" t="e">
        <f t="shared" si="29"/>
        <v>#DIV/0!</v>
      </c>
      <c r="EE39" s="163">
        <f t="shared" si="30"/>
        <v>0</v>
      </c>
      <c r="EF39" s="164"/>
      <c r="EG39" s="181">
        <f t="shared" si="31"/>
        <v>0</v>
      </c>
      <c r="EH39" s="182">
        <f t="shared" si="32"/>
        <v>0</v>
      </c>
      <c r="EI39" s="182">
        <f t="shared" si="33"/>
        <v>0</v>
      </c>
      <c r="EJ39" s="182">
        <f t="shared" si="34"/>
        <v>0</v>
      </c>
      <c r="EK39" s="183">
        <f t="shared" si="35"/>
        <v>0</v>
      </c>
      <c r="EL39" s="184" t="e">
        <f t="shared" si="36"/>
        <v>#DIV/0!</v>
      </c>
      <c r="EM39" s="185">
        <f t="shared" si="37"/>
        <v>0</v>
      </c>
      <c r="EN39" s="164"/>
      <c r="EO39" s="181">
        <f t="shared" si="38"/>
        <v>0</v>
      </c>
      <c r="EP39" s="183">
        <f t="shared" si="39"/>
        <v>0</v>
      </c>
      <c r="EQ39" s="184" t="e">
        <f t="shared" si="40"/>
        <v>#DIV/0!</v>
      </c>
      <c r="ER39" s="185">
        <f t="shared" si="41"/>
        <v>0</v>
      </c>
      <c r="ES39" s="164"/>
      <c r="ET39" s="164"/>
      <c r="EU39" s="186">
        <f t="shared" si="42"/>
        <v>0</v>
      </c>
      <c r="EV39" s="186">
        <f t="shared" si="43"/>
        <v>0</v>
      </c>
      <c r="EW39" s="186">
        <f t="shared" si="44"/>
        <v>0</v>
      </c>
      <c r="EX39" s="186">
        <f t="shared" si="45"/>
        <v>0</v>
      </c>
      <c r="EY39" s="131"/>
      <c r="EZ39" s="187">
        <f t="shared" si="46"/>
        <v>0</v>
      </c>
      <c r="FA39" s="188" t="e">
        <f t="shared" si="47"/>
        <v>#DIV/0!</v>
      </c>
      <c r="FB39" s="189"/>
      <c r="FC39" s="131"/>
      <c r="FD39" s="131"/>
      <c r="FE39" s="131"/>
      <c r="FF39" s="131"/>
      <c r="FG39" s="131"/>
    </row>
    <row r="40" spans="2:163" ht="16" outlineLevel="1" thickBot="1" x14ac:dyDescent="0.4">
      <c r="B40" s="358"/>
      <c r="C40" s="355"/>
      <c r="D40" s="190"/>
      <c r="E40" s="191"/>
      <c r="F40" s="135"/>
      <c r="G40" s="192"/>
      <c r="H40" s="137"/>
      <c r="I40" s="138">
        <f t="shared" si="0"/>
        <v>0</v>
      </c>
      <c r="J40" s="139"/>
      <c r="K40" s="193">
        <f t="shared" si="49"/>
        <v>0</v>
      </c>
      <c r="L40" s="141"/>
      <c r="M40" s="194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4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6"/>
      <c r="AN40" s="197">
        <f t="shared" si="2"/>
        <v>0</v>
      </c>
      <c r="AO40" s="146"/>
      <c r="AP40" s="147">
        <f t="shared" si="3"/>
        <v>0</v>
      </c>
      <c r="AQ40" s="148"/>
      <c r="AR40" s="198"/>
      <c r="AS40" s="198"/>
      <c r="AT40" s="135"/>
      <c r="AU40" s="199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1"/>
      <c r="BG40" s="201"/>
      <c r="BH40" s="201"/>
      <c r="BI40" s="201"/>
      <c r="BJ40" s="201"/>
      <c r="BK40" s="201"/>
      <c r="BL40" s="201"/>
      <c r="BM40" s="201"/>
      <c r="BN40" s="201"/>
      <c r="BO40" s="201"/>
      <c r="BP40" s="201"/>
      <c r="BQ40" s="201"/>
      <c r="BR40" s="199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2"/>
      <c r="CD40" s="199"/>
      <c r="CE40" s="194"/>
      <c r="CF40" s="195"/>
      <c r="CG40" s="195"/>
      <c r="CH40" s="195"/>
      <c r="CI40" s="195"/>
      <c r="CJ40" s="195"/>
      <c r="CK40" s="195"/>
      <c r="CL40" s="195"/>
      <c r="CM40" s="195"/>
      <c r="CN40" s="195"/>
      <c r="CO40" s="347"/>
      <c r="CP40" s="200"/>
      <c r="CQ40" s="201"/>
      <c r="CR40" s="202"/>
      <c r="CS40" s="203">
        <f t="shared" si="48"/>
        <v>0</v>
      </c>
      <c r="CT40" s="146"/>
      <c r="CU40" s="147">
        <f t="shared" si="4"/>
        <v>0</v>
      </c>
      <c r="CV40" s="156"/>
      <c r="CW40" s="157" t="e">
        <f t="shared" si="5"/>
        <v>#DIV/0!</v>
      </c>
      <c r="CX40" s="157" t="e">
        <f t="shared" si="6"/>
        <v>#DIV/0!</v>
      </c>
      <c r="CY40" s="157" t="e">
        <f t="shared" si="7"/>
        <v>#DIV/0!</v>
      </c>
      <c r="CZ40" s="157" t="e">
        <f t="shared" si="8"/>
        <v>#DIV/0!</v>
      </c>
      <c r="DA40" s="157" t="e">
        <f t="shared" si="9"/>
        <v>#DIV/0!</v>
      </c>
      <c r="DB40" s="158" t="e">
        <f t="shared" si="10"/>
        <v>#DIV/0!</v>
      </c>
      <c r="DC40" s="131"/>
      <c r="DD40" s="159">
        <f t="shared" si="11"/>
        <v>0</v>
      </c>
      <c r="DE40" s="160">
        <f t="shared" si="12"/>
        <v>0</v>
      </c>
      <c r="DF40" s="161">
        <f t="shared" si="13"/>
        <v>0</v>
      </c>
      <c r="DG40" s="162" t="e">
        <f t="shared" si="14"/>
        <v>#DIV/0!</v>
      </c>
      <c r="DH40" s="163">
        <f t="shared" si="15"/>
        <v>0</v>
      </c>
      <c r="DI40" s="164"/>
      <c r="DJ40" s="165">
        <f t="shared" si="50"/>
        <v>0</v>
      </c>
      <c r="DK40" s="166">
        <v>0</v>
      </c>
      <c r="DL40" s="167" t="e">
        <f t="shared" si="17"/>
        <v>#DIV/0!</v>
      </c>
      <c r="DM40" s="168" t="e">
        <f t="shared" si="18"/>
        <v>#DIV/0!</v>
      </c>
      <c r="DN40" s="163" t="e">
        <f t="shared" si="19"/>
        <v>#DIV/0!</v>
      </c>
      <c r="DO40" s="169"/>
      <c r="DP40" s="170"/>
      <c r="DQ40" s="171"/>
      <c r="DR40" s="172">
        <f t="shared" si="20"/>
        <v>0</v>
      </c>
      <c r="DS40" s="173" t="e">
        <f t="shared" si="21"/>
        <v>#DIV/0!</v>
      </c>
      <c r="DT40" s="163" t="e">
        <f t="shared" si="22"/>
        <v>#DIV/0!</v>
      </c>
      <c r="DU40" s="174"/>
      <c r="DV40" s="175" t="e">
        <f t="shared" si="23"/>
        <v>#DIV/0!</v>
      </c>
      <c r="DW40" s="163">
        <f t="shared" si="24"/>
        <v>0</v>
      </c>
      <c r="DX40" s="164"/>
      <c r="DY40" s="176">
        <f t="shared" si="25"/>
        <v>0</v>
      </c>
      <c r="DZ40" s="177">
        <f t="shared" si="26"/>
        <v>0</v>
      </c>
      <c r="EA40" s="178">
        <f t="shared" si="27"/>
        <v>0</v>
      </c>
      <c r="EB40" s="179">
        <f t="shared" si="28"/>
        <v>0</v>
      </c>
      <c r="EC40" s="180"/>
      <c r="ED40" s="175" t="e">
        <f t="shared" si="29"/>
        <v>#DIV/0!</v>
      </c>
      <c r="EE40" s="163">
        <f t="shared" si="30"/>
        <v>0</v>
      </c>
      <c r="EF40" s="164"/>
      <c r="EG40" s="181">
        <f t="shared" si="31"/>
        <v>0</v>
      </c>
      <c r="EH40" s="182">
        <f t="shared" si="32"/>
        <v>0</v>
      </c>
      <c r="EI40" s="182">
        <f t="shared" si="33"/>
        <v>0</v>
      </c>
      <c r="EJ40" s="182">
        <f t="shared" si="34"/>
        <v>0</v>
      </c>
      <c r="EK40" s="183">
        <f t="shared" si="35"/>
        <v>0</v>
      </c>
      <c r="EL40" s="184" t="e">
        <f t="shared" si="36"/>
        <v>#DIV/0!</v>
      </c>
      <c r="EM40" s="185">
        <f t="shared" si="37"/>
        <v>0</v>
      </c>
      <c r="EN40" s="164"/>
      <c r="EO40" s="181">
        <f t="shared" si="38"/>
        <v>0</v>
      </c>
      <c r="EP40" s="183">
        <f t="shared" si="39"/>
        <v>0</v>
      </c>
      <c r="EQ40" s="184" t="e">
        <f t="shared" si="40"/>
        <v>#DIV/0!</v>
      </c>
      <c r="ER40" s="185">
        <f t="shared" si="41"/>
        <v>0</v>
      </c>
      <c r="ES40" s="164"/>
      <c r="ET40" s="164"/>
      <c r="EU40" s="186">
        <f t="shared" si="42"/>
        <v>0</v>
      </c>
      <c r="EV40" s="186">
        <f t="shared" si="43"/>
        <v>0</v>
      </c>
      <c r="EW40" s="186">
        <f t="shared" si="44"/>
        <v>0</v>
      </c>
      <c r="EX40" s="186">
        <f t="shared" si="45"/>
        <v>0</v>
      </c>
      <c r="EY40" s="131"/>
      <c r="EZ40" s="187">
        <f t="shared" si="46"/>
        <v>0</v>
      </c>
      <c r="FA40" s="188" t="e">
        <f t="shared" si="47"/>
        <v>#DIV/0!</v>
      </c>
      <c r="FB40" s="189"/>
      <c r="FC40" s="131"/>
      <c r="FD40" s="131"/>
      <c r="FE40" s="131"/>
      <c r="FF40" s="131"/>
      <c r="FG40" s="131"/>
    </row>
    <row r="41" spans="2:163" ht="16" outlineLevel="1" thickBot="1" x14ac:dyDescent="0.4">
      <c r="B41" s="356"/>
      <c r="C41" s="353"/>
      <c r="D41" s="133"/>
      <c r="E41" s="134"/>
      <c r="F41" s="135"/>
      <c r="G41" s="136"/>
      <c r="H41" s="137"/>
      <c r="I41" s="138">
        <f t="shared" si="0"/>
        <v>0</v>
      </c>
      <c r="J41" s="139"/>
      <c r="K41" s="140">
        <f t="shared" si="49"/>
        <v>0</v>
      </c>
      <c r="L41" s="141"/>
      <c r="M41" s="142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2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4"/>
      <c r="AN41" s="145">
        <f t="shared" si="2"/>
        <v>0</v>
      </c>
      <c r="AO41" s="146"/>
      <c r="AP41" s="147">
        <f t="shared" si="3"/>
        <v>0</v>
      </c>
      <c r="AQ41" s="148"/>
      <c r="AR41" s="149"/>
      <c r="AS41" s="149"/>
      <c r="AT41" s="135"/>
      <c r="AU41" s="150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0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4"/>
      <c r="CD41" s="150"/>
      <c r="CE41" s="142"/>
      <c r="CF41" s="143"/>
      <c r="CG41" s="143"/>
      <c r="CH41" s="143"/>
      <c r="CI41" s="143"/>
      <c r="CJ41" s="143"/>
      <c r="CK41" s="143"/>
      <c r="CL41" s="143"/>
      <c r="CM41" s="143"/>
      <c r="CN41" s="143"/>
      <c r="CO41" s="346"/>
      <c r="CP41" s="151"/>
      <c r="CQ41" s="152"/>
      <c r="CR41" s="154"/>
      <c r="CS41" s="155">
        <f t="shared" si="48"/>
        <v>0</v>
      </c>
      <c r="CT41" s="146"/>
      <c r="CU41" s="147">
        <f t="shared" si="4"/>
        <v>0</v>
      </c>
      <c r="CV41" s="156"/>
      <c r="CW41" s="157" t="e">
        <f t="shared" si="5"/>
        <v>#DIV/0!</v>
      </c>
      <c r="CX41" s="157" t="e">
        <f t="shared" si="6"/>
        <v>#DIV/0!</v>
      </c>
      <c r="CY41" s="157" t="e">
        <f t="shared" si="7"/>
        <v>#DIV/0!</v>
      </c>
      <c r="CZ41" s="157" t="e">
        <f t="shared" si="8"/>
        <v>#DIV/0!</v>
      </c>
      <c r="DA41" s="157" t="e">
        <f t="shared" si="9"/>
        <v>#DIV/0!</v>
      </c>
      <c r="DB41" s="158" t="e">
        <f t="shared" si="10"/>
        <v>#DIV/0!</v>
      </c>
      <c r="DC41" s="131"/>
      <c r="DD41" s="159">
        <f t="shared" si="11"/>
        <v>0</v>
      </c>
      <c r="DE41" s="160">
        <f t="shared" si="12"/>
        <v>0</v>
      </c>
      <c r="DF41" s="161">
        <f t="shared" si="13"/>
        <v>0</v>
      </c>
      <c r="DG41" s="162" t="e">
        <f t="shared" si="14"/>
        <v>#DIV/0!</v>
      </c>
      <c r="DH41" s="163">
        <f t="shared" si="15"/>
        <v>0</v>
      </c>
      <c r="DI41" s="164"/>
      <c r="DJ41" s="165">
        <f t="shared" si="50"/>
        <v>0</v>
      </c>
      <c r="DK41" s="166">
        <f t="shared" si="50"/>
        <v>0</v>
      </c>
      <c r="DL41" s="167" t="e">
        <f t="shared" si="17"/>
        <v>#DIV/0!</v>
      </c>
      <c r="DM41" s="168" t="e">
        <f t="shared" si="18"/>
        <v>#DIV/0!</v>
      </c>
      <c r="DN41" s="163" t="e">
        <f t="shared" si="19"/>
        <v>#DIV/0!</v>
      </c>
      <c r="DO41" s="169"/>
      <c r="DP41" s="170"/>
      <c r="DQ41" s="171"/>
      <c r="DR41" s="172">
        <f t="shared" si="20"/>
        <v>0</v>
      </c>
      <c r="DS41" s="173" t="e">
        <f t="shared" si="21"/>
        <v>#DIV/0!</v>
      </c>
      <c r="DT41" s="163" t="e">
        <f t="shared" si="22"/>
        <v>#DIV/0!</v>
      </c>
      <c r="DU41" s="174"/>
      <c r="DV41" s="175" t="e">
        <f t="shared" si="23"/>
        <v>#DIV/0!</v>
      </c>
      <c r="DW41" s="163">
        <f t="shared" si="24"/>
        <v>0</v>
      </c>
      <c r="DX41" s="164"/>
      <c r="DY41" s="176">
        <f t="shared" si="25"/>
        <v>0</v>
      </c>
      <c r="DZ41" s="177">
        <f t="shared" si="26"/>
        <v>0</v>
      </c>
      <c r="EA41" s="178">
        <f t="shared" si="27"/>
        <v>0</v>
      </c>
      <c r="EB41" s="179">
        <f t="shared" si="28"/>
        <v>0</v>
      </c>
      <c r="EC41" s="180"/>
      <c r="ED41" s="175" t="e">
        <f t="shared" si="29"/>
        <v>#DIV/0!</v>
      </c>
      <c r="EE41" s="163">
        <f t="shared" si="30"/>
        <v>0</v>
      </c>
      <c r="EF41" s="164"/>
      <c r="EG41" s="181">
        <f t="shared" si="31"/>
        <v>0</v>
      </c>
      <c r="EH41" s="182">
        <f t="shared" si="32"/>
        <v>0</v>
      </c>
      <c r="EI41" s="182">
        <f t="shared" si="33"/>
        <v>0</v>
      </c>
      <c r="EJ41" s="182">
        <f t="shared" si="34"/>
        <v>0</v>
      </c>
      <c r="EK41" s="183">
        <f t="shared" si="35"/>
        <v>0</v>
      </c>
      <c r="EL41" s="184" t="e">
        <f t="shared" si="36"/>
        <v>#DIV/0!</v>
      </c>
      <c r="EM41" s="185">
        <f t="shared" si="37"/>
        <v>0</v>
      </c>
      <c r="EN41" s="164"/>
      <c r="EO41" s="181">
        <f t="shared" si="38"/>
        <v>0</v>
      </c>
      <c r="EP41" s="183">
        <f t="shared" si="39"/>
        <v>0</v>
      </c>
      <c r="EQ41" s="184" t="e">
        <f t="shared" si="40"/>
        <v>#DIV/0!</v>
      </c>
      <c r="ER41" s="185">
        <f t="shared" si="41"/>
        <v>0</v>
      </c>
      <c r="ES41" s="164"/>
      <c r="ET41" s="164"/>
      <c r="EU41" s="186">
        <f t="shared" si="42"/>
        <v>0</v>
      </c>
      <c r="EV41" s="186">
        <f t="shared" si="43"/>
        <v>0</v>
      </c>
      <c r="EW41" s="186">
        <f t="shared" si="44"/>
        <v>0</v>
      </c>
      <c r="EX41" s="186">
        <f t="shared" si="45"/>
        <v>0</v>
      </c>
      <c r="EY41" s="131"/>
      <c r="EZ41" s="187">
        <f t="shared" si="46"/>
        <v>0</v>
      </c>
      <c r="FA41" s="188" t="e">
        <f t="shared" si="47"/>
        <v>#DIV/0!</v>
      </c>
      <c r="FB41" s="189"/>
      <c r="FC41" s="131"/>
      <c r="FD41" s="131"/>
      <c r="FE41" s="131"/>
      <c r="FF41" s="131"/>
      <c r="FG41" s="131"/>
    </row>
    <row r="42" spans="2:163" ht="16" outlineLevel="1" thickBot="1" x14ac:dyDescent="0.4">
      <c r="B42" s="357"/>
      <c r="C42" s="354"/>
      <c r="D42" s="190"/>
      <c r="E42" s="191"/>
      <c r="F42" s="135"/>
      <c r="G42" s="192"/>
      <c r="H42" s="137"/>
      <c r="I42" s="138">
        <f t="shared" si="0"/>
        <v>0</v>
      </c>
      <c r="J42" s="139"/>
      <c r="K42" s="193">
        <f t="shared" si="49"/>
        <v>0</v>
      </c>
      <c r="L42" s="141"/>
      <c r="M42" s="194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4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6"/>
      <c r="AN42" s="197">
        <f t="shared" si="2"/>
        <v>0</v>
      </c>
      <c r="AO42" s="146"/>
      <c r="AP42" s="147">
        <f t="shared" si="3"/>
        <v>0</v>
      </c>
      <c r="AQ42" s="148"/>
      <c r="AR42" s="198"/>
      <c r="AS42" s="198"/>
      <c r="AT42" s="135"/>
      <c r="AU42" s="199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1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199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2"/>
      <c r="CD42" s="199"/>
      <c r="CE42" s="194"/>
      <c r="CF42" s="195"/>
      <c r="CG42" s="195"/>
      <c r="CH42" s="195"/>
      <c r="CI42" s="195"/>
      <c r="CJ42" s="195"/>
      <c r="CK42" s="195"/>
      <c r="CL42" s="195"/>
      <c r="CM42" s="195"/>
      <c r="CN42" s="195"/>
      <c r="CO42" s="347"/>
      <c r="CP42" s="200"/>
      <c r="CQ42" s="201"/>
      <c r="CR42" s="202"/>
      <c r="CS42" s="203">
        <f t="shared" si="48"/>
        <v>0</v>
      </c>
      <c r="CT42" s="146"/>
      <c r="CU42" s="147">
        <f t="shared" si="4"/>
        <v>0</v>
      </c>
      <c r="CV42" s="156"/>
      <c r="CW42" s="157" t="e">
        <f t="shared" si="5"/>
        <v>#DIV/0!</v>
      </c>
      <c r="CX42" s="157" t="e">
        <f t="shared" si="6"/>
        <v>#DIV/0!</v>
      </c>
      <c r="CY42" s="157" t="e">
        <f t="shared" si="7"/>
        <v>#DIV/0!</v>
      </c>
      <c r="CZ42" s="157" t="e">
        <f t="shared" si="8"/>
        <v>#DIV/0!</v>
      </c>
      <c r="DA42" s="157" t="e">
        <f t="shared" si="9"/>
        <v>#DIV/0!</v>
      </c>
      <c r="DB42" s="158" t="e">
        <f t="shared" si="10"/>
        <v>#DIV/0!</v>
      </c>
      <c r="DC42" s="131"/>
      <c r="DD42" s="159">
        <f t="shared" si="11"/>
        <v>0</v>
      </c>
      <c r="DE42" s="160">
        <f t="shared" si="12"/>
        <v>0</v>
      </c>
      <c r="DF42" s="161">
        <f t="shared" si="13"/>
        <v>0</v>
      </c>
      <c r="DG42" s="162" t="e">
        <f t="shared" si="14"/>
        <v>#DIV/0!</v>
      </c>
      <c r="DH42" s="163">
        <f t="shared" si="15"/>
        <v>0</v>
      </c>
      <c r="DI42" s="164"/>
      <c r="DJ42" s="165">
        <f t="shared" si="50"/>
        <v>0</v>
      </c>
      <c r="DK42" s="166">
        <f t="shared" si="50"/>
        <v>0</v>
      </c>
      <c r="DL42" s="167" t="e">
        <f t="shared" si="17"/>
        <v>#DIV/0!</v>
      </c>
      <c r="DM42" s="168" t="e">
        <f t="shared" si="18"/>
        <v>#DIV/0!</v>
      </c>
      <c r="DN42" s="163" t="e">
        <f t="shared" si="19"/>
        <v>#DIV/0!</v>
      </c>
      <c r="DO42" s="169"/>
      <c r="DP42" s="170"/>
      <c r="DQ42" s="171"/>
      <c r="DR42" s="172">
        <f t="shared" si="20"/>
        <v>0</v>
      </c>
      <c r="DS42" s="173" t="e">
        <f t="shared" si="21"/>
        <v>#DIV/0!</v>
      </c>
      <c r="DT42" s="163" t="e">
        <f t="shared" si="22"/>
        <v>#DIV/0!</v>
      </c>
      <c r="DU42" s="174"/>
      <c r="DV42" s="175" t="e">
        <f t="shared" si="23"/>
        <v>#DIV/0!</v>
      </c>
      <c r="DW42" s="163">
        <f t="shared" si="24"/>
        <v>0</v>
      </c>
      <c r="DX42" s="164"/>
      <c r="DY42" s="176">
        <f t="shared" si="25"/>
        <v>0</v>
      </c>
      <c r="DZ42" s="177">
        <f t="shared" si="26"/>
        <v>0</v>
      </c>
      <c r="EA42" s="178">
        <f t="shared" si="27"/>
        <v>0</v>
      </c>
      <c r="EB42" s="179">
        <f t="shared" si="28"/>
        <v>0</v>
      </c>
      <c r="EC42" s="180"/>
      <c r="ED42" s="175" t="e">
        <f t="shared" si="29"/>
        <v>#DIV/0!</v>
      </c>
      <c r="EE42" s="163">
        <f t="shared" si="30"/>
        <v>0</v>
      </c>
      <c r="EF42" s="164"/>
      <c r="EG42" s="181">
        <f t="shared" si="31"/>
        <v>0</v>
      </c>
      <c r="EH42" s="182">
        <f t="shared" si="32"/>
        <v>0</v>
      </c>
      <c r="EI42" s="182">
        <f t="shared" si="33"/>
        <v>0</v>
      </c>
      <c r="EJ42" s="182">
        <f t="shared" si="34"/>
        <v>0</v>
      </c>
      <c r="EK42" s="183">
        <f t="shared" si="35"/>
        <v>0</v>
      </c>
      <c r="EL42" s="184" t="e">
        <f t="shared" si="36"/>
        <v>#DIV/0!</v>
      </c>
      <c r="EM42" s="185">
        <f t="shared" si="37"/>
        <v>0</v>
      </c>
      <c r="EN42" s="164"/>
      <c r="EO42" s="181">
        <f t="shared" si="38"/>
        <v>0</v>
      </c>
      <c r="EP42" s="183">
        <f t="shared" si="39"/>
        <v>0</v>
      </c>
      <c r="EQ42" s="184" t="e">
        <f t="shared" si="40"/>
        <v>#DIV/0!</v>
      </c>
      <c r="ER42" s="185">
        <f t="shared" si="41"/>
        <v>0</v>
      </c>
      <c r="ES42" s="164"/>
      <c r="ET42" s="164"/>
      <c r="EU42" s="186">
        <f t="shared" si="42"/>
        <v>0</v>
      </c>
      <c r="EV42" s="186">
        <f t="shared" si="43"/>
        <v>0</v>
      </c>
      <c r="EW42" s="186">
        <f t="shared" si="44"/>
        <v>0</v>
      </c>
      <c r="EX42" s="186">
        <f t="shared" si="45"/>
        <v>0</v>
      </c>
      <c r="EY42" s="131"/>
      <c r="EZ42" s="187">
        <f t="shared" si="46"/>
        <v>0</v>
      </c>
      <c r="FA42" s="188" t="e">
        <f t="shared" si="47"/>
        <v>#DIV/0!</v>
      </c>
      <c r="FB42" s="189"/>
      <c r="FC42" s="131"/>
      <c r="FD42" s="131"/>
      <c r="FE42" s="131"/>
      <c r="FF42" s="131"/>
      <c r="FG42" s="131"/>
    </row>
    <row r="43" spans="2:163" ht="16" outlineLevel="1" thickBot="1" x14ac:dyDescent="0.4">
      <c r="B43" s="358"/>
      <c r="C43" s="355"/>
      <c r="D43" s="204"/>
      <c r="E43" s="205"/>
      <c r="F43" s="135"/>
      <c r="G43" s="206"/>
      <c r="H43" s="207"/>
      <c r="I43" s="138">
        <f t="shared" si="0"/>
        <v>0</v>
      </c>
      <c r="J43" s="139"/>
      <c r="K43" s="208">
        <f t="shared" si="49"/>
        <v>0</v>
      </c>
      <c r="L43" s="141"/>
      <c r="M43" s="209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09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1"/>
      <c r="AN43" s="212">
        <f t="shared" si="2"/>
        <v>0</v>
      </c>
      <c r="AO43" s="146"/>
      <c r="AP43" s="147">
        <f t="shared" si="3"/>
        <v>0</v>
      </c>
      <c r="AQ43" s="148"/>
      <c r="AR43" s="213"/>
      <c r="AS43" s="213"/>
      <c r="AT43" s="135"/>
      <c r="AU43" s="214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4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7"/>
      <c r="CD43" s="214"/>
      <c r="CE43" s="209"/>
      <c r="CF43" s="210"/>
      <c r="CG43" s="210"/>
      <c r="CH43" s="210"/>
      <c r="CI43" s="210"/>
      <c r="CJ43" s="210"/>
      <c r="CK43" s="210"/>
      <c r="CL43" s="210"/>
      <c r="CM43" s="210"/>
      <c r="CN43" s="210"/>
      <c r="CO43" s="348"/>
      <c r="CP43" s="215"/>
      <c r="CQ43" s="216"/>
      <c r="CR43" s="217"/>
      <c r="CS43" s="218">
        <f t="shared" si="48"/>
        <v>0</v>
      </c>
      <c r="CT43" s="146"/>
      <c r="CU43" s="147">
        <f t="shared" si="4"/>
        <v>0</v>
      </c>
      <c r="CV43" s="156"/>
      <c r="CW43" s="157" t="e">
        <f t="shared" si="5"/>
        <v>#DIV/0!</v>
      </c>
      <c r="CX43" s="157" t="e">
        <f t="shared" si="6"/>
        <v>#DIV/0!</v>
      </c>
      <c r="CY43" s="157" t="e">
        <f t="shared" si="7"/>
        <v>#DIV/0!</v>
      </c>
      <c r="CZ43" s="157" t="e">
        <f t="shared" si="8"/>
        <v>#DIV/0!</v>
      </c>
      <c r="DA43" s="157" t="e">
        <f t="shared" si="9"/>
        <v>#DIV/0!</v>
      </c>
      <c r="DB43" s="158" t="e">
        <f t="shared" si="10"/>
        <v>#DIV/0!</v>
      </c>
      <c r="DC43" s="131"/>
      <c r="DD43" s="159">
        <f t="shared" si="11"/>
        <v>0</v>
      </c>
      <c r="DE43" s="160">
        <f t="shared" si="12"/>
        <v>0</v>
      </c>
      <c r="DF43" s="161">
        <f t="shared" si="13"/>
        <v>0</v>
      </c>
      <c r="DG43" s="162" t="e">
        <f t="shared" si="14"/>
        <v>#DIV/0!</v>
      </c>
      <c r="DH43" s="163">
        <f t="shared" si="15"/>
        <v>0</v>
      </c>
      <c r="DI43" s="164"/>
      <c r="DJ43" s="165">
        <f t="shared" si="50"/>
        <v>0</v>
      </c>
      <c r="DK43" s="166">
        <f t="shared" si="50"/>
        <v>0</v>
      </c>
      <c r="DL43" s="167" t="e">
        <f t="shared" si="17"/>
        <v>#DIV/0!</v>
      </c>
      <c r="DM43" s="168" t="e">
        <f t="shared" si="18"/>
        <v>#DIV/0!</v>
      </c>
      <c r="DN43" s="163" t="e">
        <f t="shared" si="19"/>
        <v>#DIV/0!</v>
      </c>
      <c r="DO43" s="169"/>
      <c r="DP43" s="170"/>
      <c r="DQ43" s="171"/>
      <c r="DR43" s="172">
        <f t="shared" si="20"/>
        <v>0</v>
      </c>
      <c r="DS43" s="173" t="e">
        <f t="shared" si="21"/>
        <v>#DIV/0!</v>
      </c>
      <c r="DT43" s="163" t="e">
        <f t="shared" si="22"/>
        <v>#DIV/0!</v>
      </c>
      <c r="DU43" s="174"/>
      <c r="DV43" s="175" t="e">
        <f t="shared" si="23"/>
        <v>#DIV/0!</v>
      </c>
      <c r="DW43" s="163">
        <f t="shared" si="24"/>
        <v>0</v>
      </c>
      <c r="DX43" s="164"/>
      <c r="DY43" s="176">
        <f t="shared" si="25"/>
        <v>0</v>
      </c>
      <c r="DZ43" s="177">
        <f t="shared" si="26"/>
        <v>0</v>
      </c>
      <c r="EA43" s="178">
        <f t="shared" si="27"/>
        <v>0</v>
      </c>
      <c r="EB43" s="179">
        <f t="shared" si="28"/>
        <v>0</v>
      </c>
      <c r="EC43" s="180"/>
      <c r="ED43" s="175" t="e">
        <f t="shared" si="29"/>
        <v>#DIV/0!</v>
      </c>
      <c r="EE43" s="163">
        <f t="shared" si="30"/>
        <v>0</v>
      </c>
      <c r="EF43" s="164"/>
      <c r="EG43" s="181">
        <f t="shared" si="31"/>
        <v>0</v>
      </c>
      <c r="EH43" s="182">
        <f t="shared" si="32"/>
        <v>0</v>
      </c>
      <c r="EI43" s="182">
        <f t="shared" si="33"/>
        <v>0</v>
      </c>
      <c r="EJ43" s="182">
        <f t="shared" si="34"/>
        <v>0</v>
      </c>
      <c r="EK43" s="183">
        <f t="shared" si="35"/>
        <v>0</v>
      </c>
      <c r="EL43" s="184" t="e">
        <f t="shared" si="36"/>
        <v>#DIV/0!</v>
      </c>
      <c r="EM43" s="185">
        <f t="shared" si="37"/>
        <v>0</v>
      </c>
      <c r="EN43" s="164"/>
      <c r="EO43" s="181">
        <f t="shared" si="38"/>
        <v>0</v>
      </c>
      <c r="EP43" s="183">
        <f t="shared" si="39"/>
        <v>0</v>
      </c>
      <c r="EQ43" s="184" t="e">
        <f t="shared" si="40"/>
        <v>#DIV/0!</v>
      </c>
      <c r="ER43" s="185">
        <f t="shared" si="41"/>
        <v>0</v>
      </c>
      <c r="ES43" s="164"/>
      <c r="ET43" s="164"/>
      <c r="EU43" s="186">
        <f t="shared" si="42"/>
        <v>0</v>
      </c>
      <c r="EV43" s="186">
        <f t="shared" si="43"/>
        <v>0</v>
      </c>
      <c r="EW43" s="186">
        <f t="shared" si="44"/>
        <v>0</v>
      </c>
      <c r="EX43" s="186">
        <f t="shared" si="45"/>
        <v>0</v>
      </c>
      <c r="EY43" s="131"/>
      <c r="EZ43" s="187">
        <f t="shared" si="46"/>
        <v>0</v>
      </c>
      <c r="FA43" s="188" t="e">
        <f t="shared" si="47"/>
        <v>#DIV/0!</v>
      </c>
      <c r="FB43" s="189"/>
      <c r="FC43" s="131"/>
      <c r="FD43" s="131"/>
      <c r="FE43" s="131"/>
      <c r="FF43" s="131"/>
      <c r="FG43" s="131"/>
    </row>
    <row r="44" spans="2:163" s="169" customFormat="1" ht="18" customHeight="1" outlineLevel="1" thickBot="1" x14ac:dyDescent="0.4">
      <c r="B44" s="356"/>
      <c r="C44" s="353"/>
      <c r="D44" s="133"/>
      <c r="E44" s="134"/>
      <c r="F44" s="135"/>
      <c r="G44" s="136"/>
      <c r="H44" s="137"/>
      <c r="I44" s="138">
        <f t="shared" si="0"/>
        <v>0</v>
      </c>
      <c r="J44" s="139"/>
      <c r="K44" s="140">
        <f t="shared" si="49"/>
        <v>0</v>
      </c>
      <c r="L44" s="141"/>
      <c r="M44" s="142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2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5">
        <f t="shared" si="2"/>
        <v>0</v>
      </c>
      <c r="AO44" s="146"/>
      <c r="AP44" s="147">
        <f t="shared" si="3"/>
        <v>0</v>
      </c>
      <c r="AQ44" s="148"/>
      <c r="AR44" s="149"/>
      <c r="AS44" s="149"/>
      <c r="AT44" s="135"/>
      <c r="AU44" s="150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0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4"/>
      <c r="CD44" s="150"/>
      <c r="CE44" s="142"/>
      <c r="CF44" s="143"/>
      <c r="CG44" s="143"/>
      <c r="CH44" s="143"/>
      <c r="CI44" s="143"/>
      <c r="CJ44" s="143"/>
      <c r="CK44" s="143"/>
      <c r="CL44" s="143"/>
      <c r="CM44" s="143"/>
      <c r="CN44" s="143"/>
      <c r="CO44" s="346"/>
      <c r="CP44" s="151"/>
      <c r="CQ44" s="152"/>
      <c r="CR44" s="154"/>
      <c r="CS44" s="155">
        <f t="shared" si="48"/>
        <v>0</v>
      </c>
      <c r="CT44" s="146"/>
      <c r="CU44" s="147">
        <f t="shared" si="4"/>
        <v>0</v>
      </c>
      <c r="CV44" s="156"/>
      <c r="CW44" s="157" t="e">
        <f t="shared" si="5"/>
        <v>#DIV/0!</v>
      </c>
      <c r="CX44" s="157" t="e">
        <f t="shared" si="6"/>
        <v>#DIV/0!</v>
      </c>
      <c r="CY44" s="157" t="e">
        <f t="shared" si="7"/>
        <v>#DIV/0!</v>
      </c>
      <c r="CZ44" s="157" t="e">
        <f t="shared" si="8"/>
        <v>#DIV/0!</v>
      </c>
      <c r="DA44" s="157" t="e">
        <f t="shared" si="9"/>
        <v>#DIV/0!</v>
      </c>
      <c r="DB44" s="158" t="e">
        <f t="shared" si="10"/>
        <v>#DIV/0!</v>
      </c>
      <c r="DC44" s="131"/>
      <c r="DD44" s="159">
        <f t="shared" si="11"/>
        <v>0</v>
      </c>
      <c r="DE44" s="160">
        <f t="shared" si="12"/>
        <v>0</v>
      </c>
      <c r="DF44" s="161">
        <f t="shared" si="13"/>
        <v>0</v>
      </c>
      <c r="DG44" s="162" t="e">
        <f t="shared" si="14"/>
        <v>#DIV/0!</v>
      </c>
      <c r="DH44" s="163">
        <f t="shared" si="15"/>
        <v>0</v>
      </c>
      <c r="DI44" s="164"/>
      <c r="DJ44" s="165">
        <f t="shared" si="50"/>
        <v>0</v>
      </c>
      <c r="DK44" s="166">
        <f t="shared" si="50"/>
        <v>0</v>
      </c>
      <c r="DL44" s="167" t="e">
        <f t="shared" si="17"/>
        <v>#DIV/0!</v>
      </c>
      <c r="DM44" s="168" t="e">
        <f t="shared" si="18"/>
        <v>#DIV/0!</v>
      </c>
      <c r="DN44" s="163" t="e">
        <f t="shared" si="19"/>
        <v>#DIV/0!</v>
      </c>
      <c r="DP44" s="170"/>
      <c r="DQ44" s="171"/>
      <c r="DR44" s="172">
        <f t="shared" si="20"/>
        <v>0</v>
      </c>
      <c r="DS44" s="173" t="e">
        <f t="shared" si="21"/>
        <v>#DIV/0!</v>
      </c>
      <c r="DT44" s="163" t="e">
        <f t="shared" si="22"/>
        <v>#DIV/0!</v>
      </c>
      <c r="DU44" s="174"/>
      <c r="DV44" s="175" t="e">
        <f t="shared" si="23"/>
        <v>#DIV/0!</v>
      </c>
      <c r="DW44" s="163">
        <f t="shared" si="24"/>
        <v>0</v>
      </c>
      <c r="DX44" s="164"/>
      <c r="DY44" s="176">
        <f t="shared" si="25"/>
        <v>0</v>
      </c>
      <c r="DZ44" s="177">
        <f t="shared" si="26"/>
        <v>0</v>
      </c>
      <c r="EA44" s="178">
        <f t="shared" si="27"/>
        <v>0</v>
      </c>
      <c r="EB44" s="179">
        <f t="shared" si="28"/>
        <v>0</v>
      </c>
      <c r="EC44" s="180"/>
      <c r="ED44" s="175" t="e">
        <f t="shared" si="29"/>
        <v>#DIV/0!</v>
      </c>
      <c r="EE44" s="163">
        <f t="shared" si="30"/>
        <v>0</v>
      </c>
      <c r="EF44" s="164"/>
      <c r="EG44" s="181">
        <f t="shared" si="31"/>
        <v>0</v>
      </c>
      <c r="EH44" s="182">
        <f t="shared" si="32"/>
        <v>0</v>
      </c>
      <c r="EI44" s="182">
        <f t="shared" si="33"/>
        <v>0</v>
      </c>
      <c r="EJ44" s="182">
        <f t="shared" si="34"/>
        <v>0</v>
      </c>
      <c r="EK44" s="183">
        <f t="shared" si="35"/>
        <v>0</v>
      </c>
      <c r="EL44" s="184" t="e">
        <f t="shared" si="36"/>
        <v>#DIV/0!</v>
      </c>
      <c r="EM44" s="185">
        <f t="shared" si="37"/>
        <v>0</v>
      </c>
      <c r="EN44" s="164"/>
      <c r="EO44" s="181">
        <f t="shared" si="38"/>
        <v>0</v>
      </c>
      <c r="EP44" s="183">
        <f t="shared" si="39"/>
        <v>0</v>
      </c>
      <c r="EQ44" s="184" t="e">
        <f t="shared" si="40"/>
        <v>#DIV/0!</v>
      </c>
      <c r="ER44" s="185">
        <f t="shared" si="41"/>
        <v>0</v>
      </c>
      <c r="ES44" s="164"/>
      <c r="ET44" s="164"/>
      <c r="EU44" s="186">
        <f t="shared" si="42"/>
        <v>0</v>
      </c>
      <c r="EV44" s="186">
        <f t="shared" si="43"/>
        <v>0</v>
      </c>
      <c r="EW44" s="186">
        <f t="shared" si="44"/>
        <v>0</v>
      </c>
      <c r="EX44" s="186">
        <f t="shared" si="45"/>
        <v>0</v>
      </c>
      <c r="EY44" s="131"/>
      <c r="EZ44" s="187">
        <f t="shared" si="46"/>
        <v>0</v>
      </c>
      <c r="FA44" s="188" t="e">
        <f t="shared" si="47"/>
        <v>#DIV/0!</v>
      </c>
      <c r="FB44" s="189"/>
      <c r="FC44" s="131"/>
      <c r="FD44" s="131"/>
      <c r="FE44" s="131"/>
      <c r="FF44" s="131"/>
      <c r="FG44" s="131"/>
    </row>
    <row r="45" spans="2:163" s="169" customFormat="1" ht="16" outlineLevel="1" thickBot="1" x14ac:dyDescent="0.4">
      <c r="B45" s="357"/>
      <c r="C45" s="354"/>
      <c r="D45" s="190"/>
      <c r="E45" s="191"/>
      <c r="F45" s="135"/>
      <c r="G45" s="192"/>
      <c r="H45" s="137"/>
      <c r="I45" s="138">
        <f t="shared" si="0"/>
        <v>0</v>
      </c>
      <c r="J45" s="139"/>
      <c r="K45" s="193">
        <f t="shared" si="49"/>
        <v>0</v>
      </c>
      <c r="L45" s="141"/>
      <c r="M45" s="194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4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6"/>
      <c r="AN45" s="197">
        <f t="shared" si="2"/>
        <v>0</v>
      </c>
      <c r="AO45" s="146"/>
      <c r="AP45" s="147">
        <f t="shared" si="3"/>
        <v>0</v>
      </c>
      <c r="AQ45" s="148"/>
      <c r="AR45" s="198"/>
      <c r="AS45" s="198"/>
      <c r="AT45" s="135"/>
      <c r="AU45" s="199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1"/>
      <c r="BG45" s="201"/>
      <c r="BH45" s="201"/>
      <c r="BI45" s="201"/>
      <c r="BJ45" s="201"/>
      <c r="BK45" s="201"/>
      <c r="BL45" s="201"/>
      <c r="BM45" s="201"/>
      <c r="BN45" s="201"/>
      <c r="BO45" s="201"/>
      <c r="BP45" s="201"/>
      <c r="BQ45" s="201"/>
      <c r="BR45" s="199"/>
      <c r="BS45" s="200"/>
      <c r="BT45" s="200"/>
      <c r="BU45" s="200"/>
      <c r="BV45" s="200"/>
      <c r="BW45" s="200"/>
      <c r="BX45" s="200"/>
      <c r="BY45" s="200"/>
      <c r="BZ45" s="200"/>
      <c r="CA45" s="200"/>
      <c r="CB45" s="200"/>
      <c r="CC45" s="202"/>
      <c r="CD45" s="199"/>
      <c r="CE45" s="194"/>
      <c r="CF45" s="195"/>
      <c r="CG45" s="195"/>
      <c r="CH45" s="195"/>
      <c r="CI45" s="195"/>
      <c r="CJ45" s="195"/>
      <c r="CK45" s="195"/>
      <c r="CL45" s="195"/>
      <c r="CM45" s="195"/>
      <c r="CN45" s="195"/>
      <c r="CO45" s="347"/>
      <c r="CP45" s="200"/>
      <c r="CQ45" s="201"/>
      <c r="CR45" s="202"/>
      <c r="CS45" s="203">
        <f t="shared" si="48"/>
        <v>0</v>
      </c>
      <c r="CT45" s="146"/>
      <c r="CU45" s="147">
        <f t="shared" si="4"/>
        <v>0</v>
      </c>
      <c r="CV45" s="156"/>
      <c r="CW45" s="157" t="e">
        <f t="shared" si="5"/>
        <v>#DIV/0!</v>
      </c>
      <c r="CX45" s="157" t="e">
        <f t="shared" si="6"/>
        <v>#DIV/0!</v>
      </c>
      <c r="CY45" s="157" t="e">
        <f t="shared" si="7"/>
        <v>#DIV/0!</v>
      </c>
      <c r="CZ45" s="157" t="e">
        <f t="shared" si="8"/>
        <v>#DIV/0!</v>
      </c>
      <c r="DA45" s="157" t="e">
        <f t="shared" si="9"/>
        <v>#DIV/0!</v>
      </c>
      <c r="DB45" s="158" t="e">
        <f t="shared" si="10"/>
        <v>#DIV/0!</v>
      </c>
      <c r="DC45" s="131"/>
      <c r="DD45" s="159">
        <f t="shared" si="11"/>
        <v>0</v>
      </c>
      <c r="DE45" s="160">
        <f t="shared" si="12"/>
        <v>0</v>
      </c>
      <c r="DF45" s="161">
        <f t="shared" si="13"/>
        <v>0</v>
      </c>
      <c r="DG45" s="162" t="e">
        <f t="shared" si="14"/>
        <v>#DIV/0!</v>
      </c>
      <c r="DH45" s="163">
        <f t="shared" si="15"/>
        <v>0</v>
      </c>
      <c r="DI45" s="164"/>
      <c r="DJ45" s="165">
        <f t="shared" si="50"/>
        <v>0</v>
      </c>
      <c r="DK45" s="166">
        <f t="shared" si="50"/>
        <v>0</v>
      </c>
      <c r="DL45" s="167" t="e">
        <f t="shared" si="17"/>
        <v>#DIV/0!</v>
      </c>
      <c r="DM45" s="168" t="e">
        <f t="shared" si="18"/>
        <v>#DIV/0!</v>
      </c>
      <c r="DN45" s="163" t="e">
        <f t="shared" si="19"/>
        <v>#DIV/0!</v>
      </c>
      <c r="DP45" s="170"/>
      <c r="DQ45" s="171"/>
      <c r="DR45" s="172">
        <f t="shared" si="20"/>
        <v>0</v>
      </c>
      <c r="DS45" s="173" t="e">
        <f t="shared" si="21"/>
        <v>#DIV/0!</v>
      </c>
      <c r="DT45" s="163" t="e">
        <f t="shared" si="22"/>
        <v>#DIV/0!</v>
      </c>
      <c r="DU45" s="174"/>
      <c r="DV45" s="175" t="e">
        <f t="shared" si="23"/>
        <v>#DIV/0!</v>
      </c>
      <c r="DW45" s="163">
        <f t="shared" si="24"/>
        <v>0</v>
      </c>
      <c r="DX45" s="164"/>
      <c r="DY45" s="176">
        <f t="shared" si="25"/>
        <v>0</v>
      </c>
      <c r="DZ45" s="177">
        <f t="shared" si="26"/>
        <v>0</v>
      </c>
      <c r="EA45" s="178">
        <f t="shared" si="27"/>
        <v>0</v>
      </c>
      <c r="EB45" s="179">
        <f t="shared" si="28"/>
        <v>0</v>
      </c>
      <c r="EC45" s="180"/>
      <c r="ED45" s="175" t="e">
        <f t="shared" si="29"/>
        <v>#DIV/0!</v>
      </c>
      <c r="EE45" s="163">
        <f t="shared" si="30"/>
        <v>0</v>
      </c>
      <c r="EF45" s="164"/>
      <c r="EG45" s="181">
        <f t="shared" si="31"/>
        <v>0</v>
      </c>
      <c r="EH45" s="182">
        <f t="shared" si="32"/>
        <v>0</v>
      </c>
      <c r="EI45" s="182">
        <f t="shared" si="33"/>
        <v>0</v>
      </c>
      <c r="EJ45" s="182">
        <f t="shared" si="34"/>
        <v>0</v>
      </c>
      <c r="EK45" s="183">
        <f t="shared" si="35"/>
        <v>0</v>
      </c>
      <c r="EL45" s="184" t="e">
        <f t="shared" si="36"/>
        <v>#DIV/0!</v>
      </c>
      <c r="EM45" s="185">
        <f t="shared" si="37"/>
        <v>0</v>
      </c>
      <c r="EN45" s="164"/>
      <c r="EO45" s="181">
        <f t="shared" si="38"/>
        <v>0</v>
      </c>
      <c r="EP45" s="183">
        <f t="shared" si="39"/>
        <v>0</v>
      </c>
      <c r="EQ45" s="184" t="e">
        <f t="shared" si="40"/>
        <v>#DIV/0!</v>
      </c>
      <c r="ER45" s="185">
        <f t="shared" si="41"/>
        <v>0</v>
      </c>
      <c r="ES45" s="164"/>
      <c r="ET45" s="164"/>
      <c r="EU45" s="186">
        <f t="shared" si="42"/>
        <v>0</v>
      </c>
      <c r="EV45" s="186">
        <f t="shared" si="43"/>
        <v>0</v>
      </c>
      <c r="EW45" s="186">
        <f t="shared" si="44"/>
        <v>0</v>
      </c>
      <c r="EX45" s="186">
        <f t="shared" si="45"/>
        <v>0</v>
      </c>
      <c r="EY45" s="131"/>
      <c r="EZ45" s="187">
        <f t="shared" si="46"/>
        <v>0</v>
      </c>
      <c r="FA45" s="188" t="e">
        <f t="shared" si="47"/>
        <v>#DIV/0!</v>
      </c>
      <c r="FB45" s="189"/>
      <c r="FC45" s="131"/>
      <c r="FD45" s="131"/>
      <c r="FE45" s="131"/>
      <c r="FF45" s="131"/>
      <c r="FG45" s="131"/>
    </row>
    <row r="46" spans="2:163" s="169" customFormat="1" ht="16" outlineLevel="1" thickBot="1" x14ac:dyDescent="0.4">
      <c r="B46" s="358"/>
      <c r="C46" s="355"/>
      <c r="D46" s="204"/>
      <c r="E46" s="205"/>
      <c r="F46" s="135"/>
      <c r="G46" s="206"/>
      <c r="H46" s="207"/>
      <c r="I46" s="138">
        <f t="shared" si="0"/>
        <v>0</v>
      </c>
      <c r="J46" s="139"/>
      <c r="K46" s="208">
        <f t="shared" si="49"/>
        <v>0</v>
      </c>
      <c r="L46" s="141"/>
      <c r="M46" s="209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09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1"/>
      <c r="AN46" s="212">
        <f t="shared" si="2"/>
        <v>0</v>
      </c>
      <c r="AO46" s="146"/>
      <c r="AP46" s="147">
        <f t="shared" si="3"/>
        <v>0</v>
      </c>
      <c r="AQ46" s="148"/>
      <c r="AR46" s="213"/>
      <c r="AS46" s="213"/>
      <c r="AT46" s="135"/>
      <c r="AU46" s="214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6"/>
      <c r="BG46" s="216"/>
      <c r="BH46" s="216"/>
      <c r="BI46" s="216"/>
      <c r="BJ46" s="216"/>
      <c r="BK46" s="216"/>
      <c r="BL46" s="216"/>
      <c r="BM46" s="216"/>
      <c r="BN46" s="216"/>
      <c r="BO46" s="216"/>
      <c r="BP46" s="216"/>
      <c r="BQ46" s="216"/>
      <c r="BR46" s="214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7"/>
      <c r="CD46" s="214"/>
      <c r="CE46" s="209"/>
      <c r="CF46" s="210"/>
      <c r="CG46" s="210"/>
      <c r="CH46" s="210"/>
      <c r="CI46" s="210"/>
      <c r="CJ46" s="210"/>
      <c r="CK46" s="210"/>
      <c r="CL46" s="210"/>
      <c r="CM46" s="210"/>
      <c r="CN46" s="210"/>
      <c r="CO46" s="348"/>
      <c r="CP46" s="215"/>
      <c r="CQ46" s="216"/>
      <c r="CR46" s="217"/>
      <c r="CS46" s="218">
        <f t="shared" si="48"/>
        <v>0</v>
      </c>
      <c r="CT46" s="146"/>
      <c r="CU46" s="147">
        <f t="shared" si="4"/>
        <v>0</v>
      </c>
      <c r="CV46" s="156"/>
      <c r="CW46" s="157" t="e">
        <f t="shared" si="5"/>
        <v>#DIV/0!</v>
      </c>
      <c r="CX46" s="157" t="e">
        <f t="shared" si="6"/>
        <v>#DIV/0!</v>
      </c>
      <c r="CY46" s="157" t="e">
        <f t="shared" si="7"/>
        <v>#DIV/0!</v>
      </c>
      <c r="CZ46" s="157" t="e">
        <f t="shared" si="8"/>
        <v>#DIV/0!</v>
      </c>
      <c r="DA46" s="157" t="e">
        <f t="shared" si="9"/>
        <v>#DIV/0!</v>
      </c>
      <c r="DB46" s="158" t="e">
        <f t="shared" si="10"/>
        <v>#DIV/0!</v>
      </c>
      <c r="DC46" s="131"/>
      <c r="DD46" s="159">
        <f t="shared" si="11"/>
        <v>0</v>
      </c>
      <c r="DE46" s="160">
        <f t="shared" si="12"/>
        <v>0</v>
      </c>
      <c r="DF46" s="161">
        <f t="shared" si="13"/>
        <v>0</v>
      </c>
      <c r="DG46" s="162" t="e">
        <f t="shared" si="14"/>
        <v>#DIV/0!</v>
      </c>
      <c r="DH46" s="163">
        <f t="shared" si="15"/>
        <v>0</v>
      </c>
      <c r="DI46" s="164"/>
      <c r="DJ46" s="165">
        <f t="shared" si="50"/>
        <v>0</v>
      </c>
      <c r="DK46" s="166">
        <f t="shared" si="50"/>
        <v>0</v>
      </c>
      <c r="DL46" s="167" t="e">
        <f t="shared" si="17"/>
        <v>#DIV/0!</v>
      </c>
      <c r="DM46" s="168" t="e">
        <f t="shared" si="18"/>
        <v>#DIV/0!</v>
      </c>
      <c r="DN46" s="163" t="e">
        <f t="shared" si="19"/>
        <v>#DIV/0!</v>
      </c>
      <c r="DP46" s="170"/>
      <c r="DQ46" s="171"/>
      <c r="DR46" s="172">
        <f t="shared" si="20"/>
        <v>0</v>
      </c>
      <c r="DS46" s="173" t="e">
        <f t="shared" si="21"/>
        <v>#DIV/0!</v>
      </c>
      <c r="DT46" s="163" t="e">
        <f t="shared" si="22"/>
        <v>#DIV/0!</v>
      </c>
      <c r="DU46" s="174"/>
      <c r="DV46" s="175" t="e">
        <f t="shared" si="23"/>
        <v>#DIV/0!</v>
      </c>
      <c r="DW46" s="163">
        <f t="shared" si="24"/>
        <v>0</v>
      </c>
      <c r="DX46" s="164"/>
      <c r="DY46" s="176">
        <f t="shared" si="25"/>
        <v>0</v>
      </c>
      <c r="DZ46" s="177">
        <f t="shared" si="26"/>
        <v>0</v>
      </c>
      <c r="EA46" s="178">
        <f t="shared" si="27"/>
        <v>0</v>
      </c>
      <c r="EB46" s="179">
        <f t="shared" si="28"/>
        <v>0</v>
      </c>
      <c r="EC46" s="180"/>
      <c r="ED46" s="175" t="e">
        <f t="shared" si="29"/>
        <v>#DIV/0!</v>
      </c>
      <c r="EE46" s="163">
        <f t="shared" si="30"/>
        <v>0</v>
      </c>
      <c r="EF46" s="164"/>
      <c r="EG46" s="181">
        <f t="shared" si="31"/>
        <v>0</v>
      </c>
      <c r="EH46" s="182">
        <f t="shared" si="32"/>
        <v>0</v>
      </c>
      <c r="EI46" s="182">
        <f t="shared" si="33"/>
        <v>0</v>
      </c>
      <c r="EJ46" s="182">
        <f t="shared" si="34"/>
        <v>0</v>
      </c>
      <c r="EK46" s="183">
        <f t="shared" si="35"/>
        <v>0</v>
      </c>
      <c r="EL46" s="184" t="e">
        <f t="shared" si="36"/>
        <v>#DIV/0!</v>
      </c>
      <c r="EM46" s="185">
        <f t="shared" si="37"/>
        <v>0</v>
      </c>
      <c r="EN46" s="164"/>
      <c r="EO46" s="181">
        <f t="shared" si="38"/>
        <v>0</v>
      </c>
      <c r="EP46" s="183">
        <f t="shared" si="39"/>
        <v>0</v>
      </c>
      <c r="EQ46" s="184" t="e">
        <f t="shared" si="40"/>
        <v>#DIV/0!</v>
      </c>
      <c r="ER46" s="185">
        <f t="shared" si="41"/>
        <v>0</v>
      </c>
      <c r="ES46" s="164"/>
      <c r="ET46" s="164"/>
      <c r="EU46" s="186">
        <f t="shared" si="42"/>
        <v>0</v>
      </c>
      <c r="EV46" s="186">
        <f t="shared" si="43"/>
        <v>0</v>
      </c>
      <c r="EW46" s="186">
        <f t="shared" si="44"/>
        <v>0</v>
      </c>
      <c r="EX46" s="186">
        <f t="shared" si="45"/>
        <v>0</v>
      </c>
      <c r="EY46" s="131"/>
      <c r="EZ46" s="187">
        <f t="shared" si="46"/>
        <v>0</v>
      </c>
      <c r="FA46" s="188" t="e">
        <f t="shared" si="47"/>
        <v>#DIV/0!</v>
      </c>
      <c r="FB46" s="189"/>
      <c r="FC46" s="131"/>
      <c r="FD46" s="131"/>
      <c r="FE46" s="131"/>
      <c r="FF46" s="131"/>
      <c r="FG46" s="131"/>
    </row>
    <row r="47" spans="2:163" ht="16" outlineLevel="1" thickBot="1" x14ac:dyDescent="0.4">
      <c r="B47" s="356"/>
      <c r="C47" s="353"/>
      <c r="D47" s="133"/>
      <c r="E47" s="134"/>
      <c r="F47" s="135"/>
      <c r="G47" s="136"/>
      <c r="H47" s="137"/>
      <c r="I47" s="138">
        <f>IF(E47&gt;0.0001,11,0)</f>
        <v>0</v>
      </c>
      <c r="J47" s="139"/>
      <c r="K47" s="140">
        <f t="shared" si="49"/>
        <v>0</v>
      </c>
      <c r="L47" s="141"/>
      <c r="M47" s="142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2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4"/>
      <c r="AN47" s="145">
        <f t="shared" si="2"/>
        <v>0</v>
      </c>
      <c r="AO47" s="146"/>
      <c r="AP47" s="147">
        <f t="shared" si="3"/>
        <v>0</v>
      </c>
      <c r="AQ47" s="148"/>
      <c r="AR47" s="149"/>
      <c r="AS47" s="149"/>
      <c r="AT47" s="135"/>
      <c r="AU47" s="150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0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4"/>
      <c r="CD47" s="150"/>
      <c r="CE47" s="142"/>
      <c r="CF47" s="143"/>
      <c r="CG47" s="143"/>
      <c r="CH47" s="143"/>
      <c r="CI47" s="143"/>
      <c r="CJ47" s="143"/>
      <c r="CK47" s="143"/>
      <c r="CL47" s="143"/>
      <c r="CM47" s="143"/>
      <c r="CN47" s="143"/>
      <c r="CO47" s="346"/>
      <c r="CP47" s="151"/>
      <c r="CQ47" s="152"/>
      <c r="CR47" s="154"/>
      <c r="CS47" s="155">
        <f t="shared" si="48"/>
        <v>0</v>
      </c>
      <c r="CT47" s="146"/>
      <c r="CU47" s="147">
        <f t="shared" si="4"/>
        <v>0</v>
      </c>
      <c r="CV47" s="156"/>
      <c r="CW47" s="157" t="e">
        <f t="shared" si="5"/>
        <v>#DIV/0!</v>
      </c>
      <c r="CX47" s="157" t="e">
        <f t="shared" si="6"/>
        <v>#DIV/0!</v>
      </c>
      <c r="CY47" s="157" t="e">
        <f t="shared" si="7"/>
        <v>#DIV/0!</v>
      </c>
      <c r="CZ47" s="157" t="e">
        <f t="shared" si="8"/>
        <v>#DIV/0!</v>
      </c>
      <c r="DA47" s="157" t="e">
        <f t="shared" si="9"/>
        <v>#DIV/0!</v>
      </c>
      <c r="DB47" s="158" t="e">
        <f t="shared" si="10"/>
        <v>#DIV/0!</v>
      </c>
      <c r="DC47" s="131"/>
      <c r="DD47" s="159">
        <f t="shared" si="11"/>
        <v>0</v>
      </c>
      <c r="DE47" s="160">
        <f t="shared" si="12"/>
        <v>0</v>
      </c>
      <c r="DF47" s="161">
        <f t="shared" si="13"/>
        <v>0</v>
      </c>
      <c r="DG47" s="162" t="e">
        <f t="shared" si="14"/>
        <v>#DIV/0!</v>
      </c>
      <c r="DH47" s="163">
        <f t="shared" si="15"/>
        <v>0</v>
      </c>
      <c r="DI47" s="164"/>
      <c r="DJ47" s="165">
        <f t="shared" si="50"/>
        <v>0</v>
      </c>
      <c r="DK47" s="166">
        <f t="shared" si="50"/>
        <v>0</v>
      </c>
      <c r="DL47" s="167" t="e">
        <f t="shared" si="17"/>
        <v>#DIV/0!</v>
      </c>
      <c r="DM47" s="168" t="e">
        <f t="shared" si="18"/>
        <v>#DIV/0!</v>
      </c>
      <c r="DN47" s="163" t="e">
        <f t="shared" si="19"/>
        <v>#DIV/0!</v>
      </c>
      <c r="DO47" s="169"/>
      <c r="DP47" s="170"/>
      <c r="DQ47" s="171"/>
      <c r="DR47" s="172">
        <f t="shared" si="20"/>
        <v>0</v>
      </c>
      <c r="DS47" s="173" t="e">
        <f t="shared" si="21"/>
        <v>#DIV/0!</v>
      </c>
      <c r="DT47" s="163" t="e">
        <f t="shared" si="22"/>
        <v>#DIV/0!</v>
      </c>
      <c r="DU47" s="174"/>
      <c r="DV47" s="175" t="e">
        <f t="shared" si="23"/>
        <v>#DIV/0!</v>
      </c>
      <c r="DW47" s="163">
        <f t="shared" si="24"/>
        <v>0</v>
      </c>
      <c r="DX47" s="164"/>
      <c r="DY47" s="176">
        <f t="shared" si="25"/>
        <v>0</v>
      </c>
      <c r="DZ47" s="177">
        <f t="shared" si="26"/>
        <v>0</v>
      </c>
      <c r="EA47" s="178">
        <f t="shared" si="27"/>
        <v>0</v>
      </c>
      <c r="EB47" s="179">
        <f t="shared" si="28"/>
        <v>0</v>
      </c>
      <c r="EC47" s="180"/>
      <c r="ED47" s="175" t="e">
        <f t="shared" si="29"/>
        <v>#DIV/0!</v>
      </c>
      <c r="EE47" s="163">
        <f t="shared" si="30"/>
        <v>0</v>
      </c>
      <c r="EF47" s="164"/>
      <c r="EG47" s="181">
        <f t="shared" si="31"/>
        <v>0</v>
      </c>
      <c r="EH47" s="182">
        <f t="shared" si="32"/>
        <v>0</v>
      </c>
      <c r="EI47" s="182">
        <f t="shared" si="33"/>
        <v>0</v>
      </c>
      <c r="EJ47" s="182">
        <f t="shared" si="34"/>
        <v>0</v>
      </c>
      <c r="EK47" s="183">
        <f t="shared" si="35"/>
        <v>0</v>
      </c>
      <c r="EL47" s="184" t="e">
        <f t="shared" si="36"/>
        <v>#DIV/0!</v>
      </c>
      <c r="EM47" s="185">
        <f t="shared" si="37"/>
        <v>0</v>
      </c>
      <c r="EN47" s="164"/>
      <c r="EO47" s="181">
        <f t="shared" si="38"/>
        <v>0</v>
      </c>
      <c r="EP47" s="183">
        <f t="shared" si="39"/>
        <v>0</v>
      </c>
      <c r="EQ47" s="184" t="e">
        <f t="shared" si="40"/>
        <v>#DIV/0!</v>
      </c>
      <c r="ER47" s="185">
        <f t="shared" si="41"/>
        <v>0</v>
      </c>
      <c r="ES47" s="164"/>
      <c r="ET47" s="164"/>
      <c r="EU47" s="186">
        <f t="shared" si="42"/>
        <v>0</v>
      </c>
      <c r="EV47" s="186">
        <f t="shared" si="43"/>
        <v>0</v>
      </c>
      <c r="EW47" s="186">
        <f t="shared" si="44"/>
        <v>0</v>
      </c>
      <c r="EX47" s="186">
        <f t="shared" si="45"/>
        <v>0</v>
      </c>
      <c r="EY47" s="131"/>
      <c r="EZ47" s="187">
        <f t="shared" si="46"/>
        <v>0</v>
      </c>
      <c r="FA47" s="188" t="e">
        <f t="shared" si="47"/>
        <v>#DIV/0!</v>
      </c>
      <c r="FB47" s="189"/>
      <c r="FC47" s="131"/>
      <c r="FD47" s="131"/>
      <c r="FE47" s="131"/>
      <c r="FF47" s="131"/>
      <c r="FG47" s="131"/>
    </row>
    <row r="48" spans="2:163" ht="16" outlineLevel="1" thickBot="1" x14ac:dyDescent="0.4">
      <c r="B48" s="357"/>
      <c r="C48" s="354"/>
      <c r="D48" s="190"/>
      <c r="E48" s="191"/>
      <c r="F48" s="135"/>
      <c r="G48" s="192"/>
      <c r="H48" s="137"/>
      <c r="I48" s="138">
        <f t="shared" si="0"/>
        <v>0</v>
      </c>
      <c r="J48" s="139"/>
      <c r="K48" s="193">
        <f t="shared" si="49"/>
        <v>0</v>
      </c>
      <c r="L48" s="141"/>
      <c r="M48" s="194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4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6"/>
      <c r="AN48" s="197">
        <f t="shared" si="2"/>
        <v>0</v>
      </c>
      <c r="AO48" s="146"/>
      <c r="AP48" s="147">
        <f t="shared" si="3"/>
        <v>0</v>
      </c>
      <c r="AQ48" s="148"/>
      <c r="AR48" s="198"/>
      <c r="AS48" s="198"/>
      <c r="AT48" s="135"/>
      <c r="AU48" s="199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199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2"/>
      <c r="CD48" s="199"/>
      <c r="CE48" s="194"/>
      <c r="CF48" s="195"/>
      <c r="CG48" s="195"/>
      <c r="CH48" s="195"/>
      <c r="CI48" s="195"/>
      <c r="CJ48" s="195"/>
      <c r="CK48" s="195"/>
      <c r="CL48" s="195"/>
      <c r="CM48" s="195"/>
      <c r="CN48" s="195"/>
      <c r="CO48" s="347"/>
      <c r="CP48" s="200"/>
      <c r="CQ48" s="201"/>
      <c r="CR48" s="202"/>
      <c r="CS48" s="203">
        <f t="shared" si="48"/>
        <v>0</v>
      </c>
      <c r="CT48" s="146"/>
      <c r="CU48" s="147">
        <f t="shared" si="4"/>
        <v>0</v>
      </c>
      <c r="CV48" s="156"/>
      <c r="CW48" s="157" t="e">
        <f t="shared" si="5"/>
        <v>#DIV/0!</v>
      </c>
      <c r="CX48" s="157" t="e">
        <f t="shared" si="6"/>
        <v>#DIV/0!</v>
      </c>
      <c r="CY48" s="157" t="e">
        <f t="shared" si="7"/>
        <v>#DIV/0!</v>
      </c>
      <c r="CZ48" s="157" t="e">
        <f t="shared" si="8"/>
        <v>#DIV/0!</v>
      </c>
      <c r="DA48" s="157" t="e">
        <f t="shared" si="9"/>
        <v>#DIV/0!</v>
      </c>
      <c r="DB48" s="158" t="e">
        <f t="shared" si="10"/>
        <v>#DIV/0!</v>
      </c>
      <c r="DC48" s="131"/>
      <c r="DD48" s="159">
        <f t="shared" si="11"/>
        <v>0</v>
      </c>
      <c r="DE48" s="160">
        <f t="shared" si="12"/>
        <v>0</v>
      </c>
      <c r="DF48" s="161">
        <f t="shared" si="13"/>
        <v>0</v>
      </c>
      <c r="DG48" s="162" t="e">
        <f t="shared" si="14"/>
        <v>#DIV/0!</v>
      </c>
      <c r="DH48" s="163">
        <f t="shared" si="15"/>
        <v>0</v>
      </c>
      <c r="DI48" s="164"/>
      <c r="DJ48" s="165">
        <f t="shared" si="50"/>
        <v>0</v>
      </c>
      <c r="DK48" s="166">
        <f t="shared" si="50"/>
        <v>0</v>
      </c>
      <c r="DL48" s="167" t="e">
        <f t="shared" si="17"/>
        <v>#DIV/0!</v>
      </c>
      <c r="DM48" s="168" t="e">
        <f t="shared" si="18"/>
        <v>#DIV/0!</v>
      </c>
      <c r="DN48" s="163" t="e">
        <f t="shared" si="19"/>
        <v>#DIV/0!</v>
      </c>
      <c r="DO48" s="169"/>
      <c r="DP48" s="170"/>
      <c r="DQ48" s="171"/>
      <c r="DR48" s="172">
        <f t="shared" si="20"/>
        <v>0</v>
      </c>
      <c r="DS48" s="173" t="e">
        <f t="shared" si="21"/>
        <v>#DIV/0!</v>
      </c>
      <c r="DT48" s="163" t="e">
        <f t="shared" si="22"/>
        <v>#DIV/0!</v>
      </c>
      <c r="DU48" s="174"/>
      <c r="DV48" s="175" t="e">
        <f t="shared" si="23"/>
        <v>#DIV/0!</v>
      </c>
      <c r="DW48" s="163">
        <f t="shared" si="24"/>
        <v>0</v>
      </c>
      <c r="DX48" s="164"/>
      <c r="DY48" s="176">
        <f t="shared" si="25"/>
        <v>0</v>
      </c>
      <c r="DZ48" s="177">
        <f t="shared" si="26"/>
        <v>0</v>
      </c>
      <c r="EA48" s="178">
        <f t="shared" si="27"/>
        <v>0</v>
      </c>
      <c r="EB48" s="179">
        <f t="shared" si="28"/>
        <v>0</v>
      </c>
      <c r="EC48" s="180"/>
      <c r="ED48" s="175" t="e">
        <f t="shared" si="29"/>
        <v>#DIV/0!</v>
      </c>
      <c r="EE48" s="163">
        <f t="shared" si="30"/>
        <v>0</v>
      </c>
      <c r="EF48" s="164"/>
      <c r="EG48" s="181">
        <f t="shared" si="31"/>
        <v>0</v>
      </c>
      <c r="EH48" s="182">
        <f t="shared" si="32"/>
        <v>0</v>
      </c>
      <c r="EI48" s="182">
        <f t="shared" si="33"/>
        <v>0</v>
      </c>
      <c r="EJ48" s="182">
        <f t="shared" si="34"/>
        <v>0</v>
      </c>
      <c r="EK48" s="183">
        <f t="shared" si="35"/>
        <v>0</v>
      </c>
      <c r="EL48" s="184" t="e">
        <f t="shared" si="36"/>
        <v>#DIV/0!</v>
      </c>
      <c r="EM48" s="185">
        <f t="shared" si="37"/>
        <v>0</v>
      </c>
      <c r="EN48" s="164"/>
      <c r="EO48" s="181">
        <f t="shared" si="38"/>
        <v>0</v>
      </c>
      <c r="EP48" s="183">
        <f t="shared" si="39"/>
        <v>0</v>
      </c>
      <c r="EQ48" s="184" t="e">
        <f t="shared" si="40"/>
        <v>#DIV/0!</v>
      </c>
      <c r="ER48" s="185">
        <f t="shared" si="41"/>
        <v>0</v>
      </c>
      <c r="ES48" s="164"/>
      <c r="ET48" s="164"/>
      <c r="EU48" s="186">
        <f t="shared" si="42"/>
        <v>0</v>
      </c>
      <c r="EV48" s="186">
        <f t="shared" si="43"/>
        <v>0</v>
      </c>
      <c r="EW48" s="186">
        <f t="shared" si="44"/>
        <v>0</v>
      </c>
      <c r="EX48" s="186">
        <f t="shared" si="45"/>
        <v>0</v>
      </c>
      <c r="EY48" s="131"/>
      <c r="EZ48" s="187">
        <f t="shared" si="46"/>
        <v>0</v>
      </c>
      <c r="FA48" s="188" t="e">
        <f t="shared" si="47"/>
        <v>#DIV/0!</v>
      </c>
      <c r="FB48" s="189"/>
      <c r="FC48" s="131"/>
      <c r="FD48" s="131"/>
      <c r="FE48" s="131"/>
      <c r="FF48" s="131"/>
      <c r="FG48" s="131"/>
    </row>
    <row r="49" spans="2:163" ht="16" outlineLevel="1" thickBot="1" x14ac:dyDescent="0.4">
      <c r="B49" s="358"/>
      <c r="C49" s="355"/>
      <c r="D49" s="238"/>
      <c r="E49" s="239"/>
      <c r="F49" s="135"/>
      <c r="G49" s="192"/>
      <c r="H49" s="207"/>
      <c r="I49" s="138">
        <f t="shared" si="0"/>
        <v>0</v>
      </c>
      <c r="J49" s="139"/>
      <c r="K49" s="208">
        <f t="shared" si="49"/>
        <v>0</v>
      </c>
      <c r="L49" s="141"/>
      <c r="M49" s="209"/>
      <c r="N49" s="210"/>
      <c r="O49" s="210"/>
      <c r="P49" s="210"/>
      <c r="Q49" s="195"/>
      <c r="R49" s="210"/>
      <c r="S49" s="210"/>
      <c r="T49" s="210"/>
      <c r="U49" s="210"/>
      <c r="V49" s="210"/>
      <c r="W49" s="210"/>
      <c r="X49" s="210"/>
      <c r="Y49" s="210"/>
      <c r="Z49" s="210"/>
      <c r="AA49" s="209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1"/>
      <c r="AN49" s="212">
        <f t="shared" si="2"/>
        <v>0</v>
      </c>
      <c r="AO49" s="146"/>
      <c r="AP49" s="147">
        <f t="shared" si="3"/>
        <v>0</v>
      </c>
      <c r="AQ49" s="148"/>
      <c r="AR49" s="213"/>
      <c r="AS49" s="213"/>
      <c r="AT49" s="135"/>
      <c r="AU49" s="214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4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7"/>
      <c r="CD49" s="214"/>
      <c r="CE49" s="209"/>
      <c r="CF49" s="210"/>
      <c r="CG49" s="210"/>
      <c r="CH49" s="210"/>
      <c r="CI49" s="210"/>
      <c r="CJ49" s="210"/>
      <c r="CK49" s="210"/>
      <c r="CL49" s="210"/>
      <c r="CM49" s="210"/>
      <c r="CN49" s="210"/>
      <c r="CO49" s="348"/>
      <c r="CP49" s="215"/>
      <c r="CQ49" s="216"/>
      <c r="CR49" s="217"/>
      <c r="CS49" s="218">
        <f t="shared" si="48"/>
        <v>0</v>
      </c>
      <c r="CT49" s="146"/>
      <c r="CU49" s="147">
        <f t="shared" si="4"/>
        <v>0</v>
      </c>
      <c r="CV49" s="156"/>
      <c r="CW49" s="157" t="e">
        <f t="shared" si="5"/>
        <v>#DIV/0!</v>
      </c>
      <c r="CX49" s="157" t="e">
        <f t="shared" si="6"/>
        <v>#DIV/0!</v>
      </c>
      <c r="CY49" s="157" t="e">
        <f t="shared" si="7"/>
        <v>#DIV/0!</v>
      </c>
      <c r="CZ49" s="157" t="e">
        <f t="shared" si="8"/>
        <v>#DIV/0!</v>
      </c>
      <c r="DA49" s="157" t="e">
        <f t="shared" si="9"/>
        <v>#DIV/0!</v>
      </c>
      <c r="DB49" s="158" t="e">
        <f t="shared" si="10"/>
        <v>#DIV/0!</v>
      </c>
      <c r="DC49" s="131"/>
      <c r="DD49" s="159">
        <f t="shared" si="11"/>
        <v>0</v>
      </c>
      <c r="DE49" s="160">
        <f t="shared" si="12"/>
        <v>0</v>
      </c>
      <c r="DF49" s="161">
        <f t="shared" si="13"/>
        <v>0</v>
      </c>
      <c r="DG49" s="162" t="e">
        <f t="shared" si="14"/>
        <v>#DIV/0!</v>
      </c>
      <c r="DH49" s="163">
        <f t="shared" si="15"/>
        <v>0</v>
      </c>
      <c r="DI49" s="164"/>
      <c r="DJ49" s="165">
        <f t="shared" si="50"/>
        <v>0</v>
      </c>
      <c r="DK49" s="166">
        <f t="shared" si="50"/>
        <v>0</v>
      </c>
      <c r="DL49" s="167" t="e">
        <f t="shared" si="17"/>
        <v>#DIV/0!</v>
      </c>
      <c r="DM49" s="168" t="e">
        <f t="shared" si="18"/>
        <v>#DIV/0!</v>
      </c>
      <c r="DN49" s="163" t="e">
        <f t="shared" si="19"/>
        <v>#DIV/0!</v>
      </c>
      <c r="DO49" s="169"/>
      <c r="DP49" s="170"/>
      <c r="DQ49" s="171"/>
      <c r="DR49" s="172">
        <f t="shared" si="20"/>
        <v>0</v>
      </c>
      <c r="DS49" s="173" t="e">
        <f t="shared" si="21"/>
        <v>#DIV/0!</v>
      </c>
      <c r="DT49" s="163" t="e">
        <f t="shared" si="22"/>
        <v>#DIV/0!</v>
      </c>
      <c r="DU49" s="174"/>
      <c r="DV49" s="175" t="e">
        <f t="shared" si="23"/>
        <v>#DIV/0!</v>
      </c>
      <c r="DW49" s="163">
        <f t="shared" si="24"/>
        <v>0</v>
      </c>
      <c r="DX49" s="164"/>
      <c r="DY49" s="176">
        <f t="shared" si="25"/>
        <v>0</v>
      </c>
      <c r="DZ49" s="177">
        <f t="shared" si="26"/>
        <v>0</v>
      </c>
      <c r="EA49" s="178">
        <f t="shared" si="27"/>
        <v>0</v>
      </c>
      <c r="EB49" s="179">
        <f t="shared" si="28"/>
        <v>0</v>
      </c>
      <c r="EC49" s="180"/>
      <c r="ED49" s="175" t="e">
        <f t="shared" si="29"/>
        <v>#DIV/0!</v>
      </c>
      <c r="EE49" s="163">
        <f t="shared" si="30"/>
        <v>0</v>
      </c>
      <c r="EF49" s="164"/>
      <c r="EG49" s="181">
        <f t="shared" si="31"/>
        <v>0</v>
      </c>
      <c r="EH49" s="182">
        <f t="shared" si="32"/>
        <v>0</v>
      </c>
      <c r="EI49" s="182">
        <f t="shared" si="33"/>
        <v>0</v>
      </c>
      <c r="EJ49" s="182">
        <f t="shared" si="34"/>
        <v>0</v>
      </c>
      <c r="EK49" s="183">
        <f t="shared" si="35"/>
        <v>0</v>
      </c>
      <c r="EL49" s="184" t="e">
        <f t="shared" si="36"/>
        <v>#DIV/0!</v>
      </c>
      <c r="EM49" s="185">
        <f t="shared" si="37"/>
        <v>0</v>
      </c>
      <c r="EN49" s="164"/>
      <c r="EO49" s="181">
        <f t="shared" si="38"/>
        <v>0</v>
      </c>
      <c r="EP49" s="183">
        <f t="shared" si="39"/>
        <v>0</v>
      </c>
      <c r="EQ49" s="184" t="e">
        <f t="shared" si="40"/>
        <v>#DIV/0!</v>
      </c>
      <c r="ER49" s="185">
        <f t="shared" si="41"/>
        <v>0</v>
      </c>
      <c r="ES49" s="164"/>
      <c r="ET49" s="164"/>
      <c r="EU49" s="186">
        <f t="shared" si="42"/>
        <v>0</v>
      </c>
      <c r="EV49" s="186">
        <f t="shared" si="43"/>
        <v>0</v>
      </c>
      <c r="EW49" s="186">
        <f t="shared" si="44"/>
        <v>0</v>
      </c>
      <c r="EX49" s="186">
        <f t="shared" si="45"/>
        <v>0</v>
      </c>
      <c r="EY49" s="131"/>
      <c r="EZ49" s="187">
        <f t="shared" si="46"/>
        <v>0</v>
      </c>
      <c r="FA49" s="188" t="e">
        <f t="shared" si="47"/>
        <v>#DIV/0!</v>
      </c>
      <c r="FB49" s="189"/>
      <c r="FC49" s="131"/>
      <c r="FD49" s="131"/>
      <c r="FE49" s="131"/>
      <c r="FF49" s="131"/>
      <c r="FG49" s="131"/>
    </row>
    <row r="50" spans="2:163" ht="16" outlineLevel="1" thickBot="1" x14ac:dyDescent="0.4">
      <c r="B50" s="356"/>
      <c r="C50" s="353"/>
      <c r="D50" s="133"/>
      <c r="E50" s="134"/>
      <c r="F50" s="135"/>
      <c r="G50" s="136"/>
      <c r="H50" s="137"/>
      <c r="I50" s="138">
        <f t="shared" si="0"/>
        <v>0</v>
      </c>
      <c r="J50" s="139"/>
      <c r="K50" s="140">
        <f t="shared" si="49"/>
        <v>0</v>
      </c>
      <c r="L50" s="141"/>
      <c r="M50" s="142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2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4"/>
      <c r="AN50" s="145">
        <f t="shared" si="2"/>
        <v>0</v>
      </c>
      <c r="AO50" s="146"/>
      <c r="AP50" s="147">
        <f t="shared" si="3"/>
        <v>0</v>
      </c>
      <c r="AQ50" s="148"/>
      <c r="AR50" s="149"/>
      <c r="AS50" s="149"/>
      <c r="AT50" s="135"/>
      <c r="AU50" s="150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0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4"/>
      <c r="CD50" s="150"/>
      <c r="CE50" s="194"/>
      <c r="CF50" s="195"/>
      <c r="CG50" s="195"/>
      <c r="CH50" s="195"/>
      <c r="CI50" s="195"/>
      <c r="CJ50" s="195"/>
      <c r="CK50" s="195"/>
      <c r="CL50" s="195"/>
      <c r="CM50" s="195"/>
      <c r="CN50" s="143"/>
      <c r="CO50" s="346"/>
      <c r="CP50" s="151"/>
      <c r="CQ50" s="152"/>
      <c r="CR50" s="154"/>
      <c r="CS50" s="155">
        <f t="shared" si="48"/>
        <v>0</v>
      </c>
      <c r="CT50" s="146"/>
      <c r="CU50" s="147">
        <f t="shared" si="4"/>
        <v>0</v>
      </c>
      <c r="CV50" s="156"/>
      <c r="CW50" s="157" t="e">
        <f t="shared" si="5"/>
        <v>#DIV/0!</v>
      </c>
      <c r="CX50" s="157" t="e">
        <f t="shared" si="6"/>
        <v>#DIV/0!</v>
      </c>
      <c r="CY50" s="157" t="e">
        <f t="shared" si="7"/>
        <v>#DIV/0!</v>
      </c>
      <c r="CZ50" s="157" t="e">
        <f t="shared" si="8"/>
        <v>#DIV/0!</v>
      </c>
      <c r="DA50" s="157" t="e">
        <f t="shared" si="9"/>
        <v>#DIV/0!</v>
      </c>
      <c r="DB50" s="158" t="e">
        <f t="shared" si="10"/>
        <v>#DIV/0!</v>
      </c>
      <c r="DC50" s="131"/>
      <c r="DD50" s="159">
        <f t="shared" si="11"/>
        <v>0</v>
      </c>
      <c r="DE50" s="160">
        <f t="shared" si="12"/>
        <v>0</v>
      </c>
      <c r="DF50" s="161">
        <f t="shared" si="13"/>
        <v>0</v>
      </c>
      <c r="DG50" s="162" t="e">
        <f t="shared" si="14"/>
        <v>#DIV/0!</v>
      </c>
      <c r="DH50" s="163">
        <f t="shared" si="15"/>
        <v>0</v>
      </c>
      <c r="DI50" s="164"/>
      <c r="DJ50" s="165">
        <f t="shared" si="50"/>
        <v>0</v>
      </c>
      <c r="DK50" s="166">
        <f t="shared" si="50"/>
        <v>0</v>
      </c>
      <c r="DL50" s="167" t="e">
        <f t="shared" si="17"/>
        <v>#DIV/0!</v>
      </c>
      <c r="DM50" s="168" t="e">
        <f t="shared" si="18"/>
        <v>#DIV/0!</v>
      </c>
      <c r="DN50" s="163" t="e">
        <f t="shared" si="19"/>
        <v>#DIV/0!</v>
      </c>
      <c r="DO50" s="169"/>
      <c r="DP50" s="170"/>
      <c r="DQ50" s="171"/>
      <c r="DR50" s="172">
        <f t="shared" si="20"/>
        <v>0</v>
      </c>
      <c r="DS50" s="173" t="e">
        <f t="shared" si="21"/>
        <v>#DIV/0!</v>
      </c>
      <c r="DT50" s="163" t="e">
        <f t="shared" si="22"/>
        <v>#DIV/0!</v>
      </c>
      <c r="DU50" s="174"/>
      <c r="DV50" s="175" t="e">
        <f t="shared" si="23"/>
        <v>#DIV/0!</v>
      </c>
      <c r="DW50" s="163">
        <f t="shared" si="24"/>
        <v>0</v>
      </c>
      <c r="DX50" s="164"/>
      <c r="DY50" s="176">
        <f t="shared" si="25"/>
        <v>0</v>
      </c>
      <c r="DZ50" s="177">
        <f t="shared" si="26"/>
        <v>0</v>
      </c>
      <c r="EA50" s="178">
        <f t="shared" si="27"/>
        <v>0</v>
      </c>
      <c r="EB50" s="179">
        <f t="shared" si="28"/>
        <v>0</v>
      </c>
      <c r="EC50" s="180"/>
      <c r="ED50" s="175" t="e">
        <f t="shared" si="29"/>
        <v>#DIV/0!</v>
      </c>
      <c r="EE50" s="163">
        <f t="shared" si="30"/>
        <v>0</v>
      </c>
      <c r="EF50" s="164"/>
      <c r="EG50" s="181">
        <f t="shared" si="31"/>
        <v>0</v>
      </c>
      <c r="EH50" s="182">
        <f t="shared" si="32"/>
        <v>0</v>
      </c>
      <c r="EI50" s="182">
        <f t="shared" si="33"/>
        <v>0</v>
      </c>
      <c r="EJ50" s="182">
        <f t="shared" si="34"/>
        <v>0</v>
      </c>
      <c r="EK50" s="183">
        <f t="shared" si="35"/>
        <v>0</v>
      </c>
      <c r="EL50" s="184" t="e">
        <f t="shared" si="36"/>
        <v>#DIV/0!</v>
      </c>
      <c r="EM50" s="185">
        <f t="shared" si="37"/>
        <v>0</v>
      </c>
      <c r="EN50" s="164"/>
      <c r="EO50" s="181">
        <f t="shared" si="38"/>
        <v>0</v>
      </c>
      <c r="EP50" s="183">
        <f t="shared" si="39"/>
        <v>0</v>
      </c>
      <c r="EQ50" s="184" t="e">
        <f t="shared" si="40"/>
        <v>#DIV/0!</v>
      </c>
      <c r="ER50" s="185">
        <f t="shared" si="41"/>
        <v>0</v>
      </c>
      <c r="ES50" s="164"/>
      <c r="ET50" s="164"/>
      <c r="EU50" s="186">
        <f t="shared" si="42"/>
        <v>0</v>
      </c>
      <c r="EV50" s="186">
        <f t="shared" si="43"/>
        <v>0</v>
      </c>
      <c r="EW50" s="186">
        <f t="shared" si="44"/>
        <v>0</v>
      </c>
      <c r="EX50" s="186">
        <f t="shared" si="45"/>
        <v>0</v>
      </c>
      <c r="EY50" s="131"/>
      <c r="EZ50" s="187">
        <f t="shared" si="46"/>
        <v>0</v>
      </c>
      <c r="FA50" s="188" t="e">
        <f t="shared" si="47"/>
        <v>#DIV/0!</v>
      </c>
      <c r="FB50" s="189"/>
      <c r="FC50" s="131"/>
      <c r="FD50" s="131"/>
      <c r="FE50" s="131"/>
      <c r="FF50" s="131"/>
      <c r="FG50" s="131"/>
    </row>
    <row r="51" spans="2:163" ht="16" outlineLevel="1" thickBot="1" x14ac:dyDescent="0.4">
      <c r="B51" s="357"/>
      <c r="C51" s="354"/>
      <c r="D51" s="190"/>
      <c r="E51" s="191"/>
      <c r="F51" s="135"/>
      <c r="G51" s="192"/>
      <c r="H51" s="137"/>
      <c r="I51" s="138">
        <f t="shared" si="0"/>
        <v>0</v>
      </c>
      <c r="J51" s="139"/>
      <c r="K51" s="193">
        <f t="shared" si="49"/>
        <v>0</v>
      </c>
      <c r="L51" s="141"/>
      <c r="M51" s="194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4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6"/>
      <c r="AN51" s="197">
        <f t="shared" si="2"/>
        <v>0</v>
      </c>
      <c r="AO51" s="146"/>
      <c r="AP51" s="147">
        <f t="shared" si="3"/>
        <v>0</v>
      </c>
      <c r="AQ51" s="148"/>
      <c r="AR51" s="198"/>
      <c r="AS51" s="198"/>
      <c r="AT51" s="135"/>
      <c r="AU51" s="199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199"/>
      <c r="BS51" s="200"/>
      <c r="BT51" s="200"/>
      <c r="BU51" s="200"/>
      <c r="BV51" s="200"/>
      <c r="BW51" s="200"/>
      <c r="BX51" s="200"/>
      <c r="BY51" s="200"/>
      <c r="BZ51" s="200"/>
      <c r="CA51" s="200"/>
      <c r="CB51" s="200"/>
      <c r="CC51" s="202"/>
      <c r="CD51" s="199"/>
      <c r="CE51" s="194"/>
      <c r="CF51" s="195"/>
      <c r="CG51" s="195"/>
      <c r="CH51" s="195"/>
      <c r="CI51" s="195"/>
      <c r="CJ51" s="195"/>
      <c r="CK51" s="195"/>
      <c r="CL51" s="195"/>
      <c r="CM51" s="195"/>
      <c r="CN51" s="195"/>
      <c r="CO51" s="347"/>
      <c r="CP51" s="200"/>
      <c r="CQ51" s="201"/>
      <c r="CR51" s="202"/>
      <c r="CS51" s="203">
        <f t="shared" si="48"/>
        <v>0</v>
      </c>
      <c r="CT51" s="146"/>
      <c r="CU51" s="147">
        <f t="shared" si="4"/>
        <v>0</v>
      </c>
      <c r="CV51" s="156"/>
      <c r="CW51" s="157" t="e">
        <f t="shared" si="5"/>
        <v>#DIV/0!</v>
      </c>
      <c r="CX51" s="157" t="e">
        <f t="shared" si="6"/>
        <v>#DIV/0!</v>
      </c>
      <c r="CY51" s="157" t="e">
        <f t="shared" si="7"/>
        <v>#DIV/0!</v>
      </c>
      <c r="CZ51" s="157" t="e">
        <f t="shared" si="8"/>
        <v>#DIV/0!</v>
      </c>
      <c r="DA51" s="157" t="e">
        <f t="shared" si="9"/>
        <v>#DIV/0!</v>
      </c>
      <c r="DB51" s="158" t="e">
        <f t="shared" si="10"/>
        <v>#DIV/0!</v>
      </c>
      <c r="DC51" s="131"/>
      <c r="DD51" s="159">
        <f t="shared" si="11"/>
        <v>0</v>
      </c>
      <c r="DE51" s="160">
        <f t="shared" si="12"/>
        <v>0</v>
      </c>
      <c r="DF51" s="161">
        <f t="shared" si="13"/>
        <v>0</v>
      </c>
      <c r="DG51" s="162" t="e">
        <f t="shared" si="14"/>
        <v>#DIV/0!</v>
      </c>
      <c r="DH51" s="163">
        <f t="shared" si="15"/>
        <v>0</v>
      </c>
      <c r="DI51" s="164"/>
      <c r="DJ51" s="165">
        <f t="shared" si="50"/>
        <v>0</v>
      </c>
      <c r="DK51" s="166">
        <f t="shared" si="50"/>
        <v>0</v>
      </c>
      <c r="DL51" s="167" t="e">
        <f t="shared" si="17"/>
        <v>#DIV/0!</v>
      </c>
      <c r="DM51" s="168" t="e">
        <f t="shared" si="18"/>
        <v>#DIV/0!</v>
      </c>
      <c r="DN51" s="163" t="e">
        <f t="shared" si="19"/>
        <v>#DIV/0!</v>
      </c>
      <c r="DO51" s="169"/>
      <c r="DP51" s="170"/>
      <c r="DQ51" s="171"/>
      <c r="DR51" s="172">
        <f t="shared" si="20"/>
        <v>0</v>
      </c>
      <c r="DS51" s="173" t="e">
        <f t="shared" si="21"/>
        <v>#DIV/0!</v>
      </c>
      <c r="DT51" s="163" t="e">
        <f t="shared" si="22"/>
        <v>#DIV/0!</v>
      </c>
      <c r="DU51" s="174"/>
      <c r="DV51" s="175" t="e">
        <f t="shared" si="23"/>
        <v>#DIV/0!</v>
      </c>
      <c r="DW51" s="163">
        <f t="shared" si="24"/>
        <v>0</v>
      </c>
      <c r="DX51" s="164"/>
      <c r="DY51" s="176">
        <f t="shared" si="25"/>
        <v>0</v>
      </c>
      <c r="DZ51" s="177">
        <f t="shared" si="26"/>
        <v>0</v>
      </c>
      <c r="EA51" s="178">
        <f t="shared" si="27"/>
        <v>0</v>
      </c>
      <c r="EB51" s="179">
        <f t="shared" si="28"/>
        <v>0</v>
      </c>
      <c r="EC51" s="180"/>
      <c r="ED51" s="175" t="e">
        <f t="shared" si="29"/>
        <v>#DIV/0!</v>
      </c>
      <c r="EE51" s="163">
        <f t="shared" si="30"/>
        <v>0</v>
      </c>
      <c r="EF51" s="164"/>
      <c r="EG51" s="181">
        <f t="shared" si="31"/>
        <v>0</v>
      </c>
      <c r="EH51" s="182">
        <f t="shared" si="32"/>
        <v>0</v>
      </c>
      <c r="EI51" s="182">
        <f t="shared" si="33"/>
        <v>0</v>
      </c>
      <c r="EJ51" s="182">
        <f t="shared" si="34"/>
        <v>0</v>
      </c>
      <c r="EK51" s="183">
        <f t="shared" si="35"/>
        <v>0</v>
      </c>
      <c r="EL51" s="184" t="e">
        <f t="shared" si="36"/>
        <v>#DIV/0!</v>
      </c>
      <c r="EM51" s="185">
        <f t="shared" si="37"/>
        <v>0</v>
      </c>
      <c r="EN51" s="164"/>
      <c r="EO51" s="181">
        <f t="shared" si="38"/>
        <v>0</v>
      </c>
      <c r="EP51" s="183">
        <f t="shared" si="39"/>
        <v>0</v>
      </c>
      <c r="EQ51" s="184" t="e">
        <f t="shared" si="40"/>
        <v>#DIV/0!</v>
      </c>
      <c r="ER51" s="185">
        <f t="shared" si="41"/>
        <v>0</v>
      </c>
      <c r="ES51" s="164"/>
      <c r="ET51" s="164"/>
      <c r="EU51" s="186">
        <f t="shared" si="42"/>
        <v>0</v>
      </c>
      <c r="EV51" s="186">
        <f t="shared" si="43"/>
        <v>0</v>
      </c>
      <c r="EW51" s="186">
        <f t="shared" si="44"/>
        <v>0</v>
      </c>
      <c r="EX51" s="186">
        <f t="shared" si="45"/>
        <v>0</v>
      </c>
      <c r="EY51" s="131"/>
      <c r="EZ51" s="187">
        <f t="shared" si="46"/>
        <v>0</v>
      </c>
      <c r="FA51" s="188" t="e">
        <f t="shared" si="47"/>
        <v>#DIV/0!</v>
      </c>
      <c r="FB51" s="189"/>
      <c r="FC51" s="131"/>
      <c r="FD51" s="131"/>
      <c r="FE51" s="131"/>
      <c r="FF51" s="131"/>
      <c r="FG51" s="131"/>
    </row>
    <row r="52" spans="2:163" ht="16" outlineLevel="1" thickBot="1" x14ac:dyDescent="0.4">
      <c r="B52" s="358"/>
      <c r="C52" s="355"/>
      <c r="D52" s="238"/>
      <c r="E52" s="239"/>
      <c r="F52" s="135"/>
      <c r="G52" s="192"/>
      <c r="H52" s="207"/>
      <c r="I52" s="138">
        <f t="shared" si="0"/>
        <v>0</v>
      </c>
      <c r="J52" s="139"/>
      <c r="K52" s="208">
        <f t="shared" si="49"/>
        <v>0</v>
      </c>
      <c r="L52" s="141"/>
      <c r="M52" s="209"/>
      <c r="N52" s="210"/>
      <c r="O52" s="210"/>
      <c r="P52" s="210"/>
      <c r="Q52" s="195"/>
      <c r="R52" s="210"/>
      <c r="S52" s="210"/>
      <c r="T52" s="210"/>
      <c r="U52" s="210"/>
      <c r="V52" s="210"/>
      <c r="W52" s="210"/>
      <c r="X52" s="210"/>
      <c r="Y52" s="210"/>
      <c r="Z52" s="210"/>
      <c r="AA52" s="209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1"/>
      <c r="AN52" s="212">
        <f t="shared" si="2"/>
        <v>0</v>
      </c>
      <c r="AO52" s="146"/>
      <c r="AP52" s="147">
        <f t="shared" si="3"/>
        <v>0</v>
      </c>
      <c r="AQ52" s="148"/>
      <c r="AR52" s="213"/>
      <c r="AS52" s="213"/>
      <c r="AT52" s="135"/>
      <c r="AU52" s="214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6"/>
      <c r="BG52" s="216"/>
      <c r="BH52" s="216"/>
      <c r="BI52" s="216"/>
      <c r="BJ52" s="216"/>
      <c r="BK52" s="216"/>
      <c r="BL52" s="216"/>
      <c r="BM52" s="216"/>
      <c r="BN52" s="216"/>
      <c r="BO52" s="216"/>
      <c r="BP52" s="216"/>
      <c r="BQ52" s="216"/>
      <c r="BR52" s="214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7"/>
      <c r="CD52" s="214"/>
      <c r="CE52" s="194"/>
      <c r="CF52" s="195"/>
      <c r="CG52" s="195"/>
      <c r="CH52" s="195"/>
      <c r="CI52" s="195"/>
      <c r="CJ52" s="195"/>
      <c r="CK52" s="195"/>
      <c r="CL52" s="195"/>
      <c r="CM52" s="195"/>
      <c r="CN52" s="210"/>
      <c r="CO52" s="348"/>
      <c r="CP52" s="215"/>
      <c r="CQ52" s="216"/>
      <c r="CR52" s="217"/>
      <c r="CS52" s="218">
        <f t="shared" si="48"/>
        <v>0</v>
      </c>
      <c r="CT52" s="146"/>
      <c r="CU52" s="147">
        <f t="shared" si="4"/>
        <v>0</v>
      </c>
      <c r="CV52" s="156"/>
      <c r="CW52" s="157" t="e">
        <f t="shared" si="5"/>
        <v>#DIV/0!</v>
      </c>
      <c r="CX52" s="157" t="e">
        <f t="shared" si="6"/>
        <v>#DIV/0!</v>
      </c>
      <c r="CY52" s="157" t="e">
        <f t="shared" si="7"/>
        <v>#DIV/0!</v>
      </c>
      <c r="CZ52" s="157" t="e">
        <f t="shared" si="8"/>
        <v>#DIV/0!</v>
      </c>
      <c r="DA52" s="157" t="e">
        <f t="shared" si="9"/>
        <v>#DIV/0!</v>
      </c>
      <c r="DB52" s="158" t="e">
        <f t="shared" si="10"/>
        <v>#DIV/0!</v>
      </c>
      <c r="DC52" s="131"/>
      <c r="DD52" s="159">
        <f t="shared" si="11"/>
        <v>0</v>
      </c>
      <c r="DE52" s="160">
        <f t="shared" si="12"/>
        <v>0</v>
      </c>
      <c r="DF52" s="161">
        <f t="shared" si="13"/>
        <v>0</v>
      </c>
      <c r="DG52" s="162" t="e">
        <f t="shared" si="14"/>
        <v>#DIV/0!</v>
      </c>
      <c r="DH52" s="163">
        <f t="shared" si="15"/>
        <v>0</v>
      </c>
      <c r="DI52" s="164"/>
      <c r="DJ52" s="165">
        <f t="shared" si="50"/>
        <v>0</v>
      </c>
      <c r="DK52" s="166">
        <f t="shared" si="50"/>
        <v>0</v>
      </c>
      <c r="DL52" s="167" t="e">
        <f t="shared" si="17"/>
        <v>#DIV/0!</v>
      </c>
      <c r="DM52" s="168" t="e">
        <f t="shared" si="18"/>
        <v>#DIV/0!</v>
      </c>
      <c r="DN52" s="163" t="e">
        <f t="shared" si="19"/>
        <v>#DIV/0!</v>
      </c>
      <c r="DO52" s="169"/>
      <c r="DP52" s="170"/>
      <c r="DQ52" s="171"/>
      <c r="DR52" s="172">
        <f t="shared" si="20"/>
        <v>0</v>
      </c>
      <c r="DS52" s="173" t="e">
        <f t="shared" si="21"/>
        <v>#DIV/0!</v>
      </c>
      <c r="DT52" s="163" t="e">
        <f t="shared" si="22"/>
        <v>#DIV/0!</v>
      </c>
      <c r="DU52" s="174"/>
      <c r="DV52" s="175" t="e">
        <f t="shared" si="23"/>
        <v>#DIV/0!</v>
      </c>
      <c r="DW52" s="163">
        <f t="shared" si="24"/>
        <v>0</v>
      </c>
      <c r="DX52" s="164"/>
      <c r="DY52" s="176">
        <f t="shared" si="25"/>
        <v>0</v>
      </c>
      <c r="DZ52" s="177">
        <f t="shared" si="26"/>
        <v>0</v>
      </c>
      <c r="EA52" s="178">
        <f t="shared" si="27"/>
        <v>0</v>
      </c>
      <c r="EB52" s="179">
        <f t="shared" si="28"/>
        <v>0</v>
      </c>
      <c r="EC52" s="180"/>
      <c r="ED52" s="175" t="e">
        <f t="shared" si="29"/>
        <v>#DIV/0!</v>
      </c>
      <c r="EE52" s="163">
        <f t="shared" si="30"/>
        <v>0</v>
      </c>
      <c r="EF52" s="164"/>
      <c r="EG52" s="181">
        <f t="shared" si="31"/>
        <v>0</v>
      </c>
      <c r="EH52" s="182">
        <f t="shared" si="32"/>
        <v>0</v>
      </c>
      <c r="EI52" s="182">
        <f t="shared" si="33"/>
        <v>0</v>
      </c>
      <c r="EJ52" s="182">
        <f t="shared" si="34"/>
        <v>0</v>
      </c>
      <c r="EK52" s="183">
        <f t="shared" si="35"/>
        <v>0</v>
      </c>
      <c r="EL52" s="184" t="e">
        <f t="shared" si="36"/>
        <v>#DIV/0!</v>
      </c>
      <c r="EM52" s="185">
        <f t="shared" si="37"/>
        <v>0</v>
      </c>
      <c r="EN52" s="164"/>
      <c r="EO52" s="181">
        <f t="shared" si="38"/>
        <v>0</v>
      </c>
      <c r="EP52" s="183">
        <f t="shared" si="39"/>
        <v>0</v>
      </c>
      <c r="EQ52" s="184" t="e">
        <f t="shared" si="40"/>
        <v>#DIV/0!</v>
      </c>
      <c r="ER52" s="185">
        <f t="shared" si="41"/>
        <v>0</v>
      </c>
      <c r="ES52" s="164"/>
      <c r="ET52" s="164"/>
      <c r="EU52" s="186">
        <f t="shared" si="42"/>
        <v>0</v>
      </c>
      <c r="EV52" s="186">
        <f t="shared" si="43"/>
        <v>0</v>
      </c>
      <c r="EW52" s="186">
        <f t="shared" si="44"/>
        <v>0</v>
      </c>
      <c r="EX52" s="186">
        <f t="shared" si="45"/>
        <v>0</v>
      </c>
      <c r="EY52" s="131"/>
      <c r="EZ52" s="187">
        <f t="shared" si="46"/>
        <v>0</v>
      </c>
      <c r="FA52" s="188" t="e">
        <f t="shared" si="47"/>
        <v>#DIV/0!</v>
      </c>
      <c r="FB52" s="189"/>
      <c r="FC52" s="131"/>
      <c r="FD52" s="131"/>
      <c r="FE52" s="131"/>
      <c r="FF52" s="131"/>
      <c r="FG52" s="131"/>
    </row>
    <row r="53" spans="2:163" ht="16" outlineLevel="1" thickBot="1" x14ac:dyDescent="0.4">
      <c r="B53" s="356"/>
      <c r="C53" s="353"/>
      <c r="D53" s="133"/>
      <c r="E53" s="134"/>
      <c r="F53" s="135"/>
      <c r="G53" s="136"/>
      <c r="H53" s="137"/>
      <c r="I53" s="138">
        <f>IF(E53&gt;0.0001,11,0)</f>
        <v>0</v>
      </c>
      <c r="J53" s="139"/>
      <c r="K53" s="140">
        <f t="shared" si="49"/>
        <v>0</v>
      </c>
      <c r="L53" s="141"/>
      <c r="M53" s="142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2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4"/>
      <c r="AN53" s="145">
        <f t="shared" si="2"/>
        <v>0</v>
      </c>
      <c r="AO53" s="146"/>
      <c r="AP53" s="147">
        <f t="shared" si="3"/>
        <v>0</v>
      </c>
      <c r="AQ53" s="148"/>
      <c r="AR53" s="149"/>
      <c r="AS53" s="149"/>
      <c r="AT53" s="135"/>
      <c r="AU53" s="150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0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4"/>
      <c r="CD53" s="150"/>
      <c r="CE53" s="142"/>
      <c r="CF53" s="143"/>
      <c r="CG53" s="143"/>
      <c r="CH53" s="143"/>
      <c r="CI53" s="143"/>
      <c r="CJ53" s="143"/>
      <c r="CK53" s="143"/>
      <c r="CL53" s="143"/>
      <c r="CM53" s="143"/>
      <c r="CN53" s="143"/>
      <c r="CO53" s="346"/>
      <c r="CP53" s="151"/>
      <c r="CQ53" s="152"/>
      <c r="CR53" s="154"/>
      <c r="CS53" s="155">
        <f t="shared" si="48"/>
        <v>0</v>
      </c>
      <c r="CT53" s="146"/>
      <c r="CU53" s="147">
        <f t="shared" si="4"/>
        <v>0</v>
      </c>
      <c r="CV53" s="156"/>
      <c r="CW53" s="157" t="e">
        <f t="shared" si="5"/>
        <v>#DIV/0!</v>
      </c>
      <c r="CX53" s="157" t="e">
        <f t="shared" si="6"/>
        <v>#DIV/0!</v>
      </c>
      <c r="CY53" s="157" t="e">
        <f t="shared" si="7"/>
        <v>#DIV/0!</v>
      </c>
      <c r="CZ53" s="157" t="e">
        <f t="shared" si="8"/>
        <v>#DIV/0!</v>
      </c>
      <c r="DA53" s="157" t="e">
        <f t="shared" si="9"/>
        <v>#DIV/0!</v>
      </c>
      <c r="DB53" s="158" t="e">
        <f t="shared" si="10"/>
        <v>#DIV/0!</v>
      </c>
      <c r="DC53" s="131"/>
      <c r="DD53" s="159">
        <f t="shared" si="11"/>
        <v>0</v>
      </c>
      <c r="DE53" s="160">
        <f t="shared" si="12"/>
        <v>0</v>
      </c>
      <c r="DF53" s="161">
        <f t="shared" si="13"/>
        <v>0</v>
      </c>
      <c r="DG53" s="162" t="e">
        <f t="shared" si="14"/>
        <v>#DIV/0!</v>
      </c>
      <c r="DH53" s="163">
        <f t="shared" si="15"/>
        <v>0</v>
      </c>
      <c r="DI53" s="164"/>
      <c r="DJ53" s="165">
        <f t="shared" si="50"/>
        <v>0</v>
      </c>
      <c r="DK53" s="166">
        <f t="shared" si="50"/>
        <v>0</v>
      </c>
      <c r="DL53" s="167" t="e">
        <f t="shared" si="17"/>
        <v>#DIV/0!</v>
      </c>
      <c r="DM53" s="168" t="e">
        <f t="shared" si="18"/>
        <v>#DIV/0!</v>
      </c>
      <c r="DN53" s="163" t="e">
        <f t="shared" si="19"/>
        <v>#DIV/0!</v>
      </c>
      <c r="DO53" s="169"/>
      <c r="DP53" s="170"/>
      <c r="DQ53" s="171"/>
      <c r="DR53" s="172">
        <f t="shared" si="20"/>
        <v>0</v>
      </c>
      <c r="DS53" s="173" t="e">
        <f t="shared" si="21"/>
        <v>#DIV/0!</v>
      </c>
      <c r="DT53" s="163" t="e">
        <f t="shared" si="22"/>
        <v>#DIV/0!</v>
      </c>
      <c r="DU53" s="174"/>
      <c r="DV53" s="175" t="e">
        <f t="shared" si="23"/>
        <v>#DIV/0!</v>
      </c>
      <c r="DW53" s="163">
        <f t="shared" si="24"/>
        <v>0</v>
      </c>
      <c r="DX53" s="164"/>
      <c r="DY53" s="176">
        <f t="shared" si="25"/>
        <v>0</v>
      </c>
      <c r="DZ53" s="177">
        <f t="shared" si="26"/>
        <v>0</v>
      </c>
      <c r="EA53" s="178">
        <f t="shared" si="27"/>
        <v>0</v>
      </c>
      <c r="EB53" s="179">
        <f t="shared" si="28"/>
        <v>0</v>
      </c>
      <c r="EC53" s="180"/>
      <c r="ED53" s="175" t="e">
        <f t="shared" si="29"/>
        <v>#DIV/0!</v>
      </c>
      <c r="EE53" s="163">
        <f t="shared" si="30"/>
        <v>0</v>
      </c>
      <c r="EF53" s="164"/>
      <c r="EG53" s="181">
        <f t="shared" si="31"/>
        <v>0</v>
      </c>
      <c r="EH53" s="182">
        <f t="shared" si="32"/>
        <v>0</v>
      </c>
      <c r="EI53" s="182">
        <f t="shared" si="33"/>
        <v>0</v>
      </c>
      <c r="EJ53" s="182">
        <f t="shared" si="34"/>
        <v>0</v>
      </c>
      <c r="EK53" s="183">
        <f t="shared" si="35"/>
        <v>0</v>
      </c>
      <c r="EL53" s="184" t="e">
        <f t="shared" si="36"/>
        <v>#DIV/0!</v>
      </c>
      <c r="EM53" s="185">
        <f t="shared" si="37"/>
        <v>0</v>
      </c>
      <c r="EN53" s="164"/>
      <c r="EO53" s="181">
        <f t="shared" si="38"/>
        <v>0</v>
      </c>
      <c r="EP53" s="183">
        <f t="shared" si="39"/>
        <v>0</v>
      </c>
      <c r="EQ53" s="184" t="e">
        <f t="shared" si="40"/>
        <v>#DIV/0!</v>
      </c>
      <c r="ER53" s="185">
        <f t="shared" si="41"/>
        <v>0</v>
      </c>
      <c r="ES53" s="164"/>
      <c r="ET53" s="164"/>
      <c r="EU53" s="186">
        <f t="shared" si="42"/>
        <v>0</v>
      </c>
      <c r="EV53" s="186">
        <f t="shared" si="43"/>
        <v>0</v>
      </c>
      <c r="EW53" s="186">
        <f t="shared" si="44"/>
        <v>0</v>
      </c>
      <c r="EX53" s="186">
        <f t="shared" si="45"/>
        <v>0</v>
      </c>
      <c r="EY53" s="131"/>
      <c r="EZ53" s="187">
        <f t="shared" si="46"/>
        <v>0</v>
      </c>
      <c r="FA53" s="188" t="e">
        <f t="shared" si="47"/>
        <v>#DIV/0!</v>
      </c>
      <c r="FB53" s="189"/>
      <c r="FC53" s="131"/>
      <c r="FD53" s="131"/>
      <c r="FE53" s="131"/>
      <c r="FF53" s="131"/>
      <c r="FG53" s="131"/>
    </row>
    <row r="54" spans="2:163" ht="16" outlineLevel="1" thickBot="1" x14ac:dyDescent="0.4">
      <c r="B54" s="357"/>
      <c r="C54" s="354"/>
      <c r="D54" s="190"/>
      <c r="E54" s="191"/>
      <c r="F54" s="135"/>
      <c r="G54" s="192"/>
      <c r="H54" s="137"/>
      <c r="I54" s="138">
        <f>IF(E54&gt;0.0001,11,0)</f>
        <v>0</v>
      </c>
      <c r="J54" s="139"/>
      <c r="K54" s="193">
        <f t="shared" si="49"/>
        <v>0</v>
      </c>
      <c r="L54" s="141"/>
      <c r="M54" s="194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4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6"/>
      <c r="AN54" s="197">
        <f t="shared" si="2"/>
        <v>0</v>
      </c>
      <c r="AO54" s="146"/>
      <c r="AP54" s="147">
        <f t="shared" si="3"/>
        <v>0</v>
      </c>
      <c r="AQ54" s="148"/>
      <c r="AR54" s="198"/>
      <c r="AS54" s="198"/>
      <c r="AT54" s="135"/>
      <c r="AU54" s="199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1"/>
      <c r="BG54" s="201"/>
      <c r="BH54" s="201"/>
      <c r="BI54" s="201"/>
      <c r="BJ54" s="201"/>
      <c r="BK54" s="201"/>
      <c r="BL54" s="201"/>
      <c r="BM54" s="201"/>
      <c r="BN54" s="201"/>
      <c r="BO54" s="201"/>
      <c r="BP54" s="201"/>
      <c r="BQ54" s="201"/>
      <c r="BR54" s="199"/>
      <c r="BS54" s="200"/>
      <c r="BT54" s="200"/>
      <c r="BU54" s="200"/>
      <c r="BV54" s="200"/>
      <c r="BW54" s="200"/>
      <c r="BX54" s="200"/>
      <c r="BY54" s="200"/>
      <c r="BZ54" s="200"/>
      <c r="CA54" s="200"/>
      <c r="CB54" s="200"/>
      <c r="CC54" s="202"/>
      <c r="CD54" s="199"/>
      <c r="CE54" s="194"/>
      <c r="CF54" s="195"/>
      <c r="CG54" s="195"/>
      <c r="CH54" s="195"/>
      <c r="CI54" s="195"/>
      <c r="CJ54" s="195"/>
      <c r="CK54" s="195"/>
      <c r="CL54" s="195"/>
      <c r="CM54" s="195"/>
      <c r="CN54" s="195"/>
      <c r="CO54" s="347"/>
      <c r="CP54" s="200"/>
      <c r="CQ54" s="201"/>
      <c r="CR54" s="202"/>
      <c r="CS54" s="203">
        <f t="shared" si="48"/>
        <v>0</v>
      </c>
      <c r="CT54" s="146"/>
      <c r="CU54" s="147">
        <f t="shared" si="4"/>
        <v>0</v>
      </c>
      <c r="CV54" s="156"/>
      <c r="CW54" s="157" t="e">
        <f t="shared" si="5"/>
        <v>#DIV/0!</v>
      </c>
      <c r="CX54" s="157" t="e">
        <f t="shared" si="6"/>
        <v>#DIV/0!</v>
      </c>
      <c r="CY54" s="157" t="e">
        <f t="shared" si="7"/>
        <v>#DIV/0!</v>
      </c>
      <c r="CZ54" s="157" t="e">
        <f t="shared" si="8"/>
        <v>#DIV/0!</v>
      </c>
      <c r="DA54" s="157" t="e">
        <f t="shared" si="9"/>
        <v>#DIV/0!</v>
      </c>
      <c r="DB54" s="158" t="e">
        <f t="shared" si="10"/>
        <v>#DIV/0!</v>
      </c>
      <c r="DC54" s="131"/>
      <c r="DD54" s="159">
        <f t="shared" si="11"/>
        <v>0</v>
      </c>
      <c r="DE54" s="160">
        <f t="shared" si="12"/>
        <v>0</v>
      </c>
      <c r="DF54" s="161">
        <f t="shared" si="13"/>
        <v>0</v>
      </c>
      <c r="DG54" s="162" t="e">
        <f t="shared" si="14"/>
        <v>#DIV/0!</v>
      </c>
      <c r="DH54" s="163">
        <f t="shared" si="15"/>
        <v>0</v>
      </c>
      <c r="DI54" s="164"/>
      <c r="DJ54" s="165">
        <f t="shared" si="50"/>
        <v>0</v>
      </c>
      <c r="DK54" s="166">
        <f t="shared" si="50"/>
        <v>0</v>
      </c>
      <c r="DL54" s="167" t="e">
        <f t="shared" si="17"/>
        <v>#DIV/0!</v>
      </c>
      <c r="DM54" s="168" t="e">
        <f t="shared" si="18"/>
        <v>#DIV/0!</v>
      </c>
      <c r="DN54" s="163" t="e">
        <f t="shared" si="19"/>
        <v>#DIV/0!</v>
      </c>
      <c r="DO54" s="169"/>
      <c r="DP54" s="170"/>
      <c r="DQ54" s="171"/>
      <c r="DR54" s="172">
        <f t="shared" si="20"/>
        <v>0</v>
      </c>
      <c r="DS54" s="173" t="e">
        <f t="shared" si="21"/>
        <v>#DIV/0!</v>
      </c>
      <c r="DT54" s="163" t="e">
        <f t="shared" si="22"/>
        <v>#DIV/0!</v>
      </c>
      <c r="DU54" s="174"/>
      <c r="DV54" s="175" t="e">
        <f t="shared" si="23"/>
        <v>#DIV/0!</v>
      </c>
      <c r="DW54" s="163">
        <f t="shared" si="24"/>
        <v>0</v>
      </c>
      <c r="DX54" s="164"/>
      <c r="DY54" s="176">
        <f t="shared" si="25"/>
        <v>0</v>
      </c>
      <c r="DZ54" s="177">
        <f t="shared" si="26"/>
        <v>0</v>
      </c>
      <c r="EA54" s="178">
        <f t="shared" si="27"/>
        <v>0</v>
      </c>
      <c r="EB54" s="179">
        <f t="shared" si="28"/>
        <v>0</v>
      </c>
      <c r="EC54" s="180"/>
      <c r="ED54" s="175" t="e">
        <f t="shared" si="29"/>
        <v>#DIV/0!</v>
      </c>
      <c r="EE54" s="163">
        <f t="shared" si="30"/>
        <v>0</v>
      </c>
      <c r="EF54" s="164"/>
      <c r="EG54" s="181">
        <f t="shared" si="31"/>
        <v>0</v>
      </c>
      <c r="EH54" s="182">
        <f t="shared" si="32"/>
        <v>0</v>
      </c>
      <c r="EI54" s="182">
        <f t="shared" si="33"/>
        <v>0</v>
      </c>
      <c r="EJ54" s="182">
        <f t="shared" si="34"/>
        <v>0</v>
      </c>
      <c r="EK54" s="183">
        <f t="shared" si="35"/>
        <v>0</v>
      </c>
      <c r="EL54" s="184" t="e">
        <f t="shared" si="36"/>
        <v>#DIV/0!</v>
      </c>
      <c r="EM54" s="185">
        <f t="shared" si="37"/>
        <v>0</v>
      </c>
      <c r="EN54" s="164"/>
      <c r="EO54" s="181">
        <f t="shared" si="38"/>
        <v>0</v>
      </c>
      <c r="EP54" s="183">
        <f t="shared" si="39"/>
        <v>0</v>
      </c>
      <c r="EQ54" s="184" t="e">
        <f t="shared" si="40"/>
        <v>#DIV/0!</v>
      </c>
      <c r="ER54" s="185">
        <f t="shared" si="41"/>
        <v>0</v>
      </c>
      <c r="ES54" s="164"/>
      <c r="ET54" s="164"/>
      <c r="EU54" s="186">
        <f t="shared" si="42"/>
        <v>0</v>
      </c>
      <c r="EV54" s="186">
        <f t="shared" si="43"/>
        <v>0</v>
      </c>
      <c r="EW54" s="186">
        <f t="shared" si="44"/>
        <v>0</v>
      </c>
      <c r="EX54" s="186">
        <f t="shared" si="45"/>
        <v>0</v>
      </c>
      <c r="EY54" s="131"/>
      <c r="EZ54" s="187">
        <f t="shared" si="46"/>
        <v>0</v>
      </c>
      <c r="FA54" s="188" t="e">
        <f t="shared" si="47"/>
        <v>#DIV/0!</v>
      </c>
      <c r="FB54" s="189"/>
      <c r="FC54" s="131"/>
      <c r="FD54" s="131"/>
      <c r="FE54" s="131"/>
      <c r="FF54" s="131"/>
      <c r="FG54" s="131"/>
    </row>
    <row r="55" spans="2:163" ht="16" outlineLevel="1" thickBot="1" x14ac:dyDescent="0.4">
      <c r="B55" s="358"/>
      <c r="C55" s="355"/>
      <c r="D55" s="204"/>
      <c r="E55" s="205"/>
      <c r="F55" s="135"/>
      <c r="G55" s="206"/>
      <c r="H55" s="137"/>
      <c r="I55" s="138">
        <f t="shared" si="0"/>
        <v>0</v>
      </c>
      <c r="J55" s="139"/>
      <c r="K55" s="208">
        <f t="shared" si="49"/>
        <v>0</v>
      </c>
      <c r="L55" s="141"/>
      <c r="M55" s="209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09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1"/>
      <c r="AN55" s="197">
        <f t="shared" si="2"/>
        <v>0</v>
      </c>
      <c r="AO55" s="146"/>
      <c r="AP55" s="147">
        <f t="shared" si="3"/>
        <v>0</v>
      </c>
      <c r="AQ55" s="148"/>
      <c r="AR55" s="198"/>
      <c r="AS55" s="198"/>
      <c r="AT55" s="135"/>
      <c r="AU55" s="199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1"/>
      <c r="BG55" s="201"/>
      <c r="BH55" s="201"/>
      <c r="BI55" s="201"/>
      <c r="BJ55" s="201"/>
      <c r="BK55" s="201"/>
      <c r="BL55" s="201"/>
      <c r="BM55" s="201"/>
      <c r="BN55" s="201"/>
      <c r="BO55" s="201"/>
      <c r="BP55" s="201"/>
      <c r="BQ55" s="201"/>
      <c r="BR55" s="199"/>
      <c r="BS55" s="200"/>
      <c r="BT55" s="200"/>
      <c r="BU55" s="200"/>
      <c r="BV55" s="200"/>
      <c r="BW55" s="200"/>
      <c r="BX55" s="200"/>
      <c r="BY55" s="200"/>
      <c r="BZ55" s="200"/>
      <c r="CA55" s="200"/>
      <c r="CB55" s="200"/>
      <c r="CC55" s="202"/>
      <c r="CD55" s="199"/>
      <c r="CE55" s="194"/>
      <c r="CF55" s="195"/>
      <c r="CG55" s="195"/>
      <c r="CH55" s="195"/>
      <c r="CI55" s="195"/>
      <c r="CJ55" s="195"/>
      <c r="CK55" s="195"/>
      <c r="CL55" s="195"/>
      <c r="CM55" s="195"/>
      <c r="CN55" s="195"/>
      <c r="CO55" s="347"/>
      <c r="CP55" s="200"/>
      <c r="CQ55" s="201"/>
      <c r="CR55" s="202"/>
      <c r="CS55" s="203">
        <f>SUM(AU55:CR55)</f>
        <v>0</v>
      </c>
      <c r="CT55" s="146"/>
      <c r="CU55" s="147">
        <f t="shared" si="4"/>
        <v>0</v>
      </c>
      <c r="CV55" s="156"/>
      <c r="CW55" s="157" t="e">
        <f t="shared" si="5"/>
        <v>#DIV/0!</v>
      </c>
      <c r="CX55" s="157" t="e">
        <f t="shared" si="6"/>
        <v>#DIV/0!</v>
      </c>
      <c r="CY55" s="157" t="e">
        <f>(SUM(AU55:BQ55))/$K55</f>
        <v>#DIV/0!</v>
      </c>
      <c r="CZ55" s="157" t="e">
        <f t="shared" si="8"/>
        <v>#DIV/0!</v>
      </c>
      <c r="DA55" s="157" t="e">
        <f t="shared" si="9"/>
        <v>#DIV/0!</v>
      </c>
      <c r="DB55" s="158" t="e">
        <f t="shared" si="10"/>
        <v>#DIV/0!</v>
      </c>
      <c r="DC55" s="131"/>
      <c r="DD55" s="159">
        <f>AP55</f>
        <v>0</v>
      </c>
      <c r="DE55" s="160">
        <f>CS55</f>
        <v>0</v>
      </c>
      <c r="DF55" s="161">
        <f>$DD55-DE55</f>
        <v>0</v>
      </c>
      <c r="DG55" s="162" t="e">
        <f>DF55/$DD55</f>
        <v>#DIV/0!</v>
      </c>
      <c r="DH55" s="163">
        <f>IF(AP55&gt;0.01,1,0)</f>
        <v>0</v>
      </c>
      <c r="DI55" s="164"/>
      <c r="DJ55" s="165">
        <f t="shared" si="50"/>
        <v>0</v>
      </c>
      <c r="DK55" s="166">
        <f t="shared" si="50"/>
        <v>0</v>
      </c>
      <c r="DL55" s="167" t="e">
        <f>DR55/DF55</f>
        <v>#DIV/0!</v>
      </c>
      <c r="DM55" s="168" t="e">
        <f>DL55/DK55</f>
        <v>#DIV/0!</v>
      </c>
      <c r="DN55" s="163" t="e">
        <f>IF(DM55&gt;0.01,1,0)</f>
        <v>#DIV/0!</v>
      </c>
      <c r="DO55" s="169"/>
      <c r="DP55" s="170"/>
      <c r="DQ55" s="171"/>
      <c r="DR55" s="172">
        <f>DP55+DQ55</f>
        <v>0</v>
      </c>
      <c r="DS55" s="173" t="e">
        <f>IF(DL55=0,0,DP55/DR55)</f>
        <v>#DIV/0!</v>
      </c>
      <c r="DT55" s="163" t="e">
        <f>IF(DS55&gt;0.01,1,0)</f>
        <v>#DIV/0!</v>
      </c>
      <c r="DU55" s="174"/>
      <c r="DV55" s="175" t="e">
        <f>DG55*DM55*DS55</f>
        <v>#DIV/0!</v>
      </c>
      <c r="DW55" s="163">
        <f t="shared" si="24"/>
        <v>0</v>
      </c>
      <c r="DX55" s="164"/>
      <c r="DY55" s="176">
        <f>DP55</f>
        <v>0</v>
      </c>
      <c r="DZ55" s="177">
        <f>DK55</f>
        <v>0</v>
      </c>
      <c r="EA55" s="178">
        <f>+AP55</f>
        <v>0</v>
      </c>
      <c r="EB55" s="179">
        <f>DZ55*EA55</f>
        <v>0</v>
      </c>
      <c r="EC55" s="180"/>
      <c r="ED55" s="175" t="e">
        <f>DY55/EB55</f>
        <v>#DIV/0!</v>
      </c>
      <c r="EE55" s="163">
        <f t="shared" si="30"/>
        <v>0</v>
      </c>
      <c r="EF55" s="164"/>
      <c r="EG55" s="181">
        <f>DP55</f>
        <v>0</v>
      </c>
      <c r="EH55" s="182">
        <f t="shared" si="32"/>
        <v>0</v>
      </c>
      <c r="EI55" s="182">
        <f t="shared" si="33"/>
        <v>0</v>
      </c>
      <c r="EJ55" s="182">
        <f t="shared" si="34"/>
        <v>0</v>
      </c>
      <c r="EK55" s="183">
        <f>(EH55-EI55)*EJ55</f>
        <v>0</v>
      </c>
      <c r="EL55" s="184" t="e">
        <f>EG55/EK55</f>
        <v>#DIV/0!</v>
      </c>
      <c r="EM55" s="185">
        <f>IF(EK55&gt;0.01,1,0)</f>
        <v>0</v>
      </c>
      <c r="EN55" s="164"/>
      <c r="EO55" s="181">
        <f>EG55</f>
        <v>0</v>
      </c>
      <c r="EP55" s="183">
        <f>EJ55</f>
        <v>0</v>
      </c>
      <c r="EQ55" s="184" t="e">
        <f t="shared" si="40"/>
        <v>#DIV/0!</v>
      </c>
      <c r="ER55" s="185">
        <f t="shared" si="41"/>
        <v>0</v>
      </c>
      <c r="ES55" s="164"/>
      <c r="ET55" s="164"/>
      <c r="EU55" s="186">
        <f>DK55</f>
        <v>0</v>
      </c>
      <c r="EV55" s="186">
        <f>CU55</f>
        <v>0</v>
      </c>
      <c r="EW55" s="186">
        <f t="shared" si="44"/>
        <v>0</v>
      </c>
      <c r="EX55" s="186">
        <f>DR55</f>
        <v>0</v>
      </c>
      <c r="EY55" s="131"/>
      <c r="EZ55" s="187">
        <f>EW55-EX55</f>
        <v>0</v>
      </c>
      <c r="FA55" s="188" t="e">
        <f t="shared" si="47"/>
        <v>#DIV/0!</v>
      </c>
      <c r="FB55" s="189"/>
      <c r="FC55" s="131"/>
      <c r="FD55" s="131"/>
      <c r="FE55" s="131"/>
      <c r="FF55" s="131"/>
      <c r="FG55" s="131"/>
    </row>
    <row r="56" spans="2:163" ht="16" outlineLevel="1" thickBot="1" x14ac:dyDescent="0.4">
      <c r="B56" s="356"/>
      <c r="C56" s="353"/>
      <c r="D56" s="133"/>
      <c r="E56" s="134"/>
      <c r="F56" s="135"/>
      <c r="G56" s="136"/>
      <c r="H56" s="137"/>
      <c r="I56" s="138">
        <f>IF(E56&gt;0.0001,11,0)</f>
        <v>0</v>
      </c>
      <c r="J56" s="139"/>
      <c r="K56" s="140">
        <f>E56*60</f>
        <v>0</v>
      </c>
      <c r="L56" s="141"/>
      <c r="M56" s="142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2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4"/>
      <c r="AN56" s="145">
        <f t="shared" si="2"/>
        <v>0</v>
      </c>
      <c r="AO56" s="146"/>
      <c r="AP56" s="147">
        <f t="shared" si="3"/>
        <v>0</v>
      </c>
      <c r="AQ56" s="148"/>
      <c r="AR56" s="149"/>
      <c r="AS56" s="149"/>
      <c r="AT56" s="135"/>
      <c r="AU56" s="150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0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4"/>
      <c r="CD56" s="150"/>
      <c r="CE56" s="142"/>
      <c r="CF56" s="143"/>
      <c r="CG56" s="143"/>
      <c r="CH56" s="143"/>
      <c r="CI56" s="143"/>
      <c r="CJ56" s="143"/>
      <c r="CK56" s="143"/>
      <c r="CL56" s="143"/>
      <c r="CM56" s="143"/>
      <c r="CN56" s="143"/>
      <c r="CO56" s="346"/>
      <c r="CP56" s="151"/>
      <c r="CQ56" s="152"/>
      <c r="CR56" s="154"/>
      <c r="CS56" s="155">
        <f t="shared" si="48"/>
        <v>0</v>
      </c>
      <c r="CT56" s="146"/>
      <c r="CU56" s="147">
        <f t="shared" si="4"/>
        <v>0</v>
      </c>
      <c r="CV56" s="156"/>
      <c r="CW56" s="157" t="e">
        <f t="shared" si="5"/>
        <v>#DIV/0!</v>
      </c>
      <c r="CX56" s="157" t="e">
        <f t="shared" si="6"/>
        <v>#DIV/0!</v>
      </c>
      <c r="CY56" s="157" t="e">
        <f t="shared" si="7"/>
        <v>#DIV/0!</v>
      </c>
      <c r="CZ56" s="157" t="e">
        <f t="shared" si="8"/>
        <v>#DIV/0!</v>
      </c>
      <c r="DA56" s="157" t="e">
        <f t="shared" si="9"/>
        <v>#DIV/0!</v>
      </c>
      <c r="DB56" s="158" t="e">
        <f t="shared" si="10"/>
        <v>#DIV/0!</v>
      </c>
      <c r="DC56" s="131"/>
      <c r="DD56" s="159">
        <f t="shared" si="11"/>
        <v>0</v>
      </c>
      <c r="DE56" s="160">
        <f t="shared" si="12"/>
        <v>0</v>
      </c>
      <c r="DF56" s="161">
        <f t="shared" si="13"/>
        <v>0</v>
      </c>
      <c r="DG56" s="162" t="e">
        <f t="shared" si="14"/>
        <v>#DIV/0!</v>
      </c>
      <c r="DH56" s="163">
        <f t="shared" si="15"/>
        <v>0</v>
      </c>
      <c r="DI56" s="164"/>
      <c r="DJ56" s="165">
        <f t="shared" si="50"/>
        <v>0</v>
      </c>
      <c r="DK56" s="166">
        <f t="shared" si="50"/>
        <v>0</v>
      </c>
      <c r="DL56" s="167" t="e">
        <f t="shared" si="17"/>
        <v>#DIV/0!</v>
      </c>
      <c r="DM56" s="168" t="e">
        <f t="shared" si="18"/>
        <v>#DIV/0!</v>
      </c>
      <c r="DN56" s="163" t="e">
        <f t="shared" si="19"/>
        <v>#DIV/0!</v>
      </c>
      <c r="DO56" s="169"/>
      <c r="DP56" s="170"/>
      <c r="DQ56" s="171"/>
      <c r="DR56" s="172">
        <f t="shared" si="20"/>
        <v>0</v>
      </c>
      <c r="DS56" s="173" t="e">
        <f t="shared" si="21"/>
        <v>#DIV/0!</v>
      </c>
      <c r="DT56" s="163" t="e">
        <f t="shared" si="22"/>
        <v>#DIV/0!</v>
      </c>
      <c r="DU56" s="174"/>
      <c r="DV56" s="175" t="e">
        <f t="shared" si="23"/>
        <v>#DIV/0!</v>
      </c>
      <c r="DW56" s="163">
        <f t="shared" si="24"/>
        <v>0</v>
      </c>
      <c r="DX56" s="164"/>
      <c r="DY56" s="176">
        <f t="shared" si="25"/>
        <v>0</v>
      </c>
      <c r="DZ56" s="177">
        <f t="shared" si="26"/>
        <v>0</v>
      </c>
      <c r="EA56" s="178">
        <f t="shared" si="27"/>
        <v>0</v>
      </c>
      <c r="EB56" s="179">
        <f t="shared" si="28"/>
        <v>0</v>
      </c>
      <c r="EC56" s="180"/>
      <c r="ED56" s="175" t="e">
        <f t="shared" si="29"/>
        <v>#DIV/0!</v>
      </c>
      <c r="EE56" s="163">
        <f t="shared" si="30"/>
        <v>0</v>
      </c>
      <c r="EF56" s="164"/>
      <c r="EG56" s="181">
        <f t="shared" si="31"/>
        <v>0</v>
      </c>
      <c r="EH56" s="182">
        <f t="shared" si="32"/>
        <v>0</v>
      </c>
      <c r="EI56" s="182">
        <f t="shared" si="33"/>
        <v>0</v>
      </c>
      <c r="EJ56" s="182">
        <f t="shared" si="34"/>
        <v>0</v>
      </c>
      <c r="EK56" s="183">
        <f t="shared" si="35"/>
        <v>0</v>
      </c>
      <c r="EL56" s="184" t="e">
        <f t="shared" si="36"/>
        <v>#DIV/0!</v>
      </c>
      <c r="EM56" s="185">
        <f t="shared" si="37"/>
        <v>0</v>
      </c>
      <c r="EN56" s="164"/>
      <c r="EO56" s="181">
        <f t="shared" si="38"/>
        <v>0</v>
      </c>
      <c r="EP56" s="183">
        <f t="shared" si="39"/>
        <v>0</v>
      </c>
      <c r="EQ56" s="184" t="e">
        <f t="shared" si="40"/>
        <v>#DIV/0!</v>
      </c>
      <c r="ER56" s="185">
        <f t="shared" si="41"/>
        <v>0</v>
      </c>
      <c r="ES56" s="164"/>
      <c r="ET56" s="164"/>
      <c r="EU56" s="186">
        <f t="shared" si="42"/>
        <v>0</v>
      </c>
      <c r="EV56" s="186">
        <f t="shared" si="43"/>
        <v>0</v>
      </c>
      <c r="EW56" s="186">
        <f t="shared" si="44"/>
        <v>0</v>
      </c>
      <c r="EX56" s="186">
        <f t="shared" si="45"/>
        <v>0</v>
      </c>
      <c r="EY56" s="131"/>
      <c r="EZ56" s="187">
        <f t="shared" si="46"/>
        <v>0</v>
      </c>
      <c r="FA56" s="188" t="e">
        <f t="shared" si="47"/>
        <v>#DIV/0!</v>
      </c>
      <c r="FB56" s="189"/>
      <c r="FC56" s="131"/>
      <c r="FD56" s="131"/>
      <c r="FE56" s="131"/>
      <c r="FF56" s="131"/>
      <c r="FG56" s="131"/>
    </row>
    <row r="57" spans="2:163" s="220" customFormat="1" ht="16" outlineLevel="1" thickBot="1" x14ac:dyDescent="0.4">
      <c r="B57" s="357"/>
      <c r="C57" s="354"/>
      <c r="D57" s="240"/>
      <c r="E57" s="191"/>
      <c r="F57" s="135"/>
      <c r="G57" s="192"/>
      <c r="H57" s="137"/>
      <c r="I57" s="138">
        <f>IF(E57&gt;0.0001,11,0)</f>
        <v>0</v>
      </c>
      <c r="J57" s="139"/>
      <c r="K57" s="193">
        <f t="shared" ref="K57:K58" si="51">E57*60</f>
        <v>0</v>
      </c>
      <c r="L57" s="141"/>
      <c r="M57" s="194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4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6"/>
      <c r="AN57" s="197">
        <f t="shared" si="2"/>
        <v>0</v>
      </c>
      <c r="AO57" s="146"/>
      <c r="AP57" s="147">
        <f t="shared" si="3"/>
        <v>0</v>
      </c>
      <c r="AQ57" s="221"/>
      <c r="AR57" s="198"/>
      <c r="AS57" s="198"/>
      <c r="AT57" s="222"/>
      <c r="AU57" s="228"/>
      <c r="AV57" s="229"/>
      <c r="AW57" s="229"/>
      <c r="AX57" s="229"/>
      <c r="AY57" s="229"/>
      <c r="AZ57" s="229"/>
      <c r="BA57" s="229"/>
      <c r="BB57" s="229"/>
      <c r="BC57" s="229"/>
      <c r="BD57" s="229"/>
      <c r="BE57" s="229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28"/>
      <c r="BS57" s="229"/>
      <c r="BT57" s="229"/>
      <c r="BU57" s="229"/>
      <c r="BV57" s="229"/>
      <c r="BW57" s="229"/>
      <c r="BX57" s="229"/>
      <c r="BY57" s="229"/>
      <c r="BZ57" s="229"/>
      <c r="CA57" s="229"/>
      <c r="CB57" s="229"/>
      <c r="CC57" s="231"/>
      <c r="CD57" s="228"/>
      <c r="CE57" s="194"/>
      <c r="CF57" s="195"/>
      <c r="CG57" s="195"/>
      <c r="CH57" s="195"/>
      <c r="CI57" s="195"/>
      <c r="CJ57" s="195"/>
      <c r="CK57" s="195"/>
      <c r="CL57" s="195"/>
      <c r="CM57" s="195"/>
      <c r="CN57" s="195"/>
      <c r="CO57" s="350"/>
      <c r="CP57" s="229"/>
      <c r="CQ57" s="230"/>
      <c r="CR57" s="231"/>
      <c r="CS57" s="232">
        <f t="shared" si="48"/>
        <v>0</v>
      </c>
      <c r="CT57" s="146"/>
      <c r="CU57" s="147">
        <f t="shared" si="4"/>
        <v>0</v>
      </c>
      <c r="CV57" s="156"/>
      <c r="CW57" s="157" t="e">
        <f t="shared" si="5"/>
        <v>#DIV/0!</v>
      </c>
      <c r="CX57" s="157" t="e">
        <f t="shared" si="6"/>
        <v>#DIV/0!</v>
      </c>
      <c r="CY57" s="157" t="e">
        <f t="shared" si="7"/>
        <v>#DIV/0!</v>
      </c>
      <c r="CZ57" s="157" t="e">
        <f t="shared" si="8"/>
        <v>#DIV/0!</v>
      </c>
      <c r="DA57" s="157" t="e">
        <f t="shared" si="9"/>
        <v>#DIV/0!</v>
      </c>
      <c r="DB57" s="158" t="e">
        <f t="shared" si="10"/>
        <v>#DIV/0!</v>
      </c>
      <c r="DC57" s="131"/>
      <c r="DD57" s="159">
        <f t="shared" si="11"/>
        <v>0</v>
      </c>
      <c r="DE57" s="160">
        <f t="shared" si="12"/>
        <v>0</v>
      </c>
      <c r="DF57" s="161">
        <f t="shared" si="13"/>
        <v>0</v>
      </c>
      <c r="DG57" s="162" t="e">
        <f t="shared" si="14"/>
        <v>#DIV/0!</v>
      </c>
      <c r="DH57" s="163">
        <f t="shared" si="15"/>
        <v>0</v>
      </c>
      <c r="DI57" s="164"/>
      <c r="DJ57" s="165">
        <f t="shared" si="50"/>
        <v>0</v>
      </c>
      <c r="DK57" s="166">
        <f t="shared" si="50"/>
        <v>0</v>
      </c>
      <c r="DL57" s="167" t="e">
        <f t="shared" si="17"/>
        <v>#DIV/0!</v>
      </c>
      <c r="DM57" s="168" t="e">
        <f t="shared" si="18"/>
        <v>#DIV/0!</v>
      </c>
      <c r="DN57" s="163" t="e">
        <f t="shared" si="19"/>
        <v>#DIV/0!</v>
      </c>
      <c r="DO57" s="169"/>
      <c r="DP57" s="170"/>
      <c r="DQ57" s="171"/>
      <c r="DR57" s="172">
        <f t="shared" si="20"/>
        <v>0</v>
      </c>
      <c r="DS57" s="173" t="e">
        <f t="shared" si="21"/>
        <v>#DIV/0!</v>
      </c>
      <c r="DT57" s="163" t="e">
        <f t="shared" si="22"/>
        <v>#DIV/0!</v>
      </c>
      <c r="DU57" s="174"/>
      <c r="DV57" s="175" t="e">
        <f t="shared" si="23"/>
        <v>#DIV/0!</v>
      </c>
      <c r="DW57" s="163">
        <f t="shared" si="24"/>
        <v>0</v>
      </c>
      <c r="DX57" s="164"/>
      <c r="DY57" s="176">
        <f t="shared" si="25"/>
        <v>0</v>
      </c>
      <c r="DZ57" s="177">
        <f t="shared" si="26"/>
        <v>0</v>
      </c>
      <c r="EA57" s="178">
        <f t="shared" si="27"/>
        <v>0</v>
      </c>
      <c r="EB57" s="179">
        <f t="shared" si="28"/>
        <v>0</v>
      </c>
      <c r="EC57" s="180"/>
      <c r="ED57" s="175" t="e">
        <f t="shared" si="29"/>
        <v>#DIV/0!</v>
      </c>
      <c r="EE57" s="163">
        <f t="shared" si="30"/>
        <v>0</v>
      </c>
      <c r="EF57" s="164"/>
      <c r="EG57" s="181">
        <f t="shared" si="31"/>
        <v>0</v>
      </c>
      <c r="EH57" s="182">
        <f t="shared" si="32"/>
        <v>0</v>
      </c>
      <c r="EI57" s="182">
        <f t="shared" si="33"/>
        <v>0</v>
      </c>
      <c r="EJ57" s="182">
        <f t="shared" si="34"/>
        <v>0</v>
      </c>
      <c r="EK57" s="183">
        <f t="shared" si="35"/>
        <v>0</v>
      </c>
      <c r="EL57" s="184" t="e">
        <f t="shared" si="36"/>
        <v>#DIV/0!</v>
      </c>
      <c r="EM57" s="185">
        <f t="shared" si="37"/>
        <v>0</v>
      </c>
      <c r="EN57" s="164"/>
      <c r="EO57" s="181">
        <f t="shared" si="38"/>
        <v>0</v>
      </c>
      <c r="EP57" s="183">
        <f t="shared" si="39"/>
        <v>0</v>
      </c>
      <c r="EQ57" s="184" t="e">
        <f t="shared" si="40"/>
        <v>#DIV/0!</v>
      </c>
      <c r="ER57" s="185">
        <f t="shared" si="41"/>
        <v>0</v>
      </c>
      <c r="ES57" s="164"/>
      <c r="ET57" s="164"/>
      <c r="EU57" s="186">
        <f t="shared" si="42"/>
        <v>0</v>
      </c>
      <c r="EV57" s="186">
        <f t="shared" si="43"/>
        <v>0</v>
      </c>
      <c r="EW57" s="186">
        <f t="shared" si="44"/>
        <v>0</v>
      </c>
      <c r="EX57" s="186">
        <f t="shared" si="45"/>
        <v>0</v>
      </c>
      <c r="EY57" s="131"/>
      <c r="EZ57" s="187">
        <f t="shared" si="46"/>
        <v>0</v>
      </c>
      <c r="FA57" s="188" t="e">
        <f t="shared" si="47"/>
        <v>#DIV/0!</v>
      </c>
      <c r="FB57" s="189"/>
      <c r="FC57" s="219"/>
      <c r="FD57" s="219"/>
      <c r="FE57" s="219"/>
      <c r="FF57" s="219"/>
      <c r="FG57" s="219"/>
    </row>
    <row r="58" spans="2:163" ht="16" outlineLevel="1" thickBot="1" x14ac:dyDescent="0.4">
      <c r="B58" s="358"/>
      <c r="C58" s="355"/>
      <c r="D58" s="243"/>
      <c r="E58" s="244"/>
      <c r="F58" s="135"/>
      <c r="G58" s="192"/>
      <c r="H58" s="137"/>
      <c r="I58" s="138">
        <f t="shared" si="0"/>
        <v>0</v>
      </c>
      <c r="J58" s="139"/>
      <c r="K58" s="208">
        <f t="shared" si="51"/>
        <v>0</v>
      </c>
      <c r="L58" s="141"/>
      <c r="M58" s="209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09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1"/>
      <c r="AN58" s="212">
        <f t="shared" si="2"/>
        <v>0</v>
      </c>
      <c r="AO58" s="146"/>
      <c r="AP58" s="147">
        <f t="shared" si="3"/>
        <v>0</v>
      </c>
      <c r="AQ58" s="148"/>
      <c r="AR58" s="213"/>
      <c r="AS58" s="213"/>
      <c r="AT58" s="135"/>
      <c r="AU58" s="214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4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7"/>
      <c r="CD58" s="214"/>
      <c r="CE58" s="209"/>
      <c r="CF58" s="210"/>
      <c r="CG58" s="210"/>
      <c r="CH58" s="210"/>
      <c r="CI58" s="210"/>
      <c r="CJ58" s="210"/>
      <c r="CK58" s="210"/>
      <c r="CL58" s="210"/>
      <c r="CM58" s="210"/>
      <c r="CN58" s="210"/>
      <c r="CO58" s="348"/>
      <c r="CP58" s="215"/>
      <c r="CQ58" s="216"/>
      <c r="CR58" s="217"/>
      <c r="CS58" s="218">
        <f t="shared" si="48"/>
        <v>0</v>
      </c>
      <c r="CT58" s="146"/>
      <c r="CU58" s="147">
        <f t="shared" si="4"/>
        <v>0</v>
      </c>
      <c r="CV58" s="156"/>
      <c r="CW58" s="157" t="e">
        <f t="shared" si="5"/>
        <v>#DIV/0!</v>
      </c>
      <c r="CX58" s="157" t="e">
        <f t="shared" si="6"/>
        <v>#DIV/0!</v>
      </c>
      <c r="CY58" s="157" t="e">
        <f t="shared" si="7"/>
        <v>#DIV/0!</v>
      </c>
      <c r="CZ58" s="157" t="e">
        <f t="shared" si="8"/>
        <v>#DIV/0!</v>
      </c>
      <c r="DA58" s="157" t="e">
        <f t="shared" si="9"/>
        <v>#DIV/0!</v>
      </c>
      <c r="DB58" s="158" t="e">
        <f t="shared" si="10"/>
        <v>#DIV/0!</v>
      </c>
      <c r="DC58" s="131"/>
      <c r="DD58" s="159">
        <f t="shared" si="11"/>
        <v>0</v>
      </c>
      <c r="DE58" s="160">
        <f t="shared" si="12"/>
        <v>0</v>
      </c>
      <c r="DF58" s="161">
        <f t="shared" si="13"/>
        <v>0</v>
      </c>
      <c r="DG58" s="162" t="e">
        <f t="shared" si="14"/>
        <v>#DIV/0!</v>
      </c>
      <c r="DH58" s="163">
        <f t="shared" si="15"/>
        <v>0</v>
      </c>
      <c r="DI58" s="164"/>
      <c r="DJ58" s="165">
        <f t="shared" si="50"/>
        <v>0</v>
      </c>
      <c r="DK58" s="166">
        <f t="shared" si="50"/>
        <v>0</v>
      </c>
      <c r="DL58" s="167" t="e">
        <f t="shared" si="17"/>
        <v>#DIV/0!</v>
      </c>
      <c r="DM58" s="168" t="e">
        <f t="shared" si="18"/>
        <v>#DIV/0!</v>
      </c>
      <c r="DN58" s="163" t="e">
        <f t="shared" si="19"/>
        <v>#DIV/0!</v>
      </c>
      <c r="DO58" s="169"/>
      <c r="DP58" s="170"/>
      <c r="DQ58" s="171"/>
      <c r="DR58" s="172">
        <f t="shared" si="20"/>
        <v>0</v>
      </c>
      <c r="DS58" s="173" t="e">
        <f t="shared" si="21"/>
        <v>#DIV/0!</v>
      </c>
      <c r="DT58" s="163" t="e">
        <f t="shared" si="22"/>
        <v>#DIV/0!</v>
      </c>
      <c r="DU58" s="174"/>
      <c r="DV58" s="175" t="e">
        <f t="shared" si="23"/>
        <v>#DIV/0!</v>
      </c>
      <c r="DW58" s="163">
        <f t="shared" si="24"/>
        <v>0</v>
      </c>
      <c r="DX58" s="164"/>
      <c r="DY58" s="176">
        <f t="shared" si="25"/>
        <v>0</v>
      </c>
      <c r="DZ58" s="177">
        <f t="shared" si="26"/>
        <v>0</v>
      </c>
      <c r="EA58" s="178">
        <f t="shared" si="27"/>
        <v>0</v>
      </c>
      <c r="EB58" s="179">
        <f t="shared" si="28"/>
        <v>0</v>
      </c>
      <c r="EC58" s="180"/>
      <c r="ED58" s="175" t="e">
        <f t="shared" si="29"/>
        <v>#DIV/0!</v>
      </c>
      <c r="EE58" s="163">
        <f t="shared" si="30"/>
        <v>0</v>
      </c>
      <c r="EF58" s="164"/>
      <c r="EG58" s="181">
        <f t="shared" si="31"/>
        <v>0</v>
      </c>
      <c r="EH58" s="182">
        <f t="shared" si="32"/>
        <v>0</v>
      </c>
      <c r="EI58" s="182">
        <f t="shared" si="33"/>
        <v>0</v>
      </c>
      <c r="EJ58" s="182">
        <f t="shared" si="34"/>
        <v>0</v>
      </c>
      <c r="EK58" s="183">
        <f t="shared" si="35"/>
        <v>0</v>
      </c>
      <c r="EL58" s="184" t="e">
        <f t="shared" si="36"/>
        <v>#DIV/0!</v>
      </c>
      <c r="EM58" s="185">
        <f t="shared" si="37"/>
        <v>0</v>
      </c>
      <c r="EN58" s="164"/>
      <c r="EO58" s="181">
        <f t="shared" si="38"/>
        <v>0</v>
      </c>
      <c r="EP58" s="183">
        <f t="shared" si="39"/>
        <v>0</v>
      </c>
      <c r="EQ58" s="184" t="e">
        <f t="shared" si="40"/>
        <v>#DIV/0!</v>
      </c>
      <c r="ER58" s="185">
        <f t="shared" si="41"/>
        <v>0</v>
      </c>
      <c r="ES58" s="164"/>
      <c r="ET58" s="164"/>
      <c r="EU58" s="186">
        <f t="shared" si="42"/>
        <v>0</v>
      </c>
      <c r="EV58" s="186">
        <f t="shared" si="43"/>
        <v>0</v>
      </c>
      <c r="EW58" s="186">
        <f t="shared" si="44"/>
        <v>0</v>
      </c>
      <c r="EX58" s="186">
        <f t="shared" si="45"/>
        <v>0</v>
      </c>
      <c r="EY58" s="131"/>
      <c r="EZ58" s="187">
        <f t="shared" si="46"/>
        <v>0</v>
      </c>
      <c r="FA58" s="188" t="e">
        <f t="shared" si="47"/>
        <v>#DIV/0!</v>
      </c>
      <c r="FB58" s="189"/>
      <c r="FC58" s="219"/>
      <c r="FD58" s="219"/>
      <c r="FE58" s="131"/>
      <c r="FF58" s="131"/>
      <c r="FG58" s="131"/>
    </row>
    <row r="59" spans="2:163" s="220" customFormat="1" ht="16" outlineLevel="1" thickBot="1" x14ac:dyDescent="0.4">
      <c r="B59" s="356"/>
      <c r="C59" s="353"/>
      <c r="D59" s="133"/>
      <c r="E59" s="134"/>
      <c r="F59" s="135"/>
      <c r="G59" s="136"/>
      <c r="H59" s="137"/>
      <c r="I59" s="138">
        <f t="shared" si="0"/>
        <v>0</v>
      </c>
      <c r="J59" s="139"/>
      <c r="K59" s="140">
        <f>E59*60</f>
        <v>0</v>
      </c>
      <c r="L59" s="141"/>
      <c r="M59" s="142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2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4"/>
      <c r="AN59" s="145">
        <f t="shared" si="2"/>
        <v>0</v>
      </c>
      <c r="AO59" s="146"/>
      <c r="AP59" s="147">
        <f t="shared" si="3"/>
        <v>0</v>
      </c>
      <c r="AQ59" s="221"/>
      <c r="AR59" s="149"/>
      <c r="AS59" s="149"/>
      <c r="AT59" s="222"/>
      <c r="AU59" s="223"/>
      <c r="AV59" s="224"/>
      <c r="AW59" s="224"/>
      <c r="AX59" s="224"/>
      <c r="AY59" s="224"/>
      <c r="AZ59" s="224"/>
      <c r="BA59" s="224"/>
      <c r="BB59" s="224"/>
      <c r="BC59" s="224"/>
      <c r="BD59" s="224"/>
      <c r="BE59" s="224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3"/>
      <c r="BS59" s="224"/>
      <c r="BT59" s="224"/>
      <c r="BU59" s="224"/>
      <c r="BV59" s="224"/>
      <c r="BW59" s="224"/>
      <c r="BX59" s="224"/>
      <c r="BY59" s="224"/>
      <c r="BZ59" s="224"/>
      <c r="CA59" s="224"/>
      <c r="CB59" s="224"/>
      <c r="CC59" s="226"/>
      <c r="CD59" s="223"/>
      <c r="CE59" s="142"/>
      <c r="CF59" s="143"/>
      <c r="CG59" s="143"/>
      <c r="CH59" s="143"/>
      <c r="CI59" s="143"/>
      <c r="CJ59" s="143"/>
      <c r="CK59" s="143"/>
      <c r="CL59" s="143"/>
      <c r="CM59" s="143"/>
      <c r="CN59" s="143"/>
      <c r="CO59" s="349"/>
      <c r="CP59" s="224"/>
      <c r="CQ59" s="225"/>
      <c r="CR59" s="226"/>
      <c r="CS59" s="227">
        <f t="shared" si="48"/>
        <v>0</v>
      </c>
      <c r="CT59" s="146"/>
      <c r="CU59" s="147">
        <f t="shared" si="4"/>
        <v>0</v>
      </c>
      <c r="CV59" s="156"/>
      <c r="CW59" s="157" t="e">
        <f t="shared" si="5"/>
        <v>#DIV/0!</v>
      </c>
      <c r="CX59" s="157" t="e">
        <f t="shared" si="6"/>
        <v>#DIV/0!</v>
      </c>
      <c r="CY59" s="157" t="e">
        <f t="shared" si="7"/>
        <v>#DIV/0!</v>
      </c>
      <c r="CZ59" s="157" t="e">
        <f t="shared" si="8"/>
        <v>#DIV/0!</v>
      </c>
      <c r="DA59" s="157" t="e">
        <f t="shared" si="9"/>
        <v>#DIV/0!</v>
      </c>
      <c r="DB59" s="158" t="e">
        <f t="shared" si="10"/>
        <v>#DIV/0!</v>
      </c>
      <c r="DC59" s="131"/>
      <c r="DD59" s="159">
        <f t="shared" si="11"/>
        <v>0</v>
      </c>
      <c r="DE59" s="160">
        <f t="shared" si="12"/>
        <v>0</v>
      </c>
      <c r="DF59" s="161">
        <f t="shared" si="13"/>
        <v>0</v>
      </c>
      <c r="DG59" s="162" t="e">
        <f t="shared" si="14"/>
        <v>#DIV/0!</v>
      </c>
      <c r="DH59" s="163">
        <f t="shared" si="15"/>
        <v>0</v>
      </c>
      <c r="DI59" s="164"/>
      <c r="DJ59" s="165">
        <f t="shared" si="50"/>
        <v>0</v>
      </c>
      <c r="DK59" s="166">
        <f t="shared" si="50"/>
        <v>0</v>
      </c>
      <c r="DL59" s="167" t="e">
        <f t="shared" si="17"/>
        <v>#DIV/0!</v>
      </c>
      <c r="DM59" s="168" t="e">
        <f t="shared" si="18"/>
        <v>#DIV/0!</v>
      </c>
      <c r="DN59" s="163" t="e">
        <f t="shared" si="19"/>
        <v>#DIV/0!</v>
      </c>
      <c r="DO59" s="169"/>
      <c r="DP59" s="170"/>
      <c r="DQ59" s="171"/>
      <c r="DR59" s="172">
        <f t="shared" si="20"/>
        <v>0</v>
      </c>
      <c r="DS59" s="173" t="e">
        <f t="shared" si="21"/>
        <v>#DIV/0!</v>
      </c>
      <c r="DT59" s="163" t="e">
        <f t="shared" si="22"/>
        <v>#DIV/0!</v>
      </c>
      <c r="DU59" s="174"/>
      <c r="DV59" s="175" t="e">
        <f t="shared" si="23"/>
        <v>#DIV/0!</v>
      </c>
      <c r="DW59" s="163">
        <f t="shared" si="24"/>
        <v>0</v>
      </c>
      <c r="DX59" s="164"/>
      <c r="DY59" s="176">
        <f t="shared" si="25"/>
        <v>0</v>
      </c>
      <c r="DZ59" s="177">
        <f t="shared" si="26"/>
        <v>0</v>
      </c>
      <c r="EA59" s="178">
        <f t="shared" si="27"/>
        <v>0</v>
      </c>
      <c r="EB59" s="179">
        <f t="shared" si="28"/>
        <v>0</v>
      </c>
      <c r="EC59" s="180"/>
      <c r="ED59" s="175" t="e">
        <f t="shared" si="29"/>
        <v>#DIV/0!</v>
      </c>
      <c r="EE59" s="163">
        <f t="shared" si="30"/>
        <v>0</v>
      </c>
      <c r="EF59" s="164"/>
      <c r="EG59" s="181">
        <f t="shared" si="31"/>
        <v>0</v>
      </c>
      <c r="EH59" s="182">
        <f t="shared" si="32"/>
        <v>0</v>
      </c>
      <c r="EI59" s="182">
        <f t="shared" si="33"/>
        <v>0</v>
      </c>
      <c r="EJ59" s="182">
        <f t="shared" si="34"/>
        <v>0</v>
      </c>
      <c r="EK59" s="183">
        <f t="shared" si="35"/>
        <v>0</v>
      </c>
      <c r="EL59" s="184" t="e">
        <f t="shared" si="36"/>
        <v>#DIV/0!</v>
      </c>
      <c r="EM59" s="185">
        <f t="shared" si="37"/>
        <v>0</v>
      </c>
      <c r="EN59" s="164"/>
      <c r="EO59" s="181">
        <f t="shared" si="38"/>
        <v>0</v>
      </c>
      <c r="EP59" s="183">
        <f t="shared" si="39"/>
        <v>0</v>
      </c>
      <c r="EQ59" s="184" t="e">
        <f t="shared" si="40"/>
        <v>#DIV/0!</v>
      </c>
      <c r="ER59" s="185">
        <f t="shared" si="41"/>
        <v>0</v>
      </c>
      <c r="ES59" s="164"/>
      <c r="ET59" s="164"/>
      <c r="EU59" s="186">
        <f t="shared" si="42"/>
        <v>0</v>
      </c>
      <c r="EV59" s="186">
        <f t="shared" si="43"/>
        <v>0</v>
      </c>
      <c r="EW59" s="186">
        <f t="shared" si="44"/>
        <v>0</v>
      </c>
      <c r="EX59" s="186">
        <f t="shared" si="45"/>
        <v>0</v>
      </c>
      <c r="EY59" s="131"/>
      <c r="EZ59" s="187">
        <f t="shared" si="46"/>
        <v>0</v>
      </c>
      <c r="FA59" s="188" t="e">
        <f t="shared" si="47"/>
        <v>#DIV/0!</v>
      </c>
      <c r="FB59" s="189"/>
      <c r="FC59" s="219"/>
      <c r="FD59" s="219"/>
      <c r="FE59" s="219"/>
      <c r="FF59" s="219"/>
      <c r="FG59" s="219"/>
    </row>
    <row r="60" spans="2:163" s="220" customFormat="1" ht="16" outlineLevel="1" thickBot="1" x14ac:dyDescent="0.4">
      <c r="B60" s="357"/>
      <c r="C60" s="354"/>
      <c r="D60" s="240"/>
      <c r="E60" s="241"/>
      <c r="F60" s="135"/>
      <c r="G60" s="192"/>
      <c r="H60" s="242"/>
      <c r="I60" s="138">
        <f t="shared" si="0"/>
        <v>0</v>
      </c>
      <c r="J60" s="139"/>
      <c r="K60" s="193">
        <f t="shared" ref="K60:K61" si="52">E60*60</f>
        <v>0</v>
      </c>
      <c r="L60" s="141"/>
      <c r="M60" s="194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4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6"/>
      <c r="AN60" s="197">
        <f t="shared" si="2"/>
        <v>0</v>
      </c>
      <c r="AO60" s="146"/>
      <c r="AP60" s="147">
        <f t="shared" si="3"/>
        <v>0</v>
      </c>
      <c r="AQ60" s="221"/>
      <c r="AR60" s="198"/>
      <c r="AS60" s="198"/>
      <c r="AT60" s="222"/>
      <c r="AU60" s="228"/>
      <c r="AV60" s="229"/>
      <c r="AW60" s="229"/>
      <c r="AX60" s="229"/>
      <c r="AY60" s="229"/>
      <c r="AZ60" s="229"/>
      <c r="BA60" s="229"/>
      <c r="BB60" s="229"/>
      <c r="BC60" s="229"/>
      <c r="BD60" s="229"/>
      <c r="BE60" s="229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28"/>
      <c r="BS60" s="229"/>
      <c r="BT60" s="229"/>
      <c r="BU60" s="229"/>
      <c r="BV60" s="229"/>
      <c r="BW60" s="229"/>
      <c r="BX60" s="229"/>
      <c r="BY60" s="229"/>
      <c r="BZ60" s="229"/>
      <c r="CA60" s="229"/>
      <c r="CB60" s="229"/>
      <c r="CC60" s="231"/>
      <c r="CD60" s="228"/>
      <c r="CE60" s="194"/>
      <c r="CF60" s="195"/>
      <c r="CG60" s="195"/>
      <c r="CH60" s="195"/>
      <c r="CI60" s="195"/>
      <c r="CJ60" s="195"/>
      <c r="CK60" s="195"/>
      <c r="CL60" s="195"/>
      <c r="CM60" s="195"/>
      <c r="CN60" s="195"/>
      <c r="CO60" s="350"/>
      <c r="CP60" s="229"/>
      <c r="CQ60" s="230"/>
      <c r="CR60" s="231"/>
      <c r="CS60" s="232">
        <f t="shared" si="48"/>
        <v>0</v>
      </c>
      <c r="CT60" s="146"/>
      <c r="CU60" s="147">
        <f t="shared" si="4"/>
        <v>0</v>
      </c>
      <c r="CV60" s="156"/>
      <c r="CW60" s="157" t="e">
        <f t="shared" si="5"/>
        <v>#DIV/0!</v>
      </c>
      <c r="CX60" s="157" t="e">
        <f t="shared" si="6"/>
        <v>#DIV/0!</v>
      </c>
      <c r="CY60" s="157" t="e">
        <f t="shared" si="7"/>
        <v>#DIV/0!</v>
      </c>
      <c r="CZ60" s="157" t="e">
        <f t="shared" si="8"/>
        <v>#DIV/0!</v>
      </c>
      <c r="DA60" s="157" t="e">
        <f t="shared" si="9"/>
        <v>#DIV/0!</v>
      </c>
      <c r="DB60" s="158" t="e">
        <f t="shared" si="10"/>
        <v>#DIV/0!</v>
      </c>
      <c r="DC60" s="131"/>
      <c r="DD60" s="159">
        <f t="shared" si="11"/>
        <v>0</v>
      </c>
      <c r="DE60" s="160">
        <f t="shared" si="12"/>
        <v>0</v>
      </c>
      <c r="DF60" s="161">
        <f t="shared" si="13"/>
        <v>0</v>
      </c>
      <c r="DG60" s="162" t="e">
        <f t="shared" si="14"/>
        <v>#DIV/0!</v>
      </c>
      <c r="DH60" s="163">
        <f t="shared" si="15"/>
        <v>0</v>
      </c>
      <c r="DI60" s="164"/>
      <c r="DJ60" s="165">
        <f t="shared" si="50"/>
        <v>0</v>
      </c>
      <c r="DK60" s="166">
        <f t="shared" si="50"/>
        <v>0</v>
      </c>
      <c r="DL60" s="167" t="e">
        <f t="shared" si="17"/>
        <v>#DIV/0!</v>
      </c>
      <c r="DM60" s="168" t="e">
        <f t="shared" si="18"/>
        <v>#DIV/0!</v>
      </c>
      <c r="DN60" s="163" t="e">
        <f t="shared" si="19"/>
        <v>#DIV/0!</v>
      </c>
      <c r="DO60" s="169"/>
      <c r="DP60" s="170"/>
      <c r="DQ60" s="171"/>
      <c r="DR60" s="172">
        <f t="shared" si="20"/>
        <v>0</v>
      </c>
      <c r="DS60" s="173" t="e">
        <f t="shared" si="21"/>
        <v>#DIV/0!</v>
      </c>
      <c r="DT60" s="163" t="e">
        <f t="shared" si="22"/>
        <v>#DIV/0!</v>
      </c>
      <c r="DU60" s="174"/>
      <c r="DV60" s="175" t="e">
        <f t="shared" si="23"/>
        <v>#DIV/0!</v>
      </c>
      <c r="DW60" s="163">
        <f t="shared" si="24"/>
        <v>0</v>
      </c>
      <c r="DX60" s="164"/>
      <c r="DY60" s="176">
        <f t="shared" si="25"/>
        <v>0</v>
      </c>
      <c r="DZ60" s="177">
        <f t="shared" si="26"/>
        <v>0</v>
      </c>
      <c r="EA60" s="178">
        <f t="shared" si="27"/>
        <v>0</v>
      </c>
      <c r="EB60" s="179">
        <f t="shared" si="28"/>
        <v>0</v>
      </c>
      <c r="EC60" s="180"/>
      <c r="ED60" s="175" t="e">
        <f t="shared" si="29"/>
        <v>#DIV/0!</v>
      </c>
      <c r="EE60" s="163">
        <f t="shared" si="30"/>
        <v>0</v>
      </c>
      <c r="EF60" s="164"/>
      <c r="EG60" s="181">
        <f t="shared" si="31"/>
        <v>0</v>
      </c>
      <c r="EH60" s="182">
        <f t="shared" si="32"/>
        <v>0</v>
      </c>
      <c r="EI60" s="182">
        <f t="shared" si="33"/>
        <v>0</v>
      </c>
      <c r="EJ60" s="182">
        <f t="shared" si="34"/>
        <v>0</v>
      </c>
      <c r="EK60" s="183">
        <f t="shared" si="35"/>
        <v>0</v>
      </c>
      <c r="EL60" s="184" t="e">
        <f t="shared" si="36"/>
        <v>#DIV/0!</v>
      </c>
      <c r="EM60" s="185">
        <f t="shared" si="37"/>
        <v>0</v>
      </c>
      <c r="EN60" s="164"/>
      <c r="EO60" s="181">
        <f t="shared" si="38"/>
        <v>0</v>
      </c>
      <c r="EP60" s="183">
        <f t="shared" si="39"/>
        <v>0</v>
      </c>
      <c r="EQ60" s="184" t="e">
        <f t="shared" si="40"/>
        <v>#DIV/0!</v>
      </c>
      <c r="ER60" s="185">
        <f t="shared" si="41"/>
        <v>0</v>
      </c>
      <c r="ES60" s="164"/>
      <c r="ET60" s="164"/>
      <c r="EU60" s="186">
        <f t="shared" si="42"/>
        <v>0</v>
      </c>
      <c r="EV60" s="186">
        <f t="shared" si="43"/>
        <v>0</v>
      </c>
      <c r="EW60" s="186">
        <f t="shared" si="44"/>
        <v>0</v>
      </c>
      <c r="EX60" s="186">
        <f t="shared" si="45"/>
        <v>0</v>
      </c>
      <c r="EY60" s="131"/>
      <c r="EZ60" s="187">
        <f t="shared" si="46"/>
        <v>0</v>
      </c>
      <c r="FA60" s="188" t="e">
        <f t="shared" si="47"/>
        <v>#DIV/0!</v>
      </c>
      <c r="FB60" s="189"/>
      <c r="FC60" s="219"/>
      <c r="FD60" s="219"/>
      <c r="FE60" s="219"/>
      <c r="FF60" s="219"/>
      <c r="FG60" s="219"/>
    </row>
    <row r="61" spans="2:163" s="220" customFormat="1" ht="16" outlineLevel="1" thickBot="1" x14ac:dyDescent="0.4">
      <c r="B61" s="358"/>
      <c r="C61" s="355"/>
      <c r="D61" s="243"/>
      <c r="E61" s="244"/>
      <c r="F61" s="135"/>
      <c r="G61" s="192"/>
      <c r="H61" s="245"/>
      <c r="I61" s="138">
        <f t="shared" si="0"/>
        <v>0</v>
      </c>
      <c r="J61" s="139"/>
      <c r="K61" s="208">
        <f t="shared" si="52"/>
        <v>0</v>
      </c>
      <c r="L61" s="141"/>
      <c r="M61" s="209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09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1"/>
      <c r="AN61" s="212">
        <f t="shared" si="2"/>
        <v>0</v>
      </c>
      <c r="AO61" s="146"/>
      <c r="AP61" s="147">
        <f t="shared" si="3"/>
        <v>0</v>
      </c>
      <c r="AQ61" s="221"/>
      <c r="AR61" s="213"/>
      <c r="AS61" s="213"/>
      <c r="AT61" s="222"/>
      <c r="AU61" s="233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3"/>
      <c r="BS61" s="234"/>
      <c r="BT61" s="234"/>
      <c r="BU61" s="234"/>
      <c r="BV61" s="234"/>
      <c r="BW61" s="234"/>
      <c r="BX61" s="234"/>
      <c r="BY61" s="234"/>
      <c r="BZ61" s="234"/>
      <c r="CA61" s="234"/>
      <c r="CB61" s="234"/>
      <c r="CC61" s="236"/>
      <c r="CD61" s="233"/>
      <c r="CE61" s="209"/>
      <c r="CF61" s="210"/>
      <c r="CG61" s="210"/>
      <c r="CH61" s="210"/>
      <c r="CI61" s="210"/>
      <c r="CJ61" s="210"/>
      <c r="CK61" s="210"/>
      <c r="CL61" s="210"/>
      <c r="CM61" s="210"/>
      <c r="CN61" s="210"/>
      <c r="CO61" s="351"/>
      <c r="CP61" s="234"/>
      <c r="CQ61" s="235"/>
      <c r="CR61" s="236"/>
      <c r="CS61" s="237">
        <f t="shared" si="48"/>
        <v>0</v>
      </c>
      <c r="CT61" s="146"/>
      <c r="CU61" s="147">
        <f t="shared" si="4"/>
        <v>0</v>
      </c>
      <c r="CV61" s="156"/>
      <c r="CW61" s="157" t="e">
        <f t="shared" si="5"/>
        <v>#DIV/0!</v>
      </c>
      <c r="CX61" s="157" t="e">
        <f t="shared" si="6"/>
        <v>#DIV/0!</v>
      </c>
      <c r="CY61" s="157" t="e">
        <f t="shared" si="7"/>
        <v>#DIV/0!</v>
      </c>
      <c r="CZ61" s="157" t="e">
        <f t="shared" si="8"/>
        <v>#DIV/0!</v>
      </c>
      <c r="DA61" s="157" t="e">
        <f t="shared" si="9"/>
        <v>#DIV/0!</v>
      </c>
      <c r="DB61" s="158" t="e">
        <f t="shared" si="10"/>
        <v>#DIV/0!</v>
      </c>
      <c r="DC61" s="131"/>
      <c r="DD61" s="159">
        <f t="shared" si="11"/>
        <v>0</v>
      </c>
      <c r="DE61" s="160">
        <f t="shared" si="12"/>
        <v>0</v>
      </c>
      <c r="DF61" s="161">
        <f t="shared" si="13"/>
        <v>0</v>
      </c>
      <c r="DG61" s="162" t="e">
        <f t="shared" si="14"/>
        <v>#DIV/0!</v>
      </c>
      <c r="DH61" s="163">
        <f t="shared" si="15"/>
        <v>0</v>
      </c>
      <c r="DI61" s="164"/>
      <c r="DJ61" s="165">
        <f t="shared" si="50"/>
        <v>0</v>
      </c>
      <c r="DK61" s="166">
        <f t="shared" si="50"/>
        <v>0</v>
      </c>
      <c r="DL61" s="167" t="e">
        <f t="shared" si="17"/>
        <v>#DIV/0!</v>
      </c>
      <c r="DM61" s="168" t="e">
        <f t="shared" si="18"/>
        <v>#DIV/0!</v>
      </c>
      <c r="DN61" s="163" t="e">
        <f t="shared" si="19"/>
        <v>#DIV/0!</v>
      </c>
      <c r="DO61" s="169"/>
      <c r="DP61" s="170"/>
      <c r="DQ61" s="171"/>
      <c r="DR61" s="172">
        <f t="shared" si="20"/>
        <v>0</v>
      </c>
      <c r="DS61" s="173" t="e">
        <f t="shared" si="21"/>
        <v>#DIV/0!</v>
      </c>
      <c r="DT61" s="163" t="e">
        <f t="shared" si="22"/>
        <v>#DIV/0!</v>
      </c>
      <c r="DU61" s="174"/>
      <c r="DV61" s="175" t="e">
        <f t="shared" si="23"/>
        <v>#DIV/0!</v>
      </c>
      <c r="DW61" s="163">
        <f t="shared" si="24"/>
        <v>0</v>
      </c>
      <c r="DX61" s="164"/>
      <c r="DY61" s="176">
        <f t="shared" si="25"/>
        <v>0</v>
      </c>
      <c r="DZ61" s="177">
        <f t="shared" si="26"/>
        <v>0</v>
      </c>
      <c r="EA61" s="178">
        <f t="shared" si="27"/>
        <v>0</v>
      </c>
      <c r="EB61" s="179">
        <f t="shared" si="28"/>
        <v>0</v>
      </c>
      <c r="EC61" s="180"/>
      <c r="ED61" s="175" t="e">
        <f t="shared" si="29"/>
        <v>#DIV/0!</v>
      </c>
      <c r="EE61" s="163">
        <f t="shared" si="30"/>
        <v>0</v>
      </c>
      <c r="EF61" s="164"/>
      <c r="EG61" s="181">
        <f t="shared" si="31"/>
        <v>0</v>
      </c>
      <c r="EH61" s="182">
        <f t="shared" si="32"/>
        <v>0</v>
      </c>
      <c r="EI61" s="182">
        <f t="shared" si="33"/>
        <v>0</v>
      </c>
      <c r="EJ61" s="182">
        <f t="shared" si="34"/>
        <v>0</v>
      </c>
      <c r="EK61" s="183">
        <f t="shared" si="35"/>
        <v>0</v>
      </c>
      <c r="EL61" s="184" t="e">
        <f t="shared" si="36"/>
        <v>#DIV/0!</v>
      </c>
      <c r="EM61" s="185">
        <f t="shared" si="37"/>
        <v>0</v>
      </c>
      <c r="EN61" s="164"/>
      <c r="EO61" s="181">
        <f t="shared" si="38"/>
        <v>0</v>
      </c>
      <c r="EP61" s="183">
        <f t="shared" si="39"/>
        <v>0</v>
      </c>
      <c r="EQ61" s="184" t="e">
        <f t="shared" si="40"/>
        <v>#DIV/0!</v>
      </c>
      <c r="ER61" s="185">
        <f t="shared" si="41"/>
        <v>0</v>
      </c>
      <c r="ES61" s="164"/>
      <c r="ET61" s="164"/>
      <c r="EU61" s="186">
        <f t="shared" si="42"/>
        <v>0</v>
      </c>
      <c r="EV61" s="186">
        <f t="shared" si="43"/>
        <v>0</v>
      </c>
      <c r="EW61" s="186">
        <f t="shared" si="44"/>
        <v>0</v>
      </c>
      <c r="EX61" s="186">
        <f t="shared" si="45"/>
        <v>0</v>
      </c>
      <c r="EY61" s="131"/>
      <c r="EZ61" s="187">
        <f t="shared" si="46"/>
        <v>0</v>
      </c>
      <c r="FA61" s="188" t="e">
        <f t="shared" si="47"/>
        <v>#DIV/0!</v>
      </c>
      <c r="FB61" s="189"/>
      <c r="FC61" s="131"/>
      <c r="FD61" s="131"/>
      <c r="FE61" s="219"/>
      <c r="FF61" s="219"/>
      <c r="FG61" s="219"/>
    </row>
    <row r="62" spans="2:163" ht="16" outlineLevel="1" thickBot="1" x14ac:dyDescent="0.4">
      <c r="B62" s="356"/>
      <c r="C62" s="353"/>
      <c r="D62" s="133"/>
      <c r="E62" s="134"/>
      <c r="F62" s="135"/>
      <c r="G62" s="136"/>
      <c r="H62" s="137"/>
      <c r="I62" s="138">
        <f t="shared" si="0"/>
        <v>0</v>
      </c>
      <c r="J62" s="139"/>
      <c r="K62" s="140">
        <f>E62*60</f>
        <v>0</v>
      </c>
      <c r="L62" s="141"/>
      <c r="M62" s="142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2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4"/>
      <c r="AN62" s="145">
        <f t="shared" si="2"/>
        <v>0</v>
      </c>
      <c r="AO62" s="146"/>
      <c r="AP62" s="147">
        <f t="shared" si="3"/>
        <v>0</v>
      </c>
      <c r="AQ62" s="148"/>
      <c r="AR62" s="149"/>
      <c r="AS62" s="149"/>
      <c r="AT62" s="135"/>
      <c r="AU62" s="150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0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4"/>
      <c r="CD62" s="150"/>
      <c r="CE62" s="142"/>
      <c r="CF62" s="143"/>
      <c r="CG62" s="143"/>
      <c r="CH62" s="143"/>
      <c r="CI62" s="143"/>
      <c r="CJ62" s="143"/>
      <c r="CK62" s="143"/>
      <c r="CL62" s="143"/>
      <c r="CM62" s="143"/>
      <c r="CN62" s="143"/>
      <c r="CO62" s="346"/>
      <c r="CP62" s="151"/>
      <c r="CQ62" s="152"/>
      <c r="CR62" s="154"/>
      <c r="CS62" s="155">
        <f t="shared" si="48"/>
        <v>0</v>
      </c>
      <c r="CT62" s="146"/>
      <c r="CU62" s="147">
        <f t="shared" si="4"/>
        <v>0</v>
      </c>
      <c r="CV62" s="156"/>
      <c r="CW62" s="157" t="e">
        <f t="shared" si="5"/>
        <v>#DIV/0!</v>
      </c>
      <c r="CX62" s="157" t="e">
        <f t="shared" si="6"/>
        <v>#DIV/0!</v>
      </c>
      <c r="CY62" s="157" t="e">
        <f t="shared" si="7"/>
        <v>#DIV/0!</v>
      </c>
      <c r="CZ62" s="157" t="e">
        <f t="shared" si="8"/>
        <v>#DIV/0!</v>
      </c>
      <c r="DA62" s="157" t="e">
        <f t="shared" si="9"/>
        <v>#DIV/0!</v>
      </c>
      <c r="DB62" s="158" t="e">
        <f t="shared" si="10"/>
        <v>#DIV/0!</v>
      </c>
      <c r="DC62" s="131"/>
      <c r="DD62" s="159">
        <f t="shared" si="11"/>
        <v>0</v>
      </c>
      <c r="DE62" s="160">
        <f t="shared" si="12"/>
        <v>0</v>
      </c>
      <c r="DF62" s="161">
        <f t="shared" si="13"/>
        <v>0</v>
      </c>
      <c r="DG62" s="162" t="e">
        <f t="shared" si="14"/>
        <v>#DIV/0!</v>
      </c>
      <c r="DH62" s="163">
        <f t="shared" si="15"/>
        <v>0</v>
      </c>
      <c r="DI62" s="164"/>
      <c r="DJ62" s="165">
        <f t="shared" si="50"/>
        <v>0</v>
      </c>
      <c r="DK62" s="166">
        <f t="shared" si="50"/>
        <v>0</v>
      </c>
      <c r="DL62" s="167" t="e">
        <f t="shared" si="17"/>
        <v>#DIV/0!</v>
      </c>
      <c r="DM62" s="168" t="e">
        <f t="shared" si="18"/>
        <v>#DIV/0!</v>
      </c>
      <c r="DN62" s="163" t="e">
        <f t="shared" si="19"/>
        <v>#DIV/0!</v>
      </c>
      <c r="DO62" s="169"/>
      <c r="DP62" s="170"/>
      <c r="DQ62" s="171"/>
      <c r="DR62" s="172">
        <f t="shared" si="20"/>
        <v>0</v>
      </c>
      <c r="DS62" s="173" t="e">
        <f t="shared" si="21"/>
        <v>#DIV/0!</v>
      </c>
      <c r="DT62" s="163" t="e">
        <f t="shared" si="22"/>
        <v>#DIV/0!</v>
      </c>
      <c r="DU62" s="174"/>
      <c r="DV62" s="175" t="e">
        <f t="shared" si="23"/>
        <v>#DIV/0!</v>
      </c>
      <c r="DW62" s="163">
        <f t="shared" si="24"/>
        <v>0</v>
      </c>
      <c r="DX62" s="164"/>
      <c r="DY62" s="176">
        <f t="shared" si="25"/>
        <v>0</v>
      </c>
      <c r="DZ62" s="177">
        <f t="shared" si="26"/>
        <v>0</v>
      </c>
      <c r="EA62" s="178">
        <f t="shared" si="27"/>
        <v>0</v>
      </c>
      <c r="EB62" s="179">
        <f t="shared" si="28"/>
        <v>0</v>
      </c>
      <c r="EC62" s="180"/>
      <c r="ED62" s="175" t="e">
        <f t="shared" si="29"/>
        <v>#DIV/0!</v>
      </c>
      <c r="EE62" s="163">
        <f t="shared" si="30"/>
        <v>0</v>
      </c>
      <c r="EF62" s="164"/>
      <c r="EG62" s="181">
        <f t="shared" si="31"/>
        <v>0</v>
      </c>
      <c r="EH62" s="182">
        <f t="shared" si="32"/>
        <v>0</v>
      </c>
      <c r="EI62" s="182">
        <f t="shared" si="33"/>
        <v>0</v>
      </c>
      <c r="EJ62" s="182">
        <f t="shared" si="34"/>
        <v>0</v>
      </c>
      <c r="EK62" s="183">
        <f t="shared" si="35"/>
        <v>0</v>
      </c>
      <c r="EL62" s="184" t="e">
        <f t="shared" si="36"/>
        <v>#DIV/0!</v>
      </c>
      <c r="EM62" s="185">
        <f t="shared" si="37"/>
        <v>0</v>
      </c>
      <c r="EN62" s="164"/>
      <c r="EO62" s="181">
        <f t="shared" si="38"/>
        <v>0</v>
      </c>
      <c r="EP62" s="183">
        <f t="shared" si="39"/>
        <v>0</v>
      </c>
      <c r="EQ62" s="184" t="e">
        <f t="shared" si="40"/>
        <v>#DIV/0!</v>
      </c>
      <c r="ER62" s="185">
        <f t="shared" si="41"/>
        <v>0</v>
      </c>
      <c r="ES62" s="164"/>
      <c r="ET62" s="164"/>
      <c r="EU62" s="186">
        <f t="shared" si="42"/>
        <v>0</v>
      </c>
      <c r="EV62" s="186">
        <f t="shared" si="43"/>
        <v>0</v>
      </c>
      <c r="EW62" s="186">
        <f t="shared" si="44"/>
        <v>0</v>
      </c>
      <c r="EX62" s="186">
        <f t="shared" si="45"/>
        <v>0</v>
      </c>
      <c r="EY62" s="131"/>
      <c r="EZ62" s="187">
        <f t="shared" si="46"/>
        <v>0</v>
      </c>
      <c r="FA62" s="188" t="e">
        <f t="shared" si="47"/>
        <v>#DIV/0!</v>
      </c>
      <c r="FB62" s="189"/>
      <c r="FC62" s="131"/>
      <c r="FD62" s="131"/>
      <c r="FE62" s="131"/>
      <c r="FF62" s="131"/>
      <c r="FG62" s="131"/>
    </row>
    <row r="63" spans="2:163" ht="16" outlineLevel="1" thickBot="1" x14ac:dyDescent="0.4">
      <c r="B63" s="357"/>
      <c r="C63" s="354"/>
      <c r="D63" s="240"/>
      <c r="E63" s="241"/>
      <c r="F63" s="135"/>
      <c r="G63" s="192"/>
      <c r="H63" s="242"/>
      <c r="I63" s="138">
        <f t="shared" si="0"/>
        <v>0</v>
      </c>
      <c r="J63" s="139"/>
      <c r="K63" s="193">
        <f t="shared" ref="K63:K64" si="53">E63*60</f>
        <v>0</v>
      </c>
      <c r="L63" s="141"/>
      <c r="M63" s="194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4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6"/>
      <c r="AN63" s="197">
        <f t="shared" si="2"/>
        <v>0</v>
      </c>
      <c r="AO63" s="146"/>
      <c r="AP63" s="147">
        <f t="shared" si="3"/>
        <v>0</v>
      </c>
      <c r="AQ63" s="148"/>
      <c r="AR63" s="198"/>
      <c r="AS63" s="198"/>
      <c r="AT63" s="135"/>
      <c r="AU63" s="199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1"/>
      <c r="BG63" s="201"/>
      <c r="BH63" s="201"/>
      <c r="BI63" s="201"/>
      <c r="BJ63" s="201"/>
      <c r="BK63" s="201"/>
      <c r="BL63" s="201"/>
      <c r="BM63" s="201"/>
      <c r="BN63" s="201"/>
      <c r="BO63" s="201"/>
      <c r="BP63" s="201"/>
      <c r="BQ63" s="201"/>
      <c r="BR63" s="199"/>
      <c r="BS63" s="200"/>
      <c r="BT63" s="200"/>
      <c r="BU63" s="200"/>
      <c r="BV63" s="200"/>
      <c r="BW63" s="200"/>
      <c r="BX63" s="200"/>
      <c r="BY63" s="200"/>
      <c r="BZ63" s="200"/>
      <c r="CA63" s="200"/>
      <c r="CB63" s="200"/>
      <c r="CC63" s="202"/>
      <c r="CD63" s="199"/>
      <c r="CE63" s="194"/>
      <c r="CF63" s="195"/>
      <c r="CG63" s="195"/>
      <c r="CH63" s="195"/>
      <c r="CI63" s="195"/>
      <c r="CJ63" s="195"/>
      <c r="CK63" s="195"/>
      <c r="CL63" s="195"/>
      <c r="CM63" s="195"/>
      <c r="CN63" s="195"/>
      <c r="CO63" s="347"/>
      <c r="CP63" s="200"/>
      <c r="CQ63" s="201"/>
      <c r="CR63" s="202"/>
      <c r="CS63" s="203">
        <f t="shared" si="48"/>
        <v>0</v>
      </c>
      <c r="CT63" s="146"/>
      <c r="CU63" s="147">
        <f t="shared" si="4"/>
        <v>0</v>
      </c>
      <c r="CV63" s="156"/>
      <c r="CW63" s="157" t="e">
        <f t="shared" si="5"/>
        <v>#DIV/0!</v>
      </c>
      <c r="CX63" s="157" t="e">
        <f t="shared" si="6"/>
        <v>#DIV/0!</v>
      </c>
      <c r="CY63" s="157" t="e">
        <f t="shared" si="7"/>
        <v>#DIV/0!</v>
      </c>
      <c r="CZ63" s="157" t="e">
        <f t="shared" si="8"/>
        <v>#DIV/0!</v>
      </c>
      <c r="DA63" s="157" t="e">
        <f t="shared" si="9"/>
        <v>#DIV/0!</v>
      </c>
      <c r="DB63" s="158" t="e">
        <f t="shared" si="10"/>
        <v>#DIV/0!</v>
      </c>
      <c r="DC63" s="131"/>
      <c r="DD63" s="159">
        <f t="shared" si="11"/>
        <v>0</v>
      </c>
      <c r="DE63" s="160">
        <f t="shared" si="12"/>
        <v>0</v>
      </c>
      <c r="DF63" s="161">
        <f t="shared" si="13"/>
        <v>0</v>
      </c>
      <c r="DG63" s="162" t="e">
        <f t="shared" si="14"/>
        <v>#DIV/0!</v>
      </c>
      <c r="DH63" s="163">
        <f t="shared" si="15"/>
        <v>0</v>
      </c>
      <c r="DI63" s="164"/>
      <c r="DJ63" s="165">
        <f t="shared" si="50"/>
        <v>0</v>
      </c>
      <c r="DK63" s="166">
        <f t="shared" si="50"/>
        <v>0</v>
      </c>
      <c r="DL63" s="167" t="e">
        <f t="shared" si="17"/>
        <v>#DIV/0!</v>
      </c>
      <c r="DM63" s="168" t="e">
        <f t="shared" si="18"/>
        <v>#DIV/0!</v>
      </c>
      <c r="DN63" s="163" t="e">
        <f t="shared" si="19"/>
        <v>#DIV/0!</v>
      </c>
      <c r="DO63" s="169"/>
      <c r="DP63" s="170"/>
      <c r="DQ63" s="171"/>
      <c r="DR63" s="172">
        <f t="shared" si="20"/>
        <v>0</v>
      </c>
      <c r="DS63" s="173" t="e">
        <f t="shared" si="21"/>
        <v>#DIV/0!</v>
      </c>
      <c r="DT63" s="163" t="e">
        <f t="shared" si="22"/>
        <v>#DIV/0!</v>
      </c>
      <c r="DU63" s="174"/>
      <c r="DV63" s="175" t="e">
        <f t="shared" si="23"/>
        <v>#DIV/0!</v>
      </c>
      <c r="DW63" s="163">
        <f t="shared" si="24"/>
        <v>0</v>
      </c>
      <c r="DX63" s="164"/>
      <c r="DY63" s="176">
        <f t="shared" si="25"/>
        <v>0</v>
      </c>
      <c r="DZ63" s="177">
        <f t="shared" si="26"/>
        <v>0</v>
      </c>
      <c r="EA63" s="178">
        <f t="shared" si="27"/>
        <v>0</v>
      </c>
      <c r="EB63" s="179">
        <f t="shared" si="28"/>
        <v>0</v>
      </c>
      <c r="EC63" s="180"/>
      <c r="ED63" s="175" t="e">
        <f t="shared" si="29"/>
        <v>#DIV/0!</v>
      </c>
      <c r="EE63" s="163">
        <f t="shared" si="30"/>
        <v>0</v>
      </c>
      <c r="EF63" s="164"/>
      <c r="EG63" s="181">
        <f t="shared" si="31"/>
        <v>0</v>
      </c>
      <c r="EH63" s="182">
        <f t="shared" si="32"/>
        <v>0</v>
      </c>
      <c r="EI63" s="182">
        <f t="shared" si="33"/>
        <v>0</v>
      </c>
      <c r="EJ63" s="182">
        <f t="shared" si="34"/>
        <v>0</v>
      </c>
      <c r="EK63" s="183">
        <f t="shared" si="35"/>
        <v>0</v>
      </c>
      <c r="EL63" s="184" t="e">
        <f t="shared" si="36"/>
        <v>#DIV/0!</v>
      </c>
      <c r="EM63" s="185">
        <f t="shared" si="37"/>
        <v>0</v>
      </c>
      <c r="EN63" s="164"/>
      <c r="EO63" s="181">
        <f t="shared" si="38"/>
        <v>0</v>
      </c>
      <c r="EP63" s="183">
        <f t="shared" si="39"/>
        <v>0</v>
      </c>
      <c r="EQ63" s="184" t="e">
        <f t="shared" si="40"/>
        <v>#DIV/0!</v>
      </c>
      <c r="ER63" s="185">
        <f t="shared" si="41"/>
        <v>0</v>
      </c>
      <c r="ES63" s="164"/>
      <c r="ET63" s="164"/>
      <c r="EU63" s="186">
        <f t="shared" si="42"/>
        <v>0</v>
      </c>
      <c r="EV63" s="186">
        <f t="shared" si="43"/>
        <v>0</v>
      </c>
      <c r="EW63" s="186">
        <f t="shared" si="44"/>
        <v>0</v>
      </c>
      <c r="EX63" s="186">
        <f t="shared" si="45"/>
        <v>0</v>
      </c>
      <c r="EY63" s="131"/>
      <c r="EZ63" s="187">
        <f t="shared" si="46"/>
        <v>0</v>
      </c>
      <c r="FA63" s="188" t="e">
        <f t="shared" si="47"/>
        <v>#DIV/0!</v>
      </c>
      <c r="FB63" s="189"/>
      <c r="FC63" s="131"/>
      <c r="FD63" s="131"/>
      <c r="FE63" s="131"/>
      <c r="FF63" s="131"/>
      <c r="FG63" s="131"/>
    </row>
    <row r="64" spans="2:163" ht="16" outlineLevel="1" thickBot="1" x14ac:dyDescent="0.4">
      <c r="B64" s="358"/>
      <c r="C64" s="355"/>
      <c r="D64" s="243"/>
      <c r="E64" s="244"/>
      <c r="F64" s="135"/>
      <c r="G64" s="192"/>
      <c r="H64" s="245"/>
      <c r="I64" s="138">
        <f t="shared" si="0"/>
        <v>0</v>
      </c>
      <c r="J64" s="139"/>
      <c r="K64" s="208">
        <f t="shared" si="53"/>
        <v>0</v>
      </c>
      <c r="L64" s="141"/>
      <c r="M64" s="209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09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1"/>
      <c r="AN64" s="212">
        <f t="shared" si="2"/>
        <v>0</v>
      </c>
      <c r="AO64" s="146"/>
      <c r="AP64" s="147">
        <f t="shared" si="3"/>
        <v>0</v>
      </c>
      <c r="AQ64" s="148"/>
      <c r="AR64" s="213"/>
      <c r="AS64" s="213"/>
      <c r="AT64" s="135"/>
      <c r="AU64" s="214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6"/>
      <c r="BG64" s="216"/>
      <c r="BH64" s="216"/>
      <c r="BI64" s="216"/>
      <c r="BJ64" s="216"/>
      <c r="BK64" s="216"/>
      <c r="BL64" s="216"/>
      <c r="BM64" s="216"/>
      <c r="BN64" s="216"/>
      <c r="BO64" s="216"/>
      <c r="BP64" s="216"/>
      <c r="BQ64" s="216"/>
      <c r="BR64" s="214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7"/>
      <c r="CD64" s="214"/>
      <c r="CE64" s="209"/>
      <c r="CF64" s="210"/>
      <c r="CG64" s="210"/>
      <c r="CH64" s="210"/>
      <c r="CI64" s="210"/>
      <c r="CJ64" s="210"/>
      <c r="CK64" s="210"/>
      <c r="CL64" s="210"/>
      <c r="CM64" s="210"/>
      <c r="CN64" s="210"/>
      <c r="CO64" s="348"/>
      <c r="CP64" s="215"/>
      <c r="CQ64" s="216"/>
      <c r="CR64" s="217"/>
      <c r="CS64" s="218">
        <f t="shared" si="48"/>
        <v>0</v>
      </c>
      <c r="CT64" s="146"/>
      <c r="CU64" s="147">
        <f t="shared" si="4"/>
        <v>0</v>
      </c>
      <c r="CV64" s="156"/>
      <c r="CW64" s="157" t="e">
        <f t="shared" si="5"/>
        <v>#DIV/0!</v>
      </c>
      <c r="CX64" s="157" t="e">
        <f t="shared" si="6"/>
        <v>#DIV/0!</v>
      </c>
      <c r="CY64" s="157" t="e">
        <f t="shared" si="7"/>
        <v>#DIV/0!</v>
      </c>
      <c r="CZ64" s="157" t="e">
        <f t="shared" si="8"/>
        <v>#DIV/0!</v>
      </c>
      <c r="DA64" s="157" t="e">
        <f t="shared" si="9"/>
        <v>#DIV/0!</v>
      </c>
      <c r="DB64" s="158" t="e">
        <f t="shared" si="10"/>
        <v>#DIV/0!</v>
      </c>
      <c r="DC64" s="131"/>
      <c r="DD64" s="159">
        <f t="shared" si="11"/>
        <v>0</v>
      </c>
      <c r="DE64" s="160">
        <f t="shared" si="12"/>
        <v>0</v>
      </c>
      <c r="DF64" s="161">
        <f t="shared" si="13"/>
        <v>0</v>
      </c>
      <c r="DG64" s="162" t="e">
        <f t="shared" si="14"/>
        <v>#DIV/0!</v>
      </c>
      <c r="DH64" s="163">
        <f t="shared" si="15"/>
        <v>0</v>
      </c>
      <c r="DI64" s="164"/>
      <c r="DJ64" s="165">
        <f t="shared" si="50"/>
        <v>0</v>
      </c>
      <c r="DK64" s="166">
        <f t="shared" si="50"/>
        <v>0</v>
      </c>
      <c r="DL64" s="167" t="e">
        <f t="shared" si="17"/>
        <v>#DIV/0!</v>
      </c>
      <c r="DM64" s="168" t="e">
        <f t="shared" si="18"/>
        <v>#DIV/0!</v>
      </c>
      <c r="DN64" s="163" t="e">
        <f t="shared" si="19"/>
        <v>#DIV/0!</v>
      </c>
      <c r="DO64" s="169"/>
      <c r="DP64" s="170"/>
      <c r="DQ64" s="171"/>
      <c r="DR64" s="172">
        <f t="shared" si="20"/>
        <v>0</v>
      </c>
      <c r="DS64" s="173" t="e">
        <f t="shared" si="21"/>
        <v>#DIV/0!</v>
      </c>
      <c r="DT64" s="163" t="e">
        <f t="shared" si="22"/>
        <v>#DIV/0!</v>
      </c>
      <c r="DU64" s="174"/>
      <c r="DV64" s="175" t="e">
        <f t="shared" si="23"/>
        <v>#DIV/0!</v>
      </c>
      <c r="DW64" s="163">
        <f t="shared" si="24"/>
        <v>0</v>
      </c>
      <c r="DX64" s="164"/>
      <c r="DY64" s="176">
        <f t="shared" si="25"/>
        <v>0</v>
      </c>
      <c r="DZ64" s="177">
        <f t="shared" si="26"/>
        <v>0</v>
      </c>
      <c r="EA64" s="178">
        <f t="shared" si="27"/>
        <v>0</v>
      </c>
      <c r="EB64" s="179">
        <f t="shared" si="28"/>
        <v>0</v>
      </c>
      <c r="EC64" s="180"/>
      <c r="ED64" s="175" t="e">
        <f t="shared" si="29"/>
        <v>#DIV/0!</v>
      </c>
      <c r="EE64" s="163">
        <f t="shared" si="30"/>
        <v>0</v>
      </c>
      <c r="EF64" s="164"/>
      <c r="EG64" s="181">
        <f t="shared" si="31"/>
        <v>0</v>
      </c>
      <c r="EH64" s="182">
        <f t="shared" si="32"/>
        <v>0</v>
      </c>
      <c r="EI64" s="182">
        <f t="shared" si="33"/>
        <v>0</v>
      </c>
      <c r="EJ64" s="182">
        <f t="shared" si="34"/>
        <v>0</v>
      </c>
      <c r="EK64" s="183">
        <f t="shared" si="35"/>
        <v>0</v>
      </c>
      <c r="EL64" s="184" t="e">
        <f t="shared" si="36"/>
        <v>#DIV/0!</v>
      </c>
      <c r="EM64" s="185">
        <f t="shared" si="37"/>
        <v>0</v>
      </c>
      <c r="EN64" s="164"/>
      <c r="EO64" s="181">
        <f t="shared" si="38"/>
        <v>0</v>
      </c>
      <c r="EP64" s="183">
        <f t="shared" si="39"/>
        <v>0</v>
      </c>
      <c r="EQ64" s="184" t="e">
        <f t="shared" si="40"/>
        <v>#DIV/0!</v>
      </c>
      <c r="ER64" s="185">
        <f t="shared" si="41"/>
        <v>0</v>
      </c>
      <c r="ES64" s="164"/>
      <c r="ET64" s="164"/>
      <c r="EU64" s="186">
        <f t="shared" si="42"/>
        <v>0</v>
      </c>
      <c r="EV64" s="186">
        <f t="shared" si="43"/>
        <v>0</v>
      </c>
      <c r="EW64" s="186">
        <f t="shared" si="44"/>
        <v>0</v>
      </c>
      <c r="EX64" s="186">
        <f t="shared" si="45"/>
        <v>0</v>
      </c>
      <c r="EY64" s="131"/>
      <c r="EZ64" s="187">
        <f t="shared" si="46"/>
        <v>0</v>
      </c>
      <c r="FA64" s="188" t="e">
        <f t="shared" si="47"/>
        <v>#DIV/0!</v>
      </c>
      <c r="FB64" s="189"/>
      <c r="FC64" s="131"/>
      <c r="FD64" s="131"/>
      <c r="FE64" s="131"/>
      <c r="FF64" s="131"/>
      <c r="FG64" s="131"/>
    </row>
    <row r="65" spans="2:163" s="169" customFormat="1" ht="16" outlineLevel="1" thickBot="1" x14ac:dyDescent="0.4">
      <c r="B65" s="356"/>
      <c r="C65" s="353"/>
      <c r="D65" s="133"/>
      <c r="E65" s="134"/>
      <c r="F65" s="135"/>
      <c r="G65" s="136"/>
      <c r="H65" s="137"/>
      <c r="I65" s="138">
        <f>IF(E65&gt;0.0001,5.2,0)</f>
        <v>0</v>
      </c>
      <c r="J65" s="139"/>
      <c r="K65" s="140">
        <f>E65*60</f>
        <v>0</v>
      </c>
      <c r="L65" s="141"/>
      <c r="M65" s="142"/>
      <c r="N65" s="143"/>
      <c r="O65" s="143"/>
      <c r="P65" s="143"/>
      <c r="Q65" s="143"/>
      <c r="R65" s="143">
        <v>480</v>
      </c>
      <c r="S65" s="143"/>
      <c r="T65" s="143"/>
      <c r="U65" s="143"/>
      <c r="V65" s="143"/>
      <c r="W65" s="143"/>
      <c r="X65" s="143"/>
      <c r="Y65" s="143"/>
      <c r="Z65" s="143"/>
      <c r="AA65" s="142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4"/>
      <c r="AN65" s="145">
        <f t="shared" si="2"/>
        <v>480</v>
      </c>
      <c r="AO65" s="146"/>
      <c r="AP65" s="147">
        <f t="shared" si="3"/>
        <v>-480</v>
      </c>
      <c r="AQ65" s="148"/>
      <c r="AR65" s="149"/>
      <c r="AS65" s="149"/>
      <c r="AT65" s="135"/>
      <c r="AU65" s="150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0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4"/>
      <c r="CD65" s="150"/>
      <c r="CE65" s="142"/>
      <c r="CF65" s="143"/>
      <c r="CG65" s="143"/>
      <c r="CH65" s="143"/>
      <c r="CI65" s="143"/>
      <c r="CJ65" s="143"/>
      <c r="CK65" s="143"/>
      <c r="CL65" s="143"/>
      <c r="CM65" s="143"/>
      <c r="CN65" s="143"/>
      <c r="CO65" s="346"/>
      <c r="CP65" s="151"/>
      <c r="CQ65" s="152"/>
      <c r="CR65" s="154"/>
      <c r="CS65" s="155">
        <f t="shared" si="48"/>
        <v>0</v>
      </c>
      <c r="CT65" s="146"/>
      <c r="CU65" s="147">
        <f t="shared" si="4"/>
        <v>-480</v>
      </c>
      <c r="CV65" s="156"/>
      <c r="CW65" s="157" t="e">
        <f t="shared" si="5"/>
        <v>#DIV/0!</v>
      </c>
      <c r="CX65" s="157" t="e">
        <f t="shared" si="6"/>
        <v>#DIV/0!</v>
      </c>
      <c r="CY65" s="157" t="e">
        <f t="shared" si="7"/>
        <v>#DIV/0!</v>
      </c>
      <c r="CZ65" s="157" t="e">
        <f t="shared" si="8"/>
        <v>#DIV/0!</v>
      </c>
      <c r="DA65" s="157" t="e">
        <f t="shared" si="9"/>
        <v>#DIV/0!</v>
      </c>
      <c r="DB65" s="158" t="e">
        <f t="shared" si="10"/>
        <v>#DIV/0!</v>
      </c>
      <c r="DC65" s="131"/>
      <c r="DD65" s="159">
        <f t="shared" si="11"/>
        <v>-480</v>
      </c>
      <c r="DE65" s="160">
        <f t="shared" si="12"/>
        <v>0</v>
      </c>
      <c r="DF65" s="161">
        <f t="shared" si="13"/>
        <v>-480</v>
      </c>
      <c r="DG65" s="162">
        <f t="shared" si="14"/>
        <v>1</v>
      </c>
      <c r="DH65" s="163">
        <f t="shared" si="15"/>
        <v>0</v>
      </c>
      <c r="DI65" s="164"/>
      <c r="DJ65" s="165">
        <f t="shared" si="50"/>
        <v>0</v>
      </c>
      <c r="DK65" s="166">
        <f t="shared" si="50"/>
        <v>0</v>
      </c>
      <c r="DL65" s="167">
        <f t="shared" si="17"/>
        <v>0</v>
      </c>
      <c r="DM65" s="168" t="e">
        <f t="shared" si="18"/>
        <v>#DIV/0!</v>
      </c>
      <c r="DN65" s="163" t="e">
        <f t="shared" si="19"/>
        <v>#DIV/0!</v>
      </c>
      <c r="DP65" s="170"/>
      <c r="DQ65" s="171"/>
      <c r="DR65" s="172">
        <f t="shared" si="20"/>
        <v>0</v>
      </c>
      <c r="DS65" s="173">
        <f t="shared" si="21"/>
        <v>0</v>
      </c>
      <c r="DT65" s="163">
        <f t="shared" si="22"/>
        <v>0</v>
      </c>
      <c r="DU65" s="174"/>
      <c r="DV65" s="175" t="e">
        <f t="shared" si="23"/>
        <v>#DIV/0!</v>
      </c>
      <c r="DW65" s="163">
        <f t="shared" si="24"/>
        <v>0</v>
      </c>
      <c r="DX65" s="164"/>
      <c r="DY65" s="176">
        <f t="shared" si="25"/>
        <v>0</v>
      </c>
      <c r="DZ65" s="177">
        <f t="shared" si="26"/>
        <v>0</v>
      </c>
      <c r="EA65" s="178">
        <f t="shared" si="27"/>
        <v>-480</v>
      </c>
      <c r="EB65" s="179">
        <f t="shared" si="28"/>
        <v>0</v>
      </c>
      <c r="EC65" s="180"/>
      <c r="ED65" s="175" t="e">
        <f t="shared" si="29"/>
        <v>#DIV/0!</v>
      </c>
      <c r="EE65" s="163">
        <f t="shared" si="30"/>
        <v>0</v>
      </c>
      <c r="EF65" s="164"/>
      <c r="EG65" s="181">
        <f t="shared" si="31"/>
        <v>0</v>
      </c>
      <c r="EH65" s="182">
        <f t="shared" si="32"/>
        <v>0</v>
      </c>
      <c r="EI65" s="182">
        <f t="shared" si="33"/>
        <v>480</v>
      </c>
      <c r="EJ65" s="182">
        <f t="shared" si="34"/>
        <v>0</v>
      </c>
      <c r="EK65" s="183">
        <f t="shared" si="35"/>
        <v>0</v>
      </c>
      <c r="EL65" s="184" t="e">
        <f t="shared" si="36"/>
        <v>#DIV/0!</v>
      </c>
      <c r="EM65" s="185">
        <f t="shared" si="37"/>
        <v>0</v>
      </c>
      <c r="EN65" s="164"/>
      <c r="EO65" s="181">
        <f t="shared" si="38"/>
        <v>0</v>
      </c>
      <c r="EP65" s="183">
        <f t="shared" si="39"/>
        <v>0</v>
      </c>
      <c r="EQ65" s="184" t="e">
        <f t="shared" si="40"/>
        <v>#DIV/0!</v>
      </c>
      <c r="ER65" s="185">
        <f t="shared" si="41"/>
        <v>0</v>
      </c>
      <c r="ES65" s="164"/>
      <c r="ET65" s="164"/>
      <c r="EU65" s="186">
        <f t="shared" si="42"/>
        <v>0</v>
      </c>
      <c r="EV65" s="186">
        <f t="shared" si="43"/>
        <v>-480</v>
      </c>
      <c r="EW65" s="186">
        <f t="shared" si="44"/>
        <v>0</v>
      </c>
      <c r="EX65" s="186">
        <f t="shared" si="45"/>
        <v>0</v>
      </c>
      <c r="EY65" s="131"/>
      <c r="EZ65" s="187">
        <f t="shared" si="46"/>
        <v>0</v>
      </c>
      <c r="FA65" s="188" t="e">
        <f t="shared" si="47"/>
        <v>#DIV/0!</v>
      </c>
      <c r="FB65" s="189"/>
      <c r="FC65" s="131"/>
      <c r="FD65" s="131"/>
      <c r="FE65" s="131"/>
      <c r="FF65" s="131"/>
      <c r="FG65" s="131"/>
    </row>
    <row r="66" spans="2:163" s="169" customFormat="1" ht="16" outlineLevel="1" thickBot="1" x14ac:dyDescent="0.4">
      <c r="B66" s="357"/>
      <c r="C66" s="354"/>
      <c r="D66" s="240"/>
      <c r="E66" s="241"/>
      <c r="F66" s="135"/>
      <c r="G66" s="192"/>
      <c r="H66" s="242"/>
      <c r="I66" s="138">
        <f t="shared" si="0"/>
        <v>0</v>
      </c>
      <c r="J66" s="139"/>
      <c r="K66" s="193">
        <f t="shared" ref="K66:K67" si="54">E66*60</f>
        <v>0</v>
      </c>
      <c r="L66" s="141"/>
      <c r="M66" s="194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4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6"/>
      <c r="AN66" s="197">
        <f t="shared" si="2"/>
        <v>0</v>
      </c>
      <c r="AO66" s="146"/>
      <c r="AP66" s="147">
        <f t="shared" si="3"/>
        <v>0</v>
      </c>
      <c r="AQ66" s="148"/>
      <c r="AR66" s="198"/>
      <c r="AS66" s="198"/>
      <c r="AT66" s="135"/>
      <c r="AU66" s="199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199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2"/>
      <c r="CD66" s="199"/>
      <c r="CE66" s="194"/>
      <c r="CF66" s="195"/>
      <c r="CG66" s="195"/>
      <c r="CH66" s="195"/>
      <c r="CI66" s="195"/>
      <c r="CJ66" s="195"/>
      <c r="CK66" s="195"/>
      <c r="CL66" s="195"/>
      <c r="CM66" s="195"/>
      <c r="CN66" s="195"/>
      <c r="CO66" s="347"/>
      <c r="CP66" s="200"/>
      <c r="CQ66" s="201"/>
      <c r="CR66" s="202"/>
      <c r="CS66" s="203">
        <f t="shared" si="48"/>
        <v>0</v>
      </c>
      <c r="CT66" s="146"/>
      <c r="CU66" s="147">
        <f t="shared" si="4"/>
        <v>0</v>
      </c>
      <c r="CV66" s="156"/>
      <c r="CW66" s="157" t="e">
        <f t="shared" si="5"/>
        <v>#DIV/0!</v>
      </c>
      <c r="CX66" s="157" t="e">
        <f t="shared" si="6"/>
        <v>#DIV/0!</v>
      </c>
      <c r="CY66" s="157" t="e">
        <f t="shared" si="7"/>
        <v>#DIV/0!</v>
      </c>
      <c r="CZ66" s="157" t="e">
        <f t="shared" si="8"/>
        <v>#DIV/0!</v>
      </c>
      <c r="DA66" s="157" t="e">
        <f t="shared" si="9"/>
        <v>#DIV/0!</v>
      </c>
      <c r="DB66" s="158" t="e">
        <f t="shared" si="10"/>
        <v>#DIV/0!</v>
      </c>
      <c r="DC66" s="131"/>
      <c r="DD66" s="159">
        <f t="shared" si="11"/>
        <v>0</v>
      </c>
      <c r="DE66" s="160">
        <f t="shared" si="12"/>
        <v>0</v>
      </c>
      <c r="DF66" s="161">
        <f t="shared" si="13"/>
        <v>0</v>
      </c>
      <c r="DG66" s="162" t="e">
        <f t="shared" si="14"/>
        <v>#DIV/0!</v>
      </c>
      <c r="DH66" s="163">
        <f t="shared" si="15"/>
        <v>0</v>
      </c>
      <c r="DI66" s="164"/>
      <c r="DJ66" s="165">
        <f t="shared" si="50"/>
        <v>0</v>
      </c>
      <c r="DK66" s="166">
        <f t="shared" si="50"/>
        <v>0</v>
      </c>
      <c r="DL66" s="167" t="e">
        <f t="shared" si="17"/>
        <v>#DIV/0!</v>
      </c>
      <c r="DM66" s="168" t="e">
        <f t="shared" si="18"/>
        <v>#DIV/0!</v>
      </c>
      <c r="DN66" s="163" t="e">
        <f t="shared" si="19"/>
        <v>#DIV/0!</v>
      </c>
      <c r="DP66" s="170"/>
      <c r="DQ66" s="171"/>
      <c r="DR66" s="172">
        <f t="shared" si="20"/>
        <v>0</v>
      </c>
      <c r="DS66" s="173" t="e">
        <f t="shared" si="21"/>
        <v>#DIV/0!</v>
      </c>
      <c r="DT66" s="163" t="e">
        <f t="shared" si="22"/>
        <v>#DIV/0!</v>
      </c>
      <c r="DU66" s="174"/>
      <c r="DV66" s="175" t="e">
        <f t="shared" si="23"/>
        <v>#DIV/0!</v>
      </c>
      <c r="DW66" s="163">
        <f t="shared" si="24"/>
        <v>0</v>
      </c>
      <c r="DX66" s="164"/>
      <c r="DY66" s="176">
        <f t="shared" si="25"/>
        <v>0</v>
      </c>
      <c r="DZ66" s="177">
        <f t="shared" si="26"/>
        <v>0</v>
      </c>
      <c r="EA66" s="178">
        <f t="shared" si="27"/>
        <v>0</v>
      </c>
      <c r="EB66" s="179">
        <f t="shared" si="28"/>
        <v>0</v>
      </c>
      <c r="EC66" s="180"/>
      <c r="ED66" s="175" t="e">
        <f t="shared" si="29"/>
        <v>#DIV/0!</v>
      </c>
      <c r="EE66" s="163">
        <f t="shared" si="30"/>
        <v>0</v>
      </c>
      <c r="EF66" s="164"/>
      <c r="EG66" s="181">
        <f t="shared" si="31"/>
        <v>0</v>
      </c>
      <c r="EH66" s="182">
        <f t="shared" si="32"/>
        <v>0</v>
      </c>
      <c r="EI66" s="182">
        <f t="shared" si="33"/>
        <v>0</v>
      </c>
      <c r="EJ66" s="182">
        <f t="shared" si="34"/>
        <v>0</v>
      </c>
      <c r="EK66" s="183">
        <f t="shared" si="35"/>
        <v>0</v>
      </c>
      <c r="EL66" s="184" t="e">
        <f t="shared" si="36"/>
        <v>#DIV/0!</v>
      </c>
      <c r="EM66" s="185">
        <f t="shared" si="37"/>
        <v>0</v>
      </c>
      <c r="EN66" s="164"/>
      <c r="EO66" s="181">
        <f t="shared" si="38"/>
        <v>0</v>
      </c>
      <c r="EP66" s="183">
        <f t="shared" si="39"/>
        <v>0</v>
      </c>
      <c r="EQ66" s="184" t="e">
        <f t="shared" si="40"/>
        <v>#DIV/0!</v>
      </c>
      <c r="ER66" s="185">
        <f t="shared" si="41"/>
        <v>0</v>
      </c>
      <c r="ES66" s="164"/>
      <c r="ET66" s="164"/>
      <c r="EU66" s="186">
        <f t="shared" si="42"/>
        <v>0</v>
      </c>
      <c r="EV66" s="186">
        <f t="shared" si="43"/>
        <v>0</v>
      </c>
      <c r="EW66" s="186">
        <f t="shared" si="44"/>
        <v>0</v>
      </c>
      <c r="EX66" s="186">
        <f t="shared" si="45"/>
        <v>0</v>
      </c>
      <c r="EY66" s="131"/>
      <c r="EZ66" s="187">
        <f t="shared" si="46"/>
        <v>0</v>
      </c>
      <c r="FA66" s="188" t="e">
        <f t="shared" si="47"/>
        <v>#DIV/0!</v>
      </c>
      <c r="FB66" s="189"/>
      <c r="FC66" s="131"/>
      <c r="FD66" s="131"/>
      <c r="FE66" s="131"/>
      <c r="FF66" s="131"/>
      <c r="FG66" s="131"/>
    </row>
    <row r="67" spans="2:163" s="169" customFormat="1" ht="16" outlineLevel="1" thickBot="1" x14ac:dyDescent="0.4">
      <c r="B67" s="358"/>
      <c r="C67" s="355"/>
      <c r="D67" s="243"/>
      <c r="E67" s="244"/>
      <c r="F67" s="135"/>
      <c r="G67" s="192"/>
      <c r="H67" s="245"/>
      <c r="I67" s="138">
        <f t="shared" si="0"/>
        <v>0</v>
      </c>
      <c r="J67" s="139"/>
      <c r="K67" s="208">
        <f t="shared" si="54"/>
        <v>0</v>
      </c>
      <c r="L67" s="141"/>
      <c r="M67" s="209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09"/>
      <c r="AB67" s="210"/>
      <c r="AC67" s="210"/>
      <c r="AD67" s="210"/>
      <c r="AE67" s="210"/>
      <c r="AF67" s="210"/>
      <c r="AG67" s="210"/>
      <c r="AH67" s="210"/>
      <c r="AI67" s="210"/>
      <c r="AJ67" s="210"/>
      <c r="AK67" s="210"/>
      <c r="AL67" s="210"/>
      <c r="AM67" s="211"/>
      <c r="AN67" s="212">
        <f t="shared" si="2"/>
        <v>0</v>
      </c>
      <c r="AO67" s="146"/>
      <c r="AP67" s="147">
        <f t="shared" si="3"/>
        <v>0</v>
      </c>
      <c r="AQ67" s="148"/>
      <c r="AR67" s="213"/>
      <c r="AS67" s="213"/>
      <c r="AT67" s="135"/>
      <c r="AU67" s="214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6"/>
      <c r="BG67" s="216"/>
      <c r="BH67" s="216"/>
      <c r="BI67" s="216"/>
      <c r="BJ67" s="216"/>
      <c r="BK67" s="216"/>
      <c r="BL67" s="216"/>
      <c r="BM67" s="216"/>
      <c r="BN67" s="216"/>
      <c r="BO67" s="216"/>
      <c r="BP67" s="216"/>
      <c r="BQ67" s="216"/>
      <c r="BR67" s="214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7"/>
      <c r="CD67" s="214"/>
      <c r="CE67" s="209"/>
      <c r="CF67" s="210"/>
      <c r="CG67" s="210"/>
      <c r="CH67" s="210"/>
      <c r="CI67" s="210"/>
      <c r="CJ67" s="210"/>
      <c r="CK67" s="210"/>
      <c r="CL67" s="210"/>
      <c r="CM67" s="210"/>
      <c r="CN67" s="210"/>
      <c r="CO67" s="348"/>
      <c r="CP67" s="215"/>
      <c r="CQ67" s="216"/>
      <c r="CR67" s="217"/>
      <c r="CS67" s="218">
        <f t="shared" si="48"/>
        <v>0</v>
      </c>
      <c r="CT67" s="146"/>
      <c r="CU67" s="147">
        <f t="shared" si="4"/>
        <v>0</v>
      </c>
      <c r="CV67" s="156"/>
      <c r="CW67" s="157" t="e">
        <f t="shared" si="5"/>
        <v>#DIV/0!</v>
      </c>
      <c r="CX67" s="157" t="e">
        <f t="shared" si="6"/>
        <v>#DIV/0!</v>
      </c>
      <c r="CY67" s="157" t="e">
        <f t="shared" si="7"/>
        <v>#DIV/0!</v>
      </c>
      <c r="CZ67" s="157" t="e">
        <f t="shared" si="8"/>
        <v>#DIV/0!</v>
      </c>
      <c r="DA67" s="157" t="e">
        <f t="shared" si="9"/>
        <v>#DIV/0!</v>
      </c>
      <c r="DB67" s="158" t="e">
        <f t="shared" si="10"/>
        <v>#DIV/0!</v>
      </c>
      <c r="DC67" s="131"/>
      <c r="DD67" s="159">
        <f t="shared" si="11"/>
        <v>0</v>
      </c>
      <c r="DE67" s="160">
        <f t="shared" si="12"/>
        <v>0</v>
      </c>
      <c r="DF67" s="161">
        <f t="shared" si="13"/>
        <v>0</v>
      </c>
      <c r="DG67" s="162" t="e">
        <f t="shared" si="14"/>
        <v>#DIV/0!</v>
      </c>
      <c r="DH67" s="163">
        <f t="shared" si="15"/>
        <v>0</v>
      </c>
      <c r="DI67" s="164"/>
      <c r="DJ67" s="165">
        <f t="shared" si="50"/>
        <v>0</v>
      </c>
      <c r="DK67" s="166">
        <f t="shared" si="50"/>
        <v>0</v>
      </c>
      <c r="DL67" s="167" t="e">
        <f t="shared" si="17"/>
        <v>#DIV/0!</v>
      </c>
      <c r="DM67" s="168" t="e">
        <f t="shared" si="18"/>
        <v>#DIV/0!</v>
      </c>
      <c r="DN67" s="163" t="e">
        <f t="shared" si="19"/>
        <v>#DIV/0!</v>
      </c>
      <c r="DP67" s="170"/>
      <c r="DQ67" s="171"/>
      <c r="DR67" s="172">
        <f t="shared" si="20"/>
        <v>0</v>
      </c>
      <c r="DS67" s="173" t="e">
        <f t="shared" si="21"/>
        <v>#DIV/0!</v>
      </c>
      <c r="DT67" s="163" t="e">
        <f t="shared" si="22"/>
        <v>#DIV/0!</v>
      </c>
      <c r="DU67" s="174"/>
      <c r="DV67" s="175" t="e">
        <f t="shared" si="23"/>
        <v>#DIV/0!</v>
      </c>
      <c r="DW67" s="163">
        <f t="shared" si="24"/>
        <v>0</v>
      </c>
      <c r="DX67" s="164"/>
      <c r="DY67" s="176">
        <f t="shared" si="25"/>
        <v>0</v>
      </c>
      <c r="DZ67" s="177">
        <f t="shared" si="26"/>
        <v>0</v>
      </c>
      <c r="EA67" s="178">
        <f t="shared" si="27"/>
        <v>0</v>
      </c>
      <c r="EB67" s="179">
        <f t="shared" si="28"/>
        <v>0</v>
      </c>
      <c r="EC67" s="180"/>
      <c r="ED67" s="175" t="e">
        <f t="shared" si="29"/>
        <v>#DIV/0!</v>
      </c>
      <c r="EE67" s="163">
        <f t="shared" si="30"/>
        <v>0</v>
      </c>
      <c r="EF67" s="164"/>
      <c r="EG67" s="181">
        <f t="shared" si="31"/>
        <v>0</v>
      </c>
      <c r="EH67" s="182">
        <f t="shared" si="32"/>
        <v>0</v>
      </c>
      <c r="EI67" s="182">
        <f t="shared" si="33"/>
        <v>0</v>
      </c>
      <c r="EJ67" s="182">
        <f t="shared" si="34"/>
        <v>0</v>
      </c>
      <c r="EK67" s="183">
        <f t="shared" si="35"/>
        <v>0</v>
      </c>
      <c r="EL67" s="184" t="e">
        <f t="shared" si="36"/>
        <v>#DIV/0!</v>
      </c>
      <c r="EM67" s="185">
        <f t="shared" si="37"/>
        <v>0</v>
      </c>
      <c r="EN67" s="164"/>
      <c r="EO67" s="181">
        <f t="shared" si="38"/>
        <v>0</v>
      </c>
      <c r="EP67" s="183">
        <f t="shared" si="39"/>
        <v>0</v>
      </c>
      <c r="EQ67" s="184" t="e">
        <f t="shared" si="40"/>
        <v>#DIV/0!</v>
      </c>
      <c r="ER67" s="185">
        <f t="shared" si="41"/>
        <v>0</v>
      </c>
      <c r="ES67" s="164"/>
      <c r="ET67" s="164"/>
      <c r="EU67" s="186">
        <f t="shared" si="42"/>
        <v>0</v>
      </c>
      <c r="EV67" s="186">
        <f t="shared" si="43"/>
        <v>0</v>
      </c>
      <c r="EW67" s="186">
        <f t="shared" si="44"/>
        <v>0</v>
      </c>
      <c r="EX67" s="186">
        <f t="shared" si="45"/>
        <v>0</v>
      </c>
      <c r="EY67" s="131"/>
      <c r="EZ67" s="187">
        <f t="shared" si="46"/>
        <v>0</v>
      </c>
      <c r="FA67" s="188" t="e">
        <f t="shared" si="47"/>
        <v>#DIV/0!</v>
      </c>
      <c r="FB67" s="189"/>
      <c r="FC67" s="131"/>
      <c r="FD67" s="131"/>
      <c r="FE67" s="131"/>
      <c r="FF67" s="131"/>
      <c r="FG67" s="131"/>
    </row>
    <row r="68" spans="2:163" ht="16" outlineLevel="1" thickBot="1" x14ac:dyDescent="0.4">
      <c r="B68" s="356"/>
      <c r="C68" s="353"/>
      <c r="D68" s="133"/>
      <c r="E68" s="134"/>
      <c r="F68" s="135"/>
      <c r="G68" s="136"/>
      <c r="H68" s="137"/>
      <c r="I68" s="138">
        <f>IF(E68&gt;0.0001,9.4,0)</f>
        <v>0</v>
      </c>
      <c r="J68" s="139"/>
      <c r="K68" s="140">
        <f>E68*60</f>
        <v>0</v>
      </c>
      <c r="L68" s="141"/>
      <c r="M68" s="142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2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4"/>
      <c r="AN68" s="145">
        <f t="shared" si="2"/>
        <v>0</v>
      </c>
      <c r="AO68" s="146"/>
      <c r="AP68" s="147">
        <f t="shared" si="3"/>
        <v>0</v>
      </c>
      <c r="AQ68" s="148"/>
      <c r="AR68" s="149"/>
      <c r="AS68" s="149"/>
      <c r="AT68" s="135"/>
      <c r="AU68" s="150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0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4"/>
      <c r="CD68" s="150"/>
      <c r="CE68" s="142"/>
      <c r="CF68" s="143"/>
      <c r="CG68" s="143"/>
      <c r="CH68" s="143"/>
      <c r="CI68" s="143"/>
      <c r="CJ68" s="143"/>
      <c r="CK68" s="143"/>
      <c r="CL68" s="143"/>
      <c r="CM68" s="143"/>
      <c r="CN68" s="143"/>
      <c r="CO68" s="346"/>
      <c r="CP68" s="151"/>
      <c r="CQ68" s="152"/>
      <c r="CR68" s="154"/>
      <c r="CS68" s="155">
        <f t="shared" si="48"/>
        <v>0</v>
      </c>
      <c r="CT68" s="146"/>
      <c r="CU68" s="147">
        <f t="shared" si="4"/>
        <v>0</v>
      </c>
      <c r="CV68" s="156"/>
      <c r="CW68" s="157" t="e">
        <f t="shared" si="5"/>
        <v>#DIV/0!</v>
      </c>
      <c r="CX68" s="157" t="e">
        <f t="shared" si="6"/>
        <v>#DIV/0!</v>
      </c>
      <c r="CY68" s="157" t="e">
        <f t="shared" si="7"/>
        <v>#DIV/0!</v>
      </c>
      <c r="CZ68" s="157" t="e">
        <f t="shared" si="8"/>
        <v>#DIV/0!</v>
      </c>
      <c r="DA68" s="157" t="e">
        <f t="shared" si="9"/>
        <v>#DIV/0!</v>
      </c>
      <c r="DB68" s="158" t="e">
        <f t="shared" si="10"/>
        <v>#DIV/0!</v>
      </c>
      <c r="DC68" s="131"/>
      <c r="DD68" s="159">
        <f t="shared" si="11"/>
        <v>0</v>
      </c>
      <c r="DE68" s="160">
        <f t="shared" si="12"/>
        <v>0</v>
      </c>
      <c r="DF68" s="161">
        <f t="shared" si="13"/>
        <v>0</v>
      </c>
      <c r="DG68" s="162" t="e">
        <f t="shared" si="14"/>
        <v>#DIV/0!</v>
      </c>
      <c r="DH68" s="163">
        <f t="shared" si="15"/>
        <v>0</v>
      </c>
      <c r="DI68" s="164"/>
      <c r="DJ68" s="165">
        <f t="shared" ref="DJ68:DK103" si="55">H68</f>
        <v>0</v>
      </c>
      <c r="DK68" s="166">
        <f t="shared" si="55"/>
        <v>0</v>
      </c>
      <c r="DL68" s="167" t="e">
        <f t="shared" si="17"/>
        <v>#DIV/0!</v>
      </c>
      <c r="DM68" s="168" t="e">
        <f t="shared" si="18"/>
        <v>#DIV/0!</v>
      </c>
      <c r="DN68" s="163" t="e">
        <f t="shared" si="19"/>
        <v>#DIV/0!</v>
      </c>
      <c r="DO68" s="169"/>
      <c r="DP68" s="170"/>
      <c r="DQ68" s="171"/>
      <c r="DR68" s="172">
        <f t="shared" si="20"/>
        <v>0</v>
      </c>
      <c r="DS68" s="173" t="e">
        <f t="shared" si="21"/>
        <v>#DIV/0!</v>
      </c>
      <c r="DT68" s="163" t="e">
        <f t="shared" si="22"/>
        <v>#DIV/0!</v>
      </c>
      <c r="DU68" s="174"/>
      <c r="DV68" s="175" t="e">
        <f t="shared" si="23"/>
        <v>#DIV/0!</v>
      </c>
      <c r="DW68" s="163">
        <f t="shared" si="24"/>
        <v>0</v>
      </c>
      <c r="DX68" s="164"/>
      <c r="DY68" s="176">
        <f t="shared" si="25"/>
        <v>0</v>
      </c>
      <c r="DZ68" s="177">
        <f t="shared" si="26"/>
        <v>0</v>
      </c>
      <c r="EA68" s="178">
        <f t="shared" si="27"/>
        <v>0</v>
      </c>
      <c r="EB68" s="179">
        <f t="shared" si="28"/>
        <v>0</v>
      </c>
      <c r="EC68" s="180"/>
      <c r="ED68" s="175" t="e">
        <f t="shared" si="29"/>
        <v>#DIV/0!</v>
      </c>
      <c r="EE68" s="163">
        <f t="shared" si="30"/>
        <v>0</v>
      </c>
      <c r="EF68" s="164"/>
      <c r="EG68" s="181">
        <f t="shared" si="31"/>
        <v>0</v>
      </c>
      <c r="EH68" s="182">
        <f t="shared" si="32"/>
        <v>0</v>
      </c>
      <c r="EI68" s="182">
        <f t="shared" si="33"/>
        <v>0</v>
      </c>
      <c r="EJ68" s="182">
        <f t="shared" si="34"/>
        <v>0</v>
      </c>
      <c r="EK68" s="183">
        <f t="shared" si="35"/>
        <v>0</v>
      </c>
      <c r="EL68" s="184" t="e">
        <f t="shared" si="36"/>
        <v>#DIV/0!</v>
      </c>
      <c r="EM68" s="185">
        <f t="shared" si="37"/>
        <v>0</v>
      </c>
      <c r="EN68" s="164"/>
      <c r="EO68" s="181">
        <f t="shared" si="38"/>
        <v>0</v>
      </c>
      <c r="EP68" s="183">
        <f t="shared" si="39"/>
        <v>0</v>
      </c>
      <c r="EQ68" s="184" t="e">
        <f t="shared" si="40"/>
        <v>#DIV/0!</v>
      </c>
      <c r="ER68" s="185">
        <f t="shared" si="41"/>
        <v>0</v>
      </c>
      <c r="ES68" s="164"/>
      <c r="ET68" s="164"/>
      <c r="EU68" s="186">
        <f t="shared" si="42"/>
        <v>0</v>
      </c>
      <c r="EV68" s="186">
        <f t="shared" si="43"/>
        <v>0</v>
      </c>
      <c r="EW68" s="186">
        <f t="shared" si="44"/>
        <v>0</v>
      </c>
      <c r="EX68" s="186">
        <f t="shared" si="45"/>
        <v>0</v>
      </c>
      <c r="EY68" s="131"/>
      <c r="EZ68" s="187">
        <f t="shared" si="46"/>
        <v>0</v>
      </c>
      <c r="FA68" s="188" t="e">
        <f t="shared" si="47"/>
        <v>#DIV/0!</v>
      </c>
      <c r="FB68" s="189"/>
      <c r="FC68" s="131"/>
      <c r="FD68" s="131"/>
      <c r="FE68" s="131"/>
      <c r="FF68" s="131"/>
      <c r="FG68" s="131"/>
    </row>
    <row r="69" spans="2:163" ht="16" outlineLevel="1" thickBot="1" x14ac:dyDescent="0.4">
      <c r="B69" s="357"/>
      <c r="C69" s="354"/>
      <c r="D69" s="240"/>
      <c r="E69" s="241"/>
      <c r="F69" s="135"/>
      <c r="G69" s="192"/>
      <c r="H69" s="242"/>
      <c r="I69" s="138">
        <f t="shared" ref="I69:I106" si="56">IF(E69&gt;0.0001,0,0)</f>
        <v>0</v>
      </c>
      <c r="J69" s="139"/>
      <c r="K69" s="193">
        <f t="shared" ref="K69:K70" si="57">E69*60</f>
        <v>0</v>
      </c>
      <c r="L69" s="141"/>
      <c r="M69" s="194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4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6"/>
      <c r="AN69" s="197">
        <f t="shared" ref="AN69:AN106" si="58">SUM(M69:AM69)</f>
        <v>0</v>
      </c>
      <c r="AO69" s="146"/>
      <c r="AP69" s="147">
        <f t="shared" ref="AP69:AP106" si="59">K69-AN69</f>
        <v>0</v>
      </c>
      <c r="AQ69" s="148"/>
      <c r="AR69" s="198"/>
      <c r="AS69" s="198"/>
      <c r="AT69" s="135"/>
      <c r="AU69" s="199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199"/>
      <c r="BS69" s="200"/>
      <c r="BT69" s="200"/>
      <c r="BU69" s="200"/>
      <c r="BV69" s="200"/>
      <c r="BW69" s="200"/>
      <c r="BX69" s="200"/>
      <c r="BY69" s="200"/>
      <c r="BZ69" s="200"/>
      <c r="CA69" s="200"/>
      <c r="CB69" s="200"/>
      <c r="CC69" s="202"/>
      <c r="CD69" s="199"/>
      <c r="CE69" s="194"/>
      <c r="CF69" s="195"/>
      <c r="CG69" s="195"/>
      <c r="CH69" s="195"/>
      <c r="CI69" s="195"/>
      <c r="CJ69" s="195"/>
      <c r="CK69" s="195"/>
      <c r="CL69" s="195"/>
      <c r="CM69" s="195"/>
      <c r="CN69" s="195"/>
      <c r="CO69" s="347"/>
      <c r="CP69" s="200"/>
      <c r="CQ69" s="201"/>
      <c r="CR69" s="202"/>
      <c r="CS69" s="203">
        <f t="shared" ref="CS69:CS100" si="60">SUM(AU69:CR69)</f>
        <v>0</v>
      </c>
      <c r="CT69" s="146"/>
      <c r="CU69" s="147">
        <f t="shared" ref="CU69:CU106" si="61">AP69-CS69</f>
        <v>0</v>
      </c>
      <c r="CV69" s="156"/>
      <c r="CW69" s="157" t="e">
        <f t="shared" ref="CW69:CW106" si="62">(SUM(M69:Z69))/K69</f>
        <v>#DIV/0!</v>
      </c>
      <c r="CX69" s="157" t="e">
        <f t="shared" ref="CX69:CX107" si="63">(SUM(AA69:AM69))/K69</f>
        <v>#DIV/0!</v>
      </c>
      <c r="CY69" s="157" t="e">
        <f t="shared" ref="CY69:CY107" si="64">(SUM(AU69:BQ69))/$K69</f>
        <v>#DIV/0!</v>
      </c>
      <c r="CZ69" s="157" t="e">
        <f t="shared" ref="CZ69:CZ107" si="65">(SUM(BR69:CC69))/K69</f>
        <v>#DIV/0!</v>
      </c>
      <c r="DA69" s="157" t="e">
        <f t="shared" ref="DA69:DA107" si="66">(SUM(CD69:CR69))/K69</f>
        <v>#DIV/0!</v>
      </c>
      <c r="DB69" s="158" t="e">
        <f t="shared" ref="DB69:DB107" si="67">CU69/K69</f>
        <v>#DIV/0!</v>
      </c>
      <c r="DC69" s="131"/>
      <c r="DD69" s="159">
        <f t="shared" ref="DD69:DD106" si="68">AP69</f>
        <v>0</v>
      </c>
      <c r="DE69" s="160">
        <f t="shared" ref="DE69:DE106" si="69">CS69</f>
        <v>0</v>
      </c>
      <c r="DF69" s="161">
        <f t="shared" ref="DF69:DF107" si="70">$DD69-DE69</f>
        <v>0</v>
      </c>
      <c r="DG69" s="162" t="e">
        <f t="shared" ref="DG69:DG106" si="71">DF69/$DD69</f>
        <v>#DIV/0!</v>
      </c>
      <c r="DH69" s="163">
        <f t="shared" ref="DH69:DH106" si="72">IF(AP69&gt;0.01,1,0)</f>
        <v>0</v>
      </c>
      <c r="DI69" s="164"/>
      <c r="DJ69" s="165">
        <f t="shared" si="55"/>
        <v>0</v>
      </c>
      <c r="DK69" s="166">
        <f t="shared" si="55"/>
        <v>0</v>
      </c>
      <c r="DL69" s="167" t="e">
        <f t="shared" ref="DL69:DL106" si="73">DR69/DF69</f>
        <v>#DIV/0!</v>
      </c>
      <c r="DM69" s="168" t="e">
        <f t="shared" ref="DM69:DM106" si="74">DL69/DK69</f>
        <v>#DIV/0!</v>
      </c>
      <c r="DN69" s="163" t="e">
        <f t="shared" ref="DN69:DN106" si="75">IF(DM69&gt;0.01,1,0)</f>
        <v>#DIV/0!</v>
      </c>
      <c r="DO69" s="169"/>
      <c r="DP69" s="170"/>
      <c r="DQ69" s="171"/>
      <c r="DR69" s="172">
        <f t="shared" ref="DR69:DR107" si="76">DP69+DQ69</f>
        <v>0</v>
      </c>
      <c r="DS69" s="173" t="e">
        <f t="shared" ref="DS69:DS106" si="77">IF(DL69=0,0,DP69/DR69)</f>
        <v>#DIV/0!</v>
      </c>
      <c r="DT69" s="163" t="e">
        <f t="shared" ref="DT69:DT106" si="78">IF(DS69&gt;0.01,1,0)</f>
        <v>#DIV/0!</v>
      </c>
      <c r="DU69" s="174"/>
      <c r="DV69" s="175" t="e">
        <f t="shared" ref="DV69:DV106" si="79">DG69*DM69*DS69</f>
        <v>#DIV/0!</v>
      </c>
      <c r="DW69" s="163">
        <f t="shared" ref="DW69:DW106" si="80">IF($AP69&gt;0.01,1,0)</f>
        <v>0</v>
      </c>
      <c r="DX69" s="164"/>
      <c r="DY69" s="176">
        <f t="shared" ref="DY69:DY107" si="81">DP69</f>
        <v>0</v>
      </c>
      <c r="DZ69" s="177">
        <f t="shared" ref="DZ69:DZ106" si="82">DK69</f>
        <v>0</v>
      </c>
      <c r="EA69" s="178">
        <f t="shared" ref="EA69:EA106" si="83">+AP69</f>
        <v>0</v>
      </c>
      <c r="EB69" s="179">
        <f t="shared" ref="EB69:EB106" si="84">DZ69*EA69</f>
        <v>0</v>
      </c>
      <c r="EC69" s="180"/>
      <c r="ED69" s="175" t="e">
        <f t="shared" ref="ED69:ED106" si="85">DY69/EB69</f>
        <v>#DIV/0!</v>
      </c>
      <c r="EE69" s="163">
        <f t="shared" ref="EE69:EE106" si="86">IF($AP69&gt;0.01,1,0)</f>
        <v>0</v>
      </c>
      <c r="EF69" s="164"/>
      <c r="EG69" s="181">
        <f t="shared" ref="EG69:EG106" si="87">DP69</f>
        <v>0</v>
      </c>
      <c r="EH69" s="182">
        <f t="shared" ref="EH69:EH106" si="88">K69</f>
        <v>0</v>
      </c>
      <c r="EI69" s="182">
        <f t="shared" ref="EI69:EI106" si="89">SUM(M69:Z69)</f>
        <v>0</v>
      </c>
      <c r="EJ69" s="182">
        <f t="shared" ref="EJ69:EJ106" si="90">I69</f>
        <v>0</v>
      </c>
      <c r="EK69" s="183">
        <f t="shared" ref="EK69:EK106" si="91">(EH69-EI69)*EJ69</f>
        <v>0</v>
      </c>
      <c r="EL69" s="184" t="e">
        <f t="shared" ref="EL69:EL106" si="92">EG69/EK69</f>
        <v>#DIV/0!</v>
      </c>
      <c r="EM69" s="185">
        <f t="shared" ref="EM69:EM106" si="93">IF(EK69&gt;0.01,1,0)</f>
        <v>0</v>
      </c>
      <c r="EN69" s="164"/>
      <c r="EO69" s="181">
        <f t="shared" ref="EO69:EO106" si="94">EG69</f>
        <v>0</v>
      </c>
      <c r="EP69" s="183">
        <f t="shared" ref="EP69:EP106" si="95">EJ69</f>
        <v>0</v>
      </c>
      <c r="EQ69" s="184" t="e">
        <f t="shared" ref="EQ69:EQ106" si="96">EO69/(EP69*K69)</f>
        <v>#DIV/0!</v>
      </c>
      <c r="ER69" s="185">
        <f t="shared" ref="ER69:ER106" si="97">IF($K69&gt;0.01,1,0)</f>
        <v>0</v>
      </c>
      <c r="ES69" s="164"/>
      <c r="ET69" s="164"/>
      <c r="EU69" s="186">
        <f t="shared" ref="EU69:EU107" si="98">DK69</f>
        <v>0</v>
      </c>
      <c r="EV69" s="186">
        <f t="shared" ref="EV69:EV106" si="99">CU69</f>
        <v>0</v>
      </c>
      <c r="EW69" s="186">
        <f t="shared" ref="EW69:EW106" si="100">I69*CU69</f>
        <v>0</v>
      </c>
      <c r="EX69" s="186">
        <f t="shared" ref="EX69:EX106" si="101">DR69</f>
        <v>0</v>
      </c>
      <c r="EY69" s="131"/>
      <c r="EZ69" s="187">
        <f t="shared" ref="EZ69:EZ106" si="102">EW69-EX69</f>
        <v>0</v>
      </c>
      <c r="FA69" s="188" t="e">
        <f t="shared" ref="FA69:FA106" si="103">+IF(EZ69/I69&lt;0,0,(EZ69/I69))</f>
        <v>#DIV/0!</v>
      </c>
      <c r="FB69" s="189"/>
      <c r="FC69" s="131"/>
      <c r="FD69" s="131"/>
      <c r="FE69" s="131"/>
      <c r="FF69" s="131"/>
      <c r="FG69" s="131"/>
    </row>
    <row r="70" spans="2:163" ht="16" outlineLevel="1" thickBot="1" x14ac:dyDescent="0.4">
      <c r="B70" s="358"/>
      <c r="C70" s="355"/>
      <c r="D70" s="243"/>
      <c r="E70" s="244"/>
      <c r="F70" s="135"/>
      <c r="G70" s="192"/>
      <c r="H70" s="245"/>
      <c r="I70" s="138">
        <f t="shared" si="56"/>
        <v>0</v>
      </c>
      <c r="J70" s="139"/>
      <c r="K70" s="208">
        <f t="shared" si="57"/>
        <v>0</v>
      </c>
      <c r="L70" s="141"/>
      <c r="M70" s="209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09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1"/>
      <c r="AN70" s="212">
        <f t="shared" si="58"/>
        <v>0</v>
      </c>
      <c r="AO70" s="146"/>
      <c r="AP70" s="147">
        <f t="shared" si="59"/>
        <v>0</v>
      </c>
      <c r="AQ70" s="148"/>
      <c r="AR70" s="213"/>
      <c r="AS70" s="213"/>
      <c r="AT70" s="135"/>
      <c r="AU70" s="214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6"/>
      <c r="BG70" s="216"/>
      <c r="BH70" s="216"/>
      <c r="BI70" s="216"/>
      <c r="BJ70" s="216"/>
      <c r="BK70" s="216"/>
      <c r="BL70" s="216"/>
      <c r="BM70" s="216"/>
      <c r="BN70" s="216"/>
      <c r="BO70" s="216"/>
      <c r="BP70" s="216"/>
      <c r="BQ70" s="216"/>
      <c r="BR70" s="214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7"/>
      <c r="CD70" s="214"/>
      <c r="CE70" s="209"/>
      <c r="CF70" s="210"/>
      <c r="CG70" s="210"/>
      <c r="CH70" s="210"/>
      <c r="CI70" s="210"/>
      <c r="CJ70" s="210"/>
      <c r="CK70" s="210"/>
      <c r="CL70" s="210"/>
      <c r="CM70" s="210"/>
      <c r="CN70" s="210"/>
      <c r="CO70" s="348"/>
      <c r="CP70" s="215"/>
      <c r="CQ70" s="216"/>
      <c r="CR70" s="217"/>
      <c r="CS70" s="218">
        <f t="shared" si="60"/>
        <v>0</v>
      </c>
      <c r="CT70" s="146"/>
      <c r="CU70" s="147">
        <f t="shared" si="61"/>
        <v>0</v>
      </c>
      <c r="CV70" s="156"/>
      <c r="CW70" s="157" t="e">
        <f t="shared" si="62"/>
        <v>#DIV/0!</v>
      </c>
      <c r="CX70" s="157" t="e">
        <f t="shared" si="63"/>
        <v>#DIV/0!</v>
      </c>
      <c r="CY70" s="157" t="e">
        <f t="shared" si="64"/>
        <v>#DIV/0!</v>
      </c>
      <c r="CZ70" s="157" t="e">
        <f t="shared" si="65"/>
        <v>#DIV/0!</v>
      </c>
      <c r="DA70" s="157" t="e">
        <f t="shared" si="66"/>
        <v>#DIV/0!</v>
      </c>
      <c r="DB70" s="158" t="e">
        <f t="shared" si="67"/>
        <v>#DIV/0!</v>
      </c>
      <c r="DC70" s="131"/>
      <c r="DD70" s="159">
        <f t="shared" si="68"/>
        <v>0</v>
      </c>
      <c r="DE70" s="160">
        <f t="shared" si="69"/>
        <v>0</v>
      </c>
      <c r="DF70" s="161">
        <f t="shared" si="70"/>
        <v>0</v>
      </c>
      <c r="DG70" s="162" t="e">
        <f t="shared" si="71"/>
        <v>#DIV/0!</v>
      </c>
      <c r="DH70" s="163">
        <f t="shared" si="72"/>
        <v>0</v>
      </c>
      <c r="DI70" s="164"/>
      <c r="DJ70" s="165">
        <f t="shared" si="55"/>
        <v>0</v>
      </c>
      <c r="DK70" s="166">
        <f t="shared" si="55"/>
        <v>0</v>
      </c>
      <c r="DL70" s="167" t="e">
        <f t="shared" si="73"/>
        <v>#DIV/0!</v>
      </c>
      <c r="DM70" s="168" t="e">
        <f t="shared" si="74"/>
        <v>#DIV/0!</v>
      </c>
      <c r="DN70" s="163" t="e">
        <f t="shared" si="75"/>
        <v>#DIV/0!</v>
      </c>
      <c r="DO70" s="169"/>
      <c r="DP70" s="170"/>
      <c r="DQ70" s="171"/>
      <c r="DR70" s="172">
        <f t="shared" si="76"/>
        <v>0</v>
      </c>
      <c r="DS70" s="173" t="e">
        <f t="shared" si="77"/>
        <v>#DIV/0!</v>
      </c>
      <c r="DT70" s="163" t="e">
        <f t="shared" si="78"/>
        <v>#DIV/0!</v>
      </c>
      <c r="DU70" s="174"/>
      <c r="DV70" s="175" t="e">
        <f t="shared" si="79"/>
        <v>#DIV/0!</v>
      </c>
      <c r="DW70" s="163">
        <f t="shared" si="80"/>
        <v>0</v>
      </c>
      <c r="DX70" s="164"/>
      <c r="DY70" s="176">
        <f t="shared" si="81"/>
        <v>0</v>
      </c>
      <c r="DZ70" s="177">
        <f t="shared" si="82"/>
        <v>0</v>
      </c>
      <c r="EA70" s="178">
        <f t="shared" si="83"/>
        <v>0</v>
      </c>
      <c r="EB70" s="179">
        <f t="shared" si="84"/>
        <v>0</v>
      </c>
      <c r="EC70" s="180"/>
      <c r="ED70" s="175" t="e">
        <f t="shared" si="85"/>
        <v>#DIV/0!</v>
      </c>
      <c r="EE70" s="163">
        <f t="shared" si="86"/>
        <v>0</v>
      </c>
      <c r="EF70" s="164"/>
      <c r="EG70" s="181">
        <f t="shared" si="87"/>
        <v>0</v>
      </c>
      <c r="EH70" s="182">
        <f t="shared" si="88"/>
        <v>0</v>
      </c>
      <c r="EI70" s="182">
        <f t="shared" si="89"/>
        <v>0</v>
      </c>
      <c r="EJ70" s="182">
        <f t="shared" si="90"/>
        <v>0</v>
      </c>
      <c r="EK70" s="183">
        <f t="shared" si="91"/>
        <v>0</v>
      </c>
      <c r="EL70" s="184" t="e">
        <f t="shared" si="92"/>
        <v>#DIV/0!</v>
      </c>
      <c r="EM70" s="185">
        <f t="shared" si="93"/>
        <v>0</v>
      </c>
      <c r="EN70" s="164"/>
      <c r="EO70" s="181">
        <f t="shared" si="94"/>
        <v>0</v>
      </c>
      <c r="EP70" s="183">
        <f t="shared" si="95"/>
        <v>0</v>
      </c>
      <c r="EQ70" s="184" t="e">
        <f t="shared" si="96"/>
        <v>#DIV/0!</v>
      </c>
      <c r="ER70" s="185">
        <f t="shared" si="97"/>
        <v>0</v>
      </c>
      <c r="ES70" s="164"/>
      <c r="ET70" s="164"/>
      <c r="EU70" s="186">
        <f t="shared" si="98"/>
        <v>0</v>
      </c>
      <c r="EV70" s="186">
        <f t="shared" si="99"/>
        <v>0</v>
      </c>
      <c r="EW70" s="186">
        <f t="shared" si="100"/>
        <v>0</v>
      </c>
      <c r="EX70" s="186">
        <f t="shared" si="101"/>
        <v>0</v>
      </c>
      <c r="EY70" s="131"/>
      <c r="EZ70" s="187">
        <f t="shared" si="102"/>
        <v>0</v>
      </c>
      <c r="FA70" s="188" t="e">
        <f t="shared" si="103"/>
        <v>#DIV/0!</v>
      </c>
      <c r="FB70" s="189"/>
      <c r="FC70" s="131"/>
      <c r="FD70" s="131"/>
      <c r="FE70" s="131"/>
      <c r="FF70" s="131"/>
      <c r="FG70" s="131"/>
    </row>
    <row r="71" spans="2:163" ht="16" outlineLevel="1" thickBot="1" x14ac:dyDescent="0.4">
      <c r="B71" s="356"/>
      <c r="C71" s="353"/>
      <c r="D71" s="133"/>
      <c r="E71" s="134"/>
      <c r="F71" s="135"/>
      <c r="G71" s="136"/>
      <c r="H71" s="137"/>
      <c r="I71" s="138">
        <f>IF(E71&gt;0.0001,9.4,0)</f>
        <v>0</v>
      </c>
      <c r="J71" s="139"/>
      <c r="K71" s="140">
        <f>E71*60</f>
        <v>0</v>
      </c>
      <c r="L71" s="141"/>
      <c r="M71" s="142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2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4"/>
      <c r="AN71" s="145">
        <f t="shared" si="58"/>
        <v>0</v>
      </c>
      <c r="AO71" s="146"/>
      <c r="AP71" s="147">
        <f t="shared" si="59"/>
        <v>0</v>
      </c>
      <c r="AQ71" s="148"/>
      <c r="AR71" s="149"/>
      <c r="AS71" s="149"/>
      <c r="AT71" s="135"/>
      <c r="AU71" s="150"/>
      <c r="AV71" s="151"/>
      <c r="AW71" s="151"/>
      <c r="AX71" s="151"/>
      <c r="AY71" s="151"/>
      <c r="AZ71" s="151"/>
      <c r="BA71" s="151"/>
      <c r="BB71" s="151"/>
      <c r="BC71" s="151"/>
      <c r="BD71" s="151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0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4"/>
      <c r="CD71" s="150"/>
      <c r="CE71" s="142"/>
      <c r="CF71" s="143"/>
      <c r="CG71" s="143"/>
      <c r="CH71" s="143"/>
      <c r="CI71" s="143"/>
      <c r="CJ71" s="143"/>
      <c r="CK71" s="143"/>
      <c r="CL71" s="143"/>
      <c r="CM71" s="143"/>
      <c r="CN71" s="143"/>
      <c r="CO71" s="346"/>
      <c r="CP71" s="151"/>
      <c r="CQ71" s="152"/>
      <c r="CR71" s="154"/>
      <c r="CS71" s="155">
        <f t="shared" si="60"/>
        <v>0</v>
      </c>
      <c r="CT71" s="146"/>
      <c r="CU71" s="147">
        <f t="shared" si="61"/>
        <v>0</v>
      </c>
      <c r="CV71" s="156"/>
      <c r="CW71" s="157" t="e">
        <f t="shared" si="62"/>
        <v>#DIV/0!</v>
      </c>
      <c r="CX71" s="157" t="e">
        <f t="shared" si="63"/>
        <v>#DIV/0!</v>
      </c>
      <c r="CY71" s="157" t="e">
        <f t="shared" si="64"/>
        <v>#DIV/0!</v>
      </c>
      <c r="CZ71" s="157" t="e">
        <f t="shared" si="65"/>
        <v>#DIV/0!</v>
      </c>
      <c r="DA71" s="157" t="e">
        <f t="shared" si="66"/>
        <v>#DIV/0!</v>
      </c>
      <c r="DB71" s="158" t="e">
        <f t="shared" si="67"/>
        <v>#DIV/0!</v>
      </c>
      <c r="DC71" s="131"/>
      <c r="DD71" s="159">
        <f t="shared" si="68"/>
        <v>0</v>
      </c>
      <c r="DE71" s="160">
        <f t="shared" si="69"/>
        <v>0</v>
      </c>
      <c r="DF71" s="161">
        <f t="shared" si="70"/>
        <v>0</v>
      </c>
      <c r="DG71" s="162" t="e">
        <f t="shared" si="71"/>
        <v>#DIV/0!</v>
      </c>
      <c r="DH71" s="163">
        <f t="shared" si="72"/>
        <v>0</v>
      </c>
      <c r="DI71" s="164"/>
      <c r="DJ71" s="165">
        <f t="shared" si="55"/>
        <v>0</v>
      </c>
      <c r="DK71" s="166">
        <f t="shared" si="55"/>
        <v>0</v>
      </c>
      <c r="DL71" s="167" t="e">
        <f t="shared" si="73"/>
        <v>#DIV/0!</v>
      </c>
      <c r="DM71" s="168" t="e">
        <f t="shared" si="74"/>
        <v>#DIV/0!</v>
      </c>
      <c r="DN71" s="163" t="e">
        <f t="shared" si="75"/>
        <v>#DIV/0!</v>
      </c>
      <c r="DO71" s="169"/>
      <c r="DP71" s="170"/>
      <c r="DQ71" s="171"/>
      <c r="DR71" s="172">
        <f t="shared" si="76"/>
        <v>0</v>
      </c>
      <c r="DS71" s="173" t="e">
        <f t="shared" si="77"/>
        <v>#DIV/0!</v>
      </c>
      <c r="DT71" s="163" t="e">
        <f t="shared" si="78"/>
        <v>#DIV/0!</v>
      </c>
      <c r="DU71" s="174"/>
      <c r="DV71" s="175" t="e">
        <f t="shared" si="79"/>
        <v>#DIV/0!</v>
      </c>
      <c r="DW71" s="163">
        <f t="shared" si="80"/>
        <v>0</v>
      </c>
      <c r="DX71" s="164"/>
      <c r="DY71" s="176">
        <f t="shared" si="81"/>
        <v>0</v>
      </c>
      <c r="DZ71" s="177">
        <f t="shared" si="82"/>
        <v>0</v>
      </c>
      <c r="EA71" s="178">
        <f t="shared" si="83"/>
        <v>0</v>
      </c>
      <c r="EB71" s="179">
        <f t="shared" si="84"/>
        <v>0</v>
      </c>
      <c r="EC71" s="180"/>
      <c r="ED71" s="175" t="e">
        <f t="shared" si="85"/>
        <v>#DIV/0!</v>
      </c>
      <c r="EE71" s="163">
        <f t="shared" si="86"/>
        <v>0</v>
      </c>
      <c r="EF71" s="164"/>
      <c r="EG71" s="181">
        <f t="shared" si="87"/>
        <v>0</v>
      </c>
      <c r="EH71" s="182">
        <f t="shared" si="88"/>
        <v>0</v>
      </c>
      <c r="EI71" s="182">
        <f t="shared" si="89"/>
        <v>0</v>
      </c>
      <c r="EJ71" s="182">
        <f t="shared" si="90"/>
        <v>0</v>
      </c>
      <c r="EK71" s="183">
        <f t="shared" si="91"/>
        <v>0</v>
      </c>
      <c r="EL71" s="184" t="e">
        <f t="shared" si="92"/>
        <v>#DIV/0!</v>
      </c>
      <c r="EM71" s="185">
        <f t="shared" si="93"/>
        <v>0</v>
      </c>
      <c r="EN71" s="164"/>
      <c r="EO71" s="181">
        <f t="shared" si="94"/>
        <v>0</v>
      </c>
      <c r="EP71" s="183">
        <f t="shared" si="95"/>
        <v>0</v>
      </c>
      <c r="EQ71" s="184" t="e">
        <f t="shared" si="96"/>
        <v>#DIV/0!</v>
      </c>
      <c r="ER71" s="185">
        <f t="shared" si="97"/>
        <v>0</v>
      </c>
      <c r="ES71" s="164"/>
      <c r="ET71" s="164"/>
      <c r="EU71" s="186">
        <f t="shared" si="98"/>
        <v>0</v>
      </c>
      <c r="EV71" s="186">
        <f t="shared" si="99"/>
        <v>0</v>
      </c>
      <c r="EW71" s="186">
        <f t="shared" si="100"/>
        <v>0</v>
      </c>
      <c r="EX71" s="186">
        <f t="shared" si="101"/>
        <v>0</v>
      </c>
      <c r="EY71" s="131"/>
      <c r="EZ71" s="187">
        <f t="shared" si="102"/>
        <v>0</v>
      </c>
      <c r="FA71" s="188" t="e">
        <f t="shared" si="103"/>
        <v>#DIV/0!</v>
      </c>
      <c r="FB71" s="189"/>
      <c r="FC71" s="131"/>
      <c r="FD71" s="131"/>
      <c r="FE71" s="131"/>
      <c r="FF71" s="131"/>
      <c r="FG71" s="131"/>
    </row>
    <row r="72" spans="2:163" ht="16" outlineLevel="1" thickBot="1" x14ac:dyDescent="0.4">
      <c r="B72" s="357"/>
      <c r="C72" s="354"/>
      <c r="D72" s="240"/>
      <c r="E72" s="241"/>
      <c r="F72" s="135"/>
      <c r="G72" s="192"/>
      <c r="H72" s="242"/>
      <c r="I72" s="138">
        <f t="shared" si="56"/>
        <v>0</v>
      </c>
      <c r="J72" s="139"/>
      <c r="K72" s="193">
        <f t="shared" ref="K72:K73" si="104">E72*60</f>
        <v>0</v>
      </c>
      <c r="L72" s="141"/>
      <c r="M72" s="194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4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6"/>
      <c r="AN72" s="197">
        <f t="shared" si="58"/>
        <v>0</v>
      </c>
      <c r="AO72" s="146"/>
      <c r="AP72" s="147">
        <f t="shared" si="59"/>
        <v>0</v>
      </c>
      <c r="AQ72" s="148"/>
      <c r="AR72" s="198"/>
      <c r="AS72" s="198"/>
      <c r="AT72" s="135"/>
      <c r="AU72" s="199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1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1"/>
      <c r="BR72" s="199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2"/>
      <c r="CD72" s="199"/>
      <c r="CE72" s="194"/>
      <c r="CF72" s="195"/>
      <c r="CG72" s="195"/>
      <c r="CH72" s="195"/>
      <c r="CI72" s="195"/>
      <c r="CJ72" s="195"/>
      <c r="CK72" s="195"/>
      <c r="CL72" s="195"/>
      <c r="CM72" s="195"/>
      <c r="CN72" s="195"/>
      <c r="CO72" s="347"/>
      <c r="CP72" s="200"/>
      <c r="CQ72" s="201"/>
      <c r="CR72" s="202"/>
      <c r="CS72" s="203">
        <f t="shared" si="60"/>
        <v>0</v>
      </c>
      <c r="CT72" s="146"/>
      <c r="CU72" s="147">
        <f t="shared" si="61"/>
        <v>0</v>
      </c>
      <c r="CV72" s="156"/>
      <c r="CW72" s="157" t="e">
        <f t="shared" si="62"/>
        <v>#DIV/0!</v>
      </c>
      <c r="CX72" s="157" t="e">
        <f t="shared" si="63"/>
        <v>#DIV/0!</v>
      </c>
      <c r="CY72" s="157" t="e">
        <f t="shared" si="64"/>
        <v>#DIV/0!</v>
      </c>
      <c r="CZ72" s="157" t="e">
        <f t="shared" si="65"/>
        <v>#DIV/0!</v>
      </c>
      <c r="DA72" s="157" t="e">
        <f t="shared" si="66"/>
        <v>#DIV/0!</v>
      </c>
      <c r="DB72" s="158" t="e">
        <f t="shared" si="67"/>
        <v>#DIV/0!</v>
      </c>
      <c r="DC72" s="131"/>
      <c r="DD72" s="159">
        <f t="shared" si="68"/>
        <v>0</v>
      </c>
      <c r="DE72" s="160">
        <f t="shared" si="69"/>
        <v>0</v>
      </c>
      <c r="DF72" s="161">
        <f t="shared" si="70"/>
        <v>0</v>
      </c>
      <c r="DG72" s="162" t="e">
        <f t="shared" si="71"/>
        <v>#DIV/0!</v>
      </c>
      <c r="DH72" s="163">
        <f t="shared" si="72"/>
        <v>0</v>
      </c>
      <c r="DI72" s="164"/>
      <c r="DJ72" s="165">
        <f t="shared" si="55"/>
        <v>0</v>
      </c>
      <c r="DK72" s="166">
        <f t="shared" si="55"/>
        <v>0</v>
      </c>
      <c r="DL72" s="167" t="e">
        <f t="shared" si="73"/>
        <v>#DIV/0!</v>
      </c>
      <c r="DM72" s="168" t="e">
        <f t="shared" si="74"/>
        <v>#DIV/0!</v>
      </c>
      <c r="DN72" s="163" t="e">
        <f t="shared" si="75"/>
        <v>#DIV/0!</v>
      </c>
      <c r="DO72" s="169"/>
      <c r="DP72" s="170"/>
      <c r="DQ72" s="171"/>
      <c r="DR72" s="172">
        <f t="shared" si="76"/>
        <v>0</v>
      </c>
      <c r="DS72" s="173" t="e">
        <f t="shared" si="77"/>
        <v>#DIV/0!</v>
      </c>
      <c r="DT72" s="163" t="e">
        <f t="shared" si="78"/>
        <v>#DIV/0!</v>
      </c>
      <c r="DU72" s="174"/>
      <c r="DV72" s="175" t="e">
        <f t="shared" si="79"/>
        <v>#DIV/0!</v>
      </c>
      <c r="DW72" s="163">
        <f t="shared" si="80"/>
        <v>0</v>
      </c>
      <c r="DX72" s="164"/>
      <c r="DY72" s="176">
        <f t="shared" si="81"/>
        <v>0</v>
      </c>
      <c r="DZ72" s="177">
        <f t="shared" si="82"/>
        <v>0</v>
      </c>
      <c r="EA72" s="178">
        <f t="shared" si="83"/>
        <v>0</v>
      </c>
      <c r="EB72" s="179">
        <f t="shared" si="84"/>
        <v>0</v>
      </c>
      <c r="EC72" s="180"/>
      <c r="ED72" s="175" t="e">
        <f t="shared" si="85"/>
        <v>#DIV/0!</v>
      </c>
      <c r="EE72" s="163">
        <f t="shared" si="86"/>
        <v>0</v>
      </c>
      <c r="EF72" s="164"/>
      <c r="EG72" s="181">
        <f t="shared" si="87"/>
        <v>0</v>
      </c>
      <c r="EH72" s="182">
        <f t="shared" si="88"/>
        <v>0</v>
      </c>
      <c r="EI72" s="182">
        <f t="shared" si="89"/>
        <v>0</v>
      </c>
      <c r="EJ72" s="182">
        <f t="shared" si="90"/>
        <v>0</v>
      </c>
      <c r="EK72" s="183">
        <f t="shared" si="91"/>
        <v>0</v>
      </c>
      <c r="EL72" s="184" t="e">
        <f t="shared" si="92"/>
        <v>#DIV/0!</v>
      </c>
      <c r="EM72" s="185">
        <f t="shared" si="93"/>
        <v>0</v>
      </c>
      <c r="EN72" s="164"/>
      <c r="EO72" s="181">
        <f t="shared" si="94"/>
        <v>0</v>
      </c>
      <c r="EP72" s="183">
        <f t="shared" si="95"/>
        <v>0</v>
      </c>
      <c r="EQ72" s="184" t="e">
        <f t="shared" si="96"/>
        <v>#DIV/0!</v>
      </c>
      <c r="ER72" s="185">
        <f t="shared" si="97"/>
        <v>0</v>
      </c>
      <c r="ES72" s="164"/>
      <c r="ET72" s="164"/>
      <c r="EU72" s="186">
        <f t="shared" si="98"/>
        <v>0</v>
      </c>
      <c r="EV72" s="186">
        <f t="shared" si="99"/>
        <v>0</v>
      </c>
      <c r="EW72" s="186">
        <f t="shared" si="100"/>
        <v>0</v>
      </c>
      <c r="EX72" s="186">
        <f t="shared" si="101"/>
        <v>0</v>
      </c>
      <c r="EY72" s="131"/>
      <c r="EZ72" s="187">
        <f t="shared" si="102"/>
        <v>0</v>
      </c>
      <c r="FA72" s="188" t="e">
        <f t="shared" si="103"/>
        <v>#DIV/0!</v>
      </c>
      <c r="FB72" s="189"/>
      <c r="FC72" s="131"/>
      <c r="FD72" s="131"/>
      <c r="FE72" s="131"/>
      <c r="FF72" s="131"/>
      <c r="FG72" s="131"/>
    </row>
    <row r="73" spans="2:163" ht="16" outlineLevel="1" thickBot="1" x14ac:dyDescent="0.4">
      <c r="B73" s="358"/>
      <c r="C73" s="355"/>
      <c r="D73" s="243"/>
      <c r="E73" s="244"/>
      <c r="F73" s="135"/>
      <c r="G73" s="192"/>
      <c r="H73" s="245"/>
      <c r="I73" s="138">
        <f t="shared" si="56"/>
        <v>0</v>
      </c>
      <c r="J73" s="139"/>
      <c r="K73" s="208">
        <f t="shared" si="104"/>
        <v>0</v>
      </c>
      <c r="L73" s="141"/>
      <c r="M73" s="209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09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1"/>
      <c r="AN73" s="212">
        <f t="shared" si="58"/>
        <v>0</v>
      </c>
      <c r="AO73" s="146"/>
      <c r="AP73" s="147">
        <f t="shared" si="59"/>
        <v>0</v>
      </c>
      <c r="AQ73" s="148"/>
      <c r="AR73" s="213"/>
      <c r="AS73" s="213"/>
      <c r="AT73" s="135"/>
      <c r="AU73" s="214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4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7"/>
      <c r="CD73" s="214"/>
      <c r="CE73" s="209"/>
      <c r="CF73" s="210"/>
      <c r="CG73" s="210"/>
      <c r="CH73" s="210"/>
      <c r="CI73" s="210"/>
      <c r="CJ73" s="210"/>
      <c r="CK73" s="210"/>
      <c r="CL73" s="210"/>
      <c r="CM73" s="210"/>
      <c r="CN73" s="210"/>
      <c r="CO73" s="348"/>
      <c r="CP73" s="215"/>
      <c r="CQ73" s="216"/>
      <c r="CR73" s="217"/>
      <c r="CS73" s="218">
        <f t="shared" si="60"/>
        <v>0</v>
      </c>
      <c r="CT73" s="146"/>
      <c r="CU73" s="147">
        <f t="shared" si="61"/>
        <v>0</v>
      </c>
      <c r="CV73" s="156"/>
      <c r="CW73" s="157" t="e">
        <f t="shared" si="62"/>
        <v>#DIV/0!</v>
      </c>
      <c r="CX73" s="157" t="e">
        <f t="shared" si="63"/>
        <v>#DIV/0!</v>
      </c>
      <c r="CY73" s="157" t="e">
        <f t="shared" si="64"/>
        <v>#DIV/0!</v>
      </c>
      <c r="CZ73" s="157" t="e">
        <f t="shared" si="65"/>
        <v>#DIV/0!</v>
      </c>
      <c r="DA73" s="157" t="e">
        <f t="shared" si="66"/>
        <v>#DIV/0!</v>
      </c>
      <c r="DB73" s="158" t="e">
        <f t="shared" si="67"/>
        <v>#DIV/0!</v>
      </c>
      <c r="DC73" s="131"/>
      <c r="DD73" s="159">
        <f t="shared" si="68"/>
        <v>0</v>
      </c>
      <c r="DE73" s="160">
        <f t="shared" si="69"/>
        <v>0</v>
      </c>
      <c r="DF73" s="161">
        <f t="shared" si="70"/>
        <v>0</v>
      </c>
      <c r="DG73" s="162" t="e">
        <f t="shared" si="71"/>
        <v>#DIV/0!</v>
      </c>
      <c r="DH73" s="163">
        <f t="shared" si="72"/>
        <v>0</v>
      </c>
      <c r="DI73" s="164"/>
      <c r="DJ73" s="165">
        <f t="shared" si="55"/>
        <v>0</v>
      </c>
      <c r="DK73" s="166">
        <f t="shared" si="55"/>
        <v>0</v>
      </c>
      <c r="DL73" s="167" t="e">
        <f t="shared" si="73"/>
        <v>#DIV/0!</v>
      </c>
      <c r="DM73" s="168" t="e">
        <f t="shared" si="74"/>
        <v>#DIV/0!</v>
      </c>
      <c r="DN73" s="163" t="e">
        <f t="shared" si="75"/>
        <v>#DIV/0!</v>
      </c>
      <c r="DO73" s="169"/>
      <c r="DP73" s="170"/>
      <c r="DQ73" s="171"/>
      <c r="DR73" s="172">
        <f t="shared" si="76"/>
        <v>0</v>
      </c>
      <c r="DS73" s="173" t="e">
        <f t="shared" si="77"/>
        <v>#DIV/0!</v>
      </c>
      <c r="DT73" s="163" t="e">
        <f t="shared" si="78"/>
        <v>#DIV/0!</v>
      </c>
      <c r="DU73" s="174"/>
      <c r="DV73" s="175" t="e">
        <f t="shared" si="79"/>
        <v>#DIV/0!</v>
      </c>
      <c r="DW73" s="163">
        <f t="shared" si="80"/>
        <v>0</v>
      </c>
      <c r="DX73" s="164"/>
      <c r="DY73" s="176">
        <f t="shared" si="81"/>
        <v>0</v>
      </c>
      <c r="DZ73" s="177">
        <f t="shared" si="82"/>
        <v>0</v>
      </c>
      <c r="EA73" s="178">
        <f t="shared" si="83"/>
        <v>0</v>
      </c>
      <c r="EB73" s="179">
        <f t="shared" si="84"/>
        <v>0</v>
      </c>
      <c r="EC73" s="180"/>
      <c r="ED73" s="175" t="e">
        <f t="shared" si="85"/>
        <v>#DIV/0!</v>
      </c>
      <c r="EE73" s="163">
        <f t="shared" si="86"/>
        <v>0</v>
      </c>
      <c r="EF73" s="164"/>
      <c r="EG73" s="181">
        <f t="shared" si="87"/>
        <v>0</v>
      </c>
      <c r="EH73" s="182">
        <f t="shared" si="88"/>
        <v>0</v>
      </c>
      <c r="EI73" s="182">
        <f t="shared" si="89"/>
        <v>0</v>
      </c>
      <c r="EJ73" s="182">
        <f t="shared" si="90"/>
        <v>0</v>
      </c>
      <c r="EK73" s="183">
        <f t="shared" si="91"/>
        <v>0</v>
      </c>
      <c r="EL73" s="184" t="e">
        <f t="shared" si="92"/>
        <v>#DIV/0!</v>
      </c>
      <c r="EM73" s="185">
        <f t="shared" si="93"/>
        <v>0</v>
      </c>
      <c r="EN73" s="164"/>
      <c r="EO73" s="181">
        <f t="shared" si="94"/>
        <v>0</v>
      </c>
      <c r="EP73" s="183">
        <f t="shared" si="95"/>
        <v>0</v>
      </c>
      <c r="EQ73" s="184" t="e">
        <f t="shared" si="96"/>
        <v>#DIV/0!</v>
      </c>
      <c r="ER73" s="185">
        <f t="shared" si="97"/>
        <v>0</v>
      </c>
      <c r="ES73" s="164"/>
      <c r="ET73" s="164"/>
      <c r="EU73" s="186">
        <f t="shared" si="98"/>
        <v>0</v>
      </c>
      <c r="EV73" s="186">
        <f t="shared" si="99"/>
        <v>0</v>
      </c>
      <c r="EW73" s="186">
        <f t="shared" si="100"/>
        <v>0</v>
      </c>
      <c r="EX73" s="186">
        <f t="shared" si="101"/>
        <v>0</v>
      </c>
      <c r="EY73" s="131"/>
      <c r="EZ73" s="187">
        <f t="shared" si="102"/>
        <v>0</v>
      </c>
      <c r="FA73" s="188" t="e">
        <f t="shared" si="103"/>
        <v>#DIV/0!</v>
      </c>
      <c r="FB73" s="189"/>
      <c r="FC73" s="131"/>
      <c r="FD73" s="131"/>
      <c r="FE73" s="131"/>
      <c r="FF73" s="131"/>
      <c r="FG73" s="131"/>
    </row>
    <row r="74" spans="2:163" ht="16" outlineLevel="1" thickBot="1" x14ac:dyDescent="0.4">
      <c r="B74" s="356"/>
      <c r="C74" s="353"/>
      <c r="D74" s="133"/>
      <c r="E74" s="134"/>
      <c r="F74" s="135"/>
      <c r="G74" s="136"/>
      <c r="H74" s="137"/>
      <c r="I74" s="138">
        <f>IF(E74&gt;0.0001,11,0)</f>
        <v>0</v>
      </c>
      <c r="J74" s="139"/>
      <c r="K74" s="140">
        <f>E74*60</f>
        <v>0</v>
      </c>
      <c r="L74" s="141"/>
      <c r="M74" s="142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2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4"/>
      <c r="AN74" s="145">
        <f t="shared" si="58"/>
        <v>0</v>
      </c>
      <c r="AO74" s="146"/>
      <c r="AP74" s="147">
        <f t="shared" si="59"/>
        <v>0</v>
      </c>
      <c r="AQ74" s="148"/>
      <c r="AR74" s="149"/>
      <c r="AS74" s="149"/>
      <c r="AT74" s="135"/>
      <c r="AU74" s="150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0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4"/>
      <c r="CD74" s="150"/>
      <c r="CE74" s="142"/>
      <c r="CF74" s="143"/>
      <c r="CG74" s="143"/>
      <c r="CH74" s="143"/>
      <c r="CI74" s="143"/>
      <c r="CJ74" s="143"/>
      <c r="CK74" s="143"/>
      <c r="CL74" s="143"/>
      <c r="CM74" s="143"/>
      <c r="CN74" s="143"/>
      <c r="CO74" s="346"/>
      <c r="CP74" s="151"/>
      <c r="CQ74" s="152"/>
      <c r="CR74" s="154"/>
      <c r="CS74" s="155">
        <f t="shared" si="60"/>
        <v>0</v>
      </c>
      <c r="CT74" s="146"/>
      <c r="CU74" s="147">
        <f t="shared" si="61"/>
        <v>0</v>
      </c>
      <c r="CV74" s="156"/>
      <c r="CW74" s="157" t="e">
        <f t="shared" si="62"/>
        <v>#DIV/0!</v>
      </c>
      <c r="CX74" s="157" t="e">
        <f t="shared" si="63"/>
        <v>#DIV/0!</v>
      </c>
      <c r="CY74" s="157" t="e">
        <f t="shared" si="64"/>
        <v>#DIV/0!</v>
      </c>
      <c r="CZ74" s="157" t="e">
        <f t="shared" si="65"/>
        <v>#DIV/0!</v>
      </c>
      <c r="DA74" s="157" t="e">
        <f t="shared" si="66"/>
        <v>#DIV/0!</v>
      </c>
      <c r="DB74" s="158" t="e">
        <f t="shared" si="67"/>
        <v>#DIV/0!</v>
      </c>
      <c r="DC74" s="131"/>
      <c r="DD74" s="159">
        <f t="shared" si="68"/>
        <v>0</v>
      </c>
      <c r="DE74" s="160">
        <f t="shared" si="69"/>
        <v>0</v>
      </c>
      <c r="DF74" s="161">
        <f t="shared" si="70"/>
        <v>0</v>
      </c>
      <c r="DG74" s="162" t="e">
        <f t="shared" si="71"/>
        <v>#DIV/0!</v>
      </c>
      <c r="DH74" s="163">
        <f t="shared" si="72"/>
        <v>0</v>
      </c>
      <c r="DI74" s="164"/>
      <c r="DJ74" s="165">
        <f t="shared" si="55"/>
        <v>0</v>
      </c>
      <c r="DK74" s="166">
        <f t="shared" si="55"/>
        <v>0</v>
      </c>
      <c r="DL74" s="167" t="e">
        <f t="shared" si="73"/>
        <v>#DIV/0!</v>
      </c>
      <c r="DM74" s="168" t="e">
        <f t="shared" si="74"/>
        <v>#DIV/0!</v>
      </c>
      <c r="DN74" s="163" t="e">
        <f t="shared" si="75"/>
        <v>#DIV/0!</v>
      </c>
      <c r="DO74" s="169"/>
      <c r="DP74" s="170"/>
      <c r="DQ74" s="171"/>
      <c r="DR74" s="172">
        <f t="shared" si="76"/>
        <v>0</v>
      </c>
      <c r="DS74" s="173" t="e">
        <f t="shared" si="77"/>
        <v>#DIV/0!</v>
      </c>
      <c r="DT74" s="163" t="e">
        <f t="shared" si="78"/>
        <v>#DIV/0!</v>
      </c>
      <c r="DU74" s="174"/>
      <c r="DV74" s="175" t="e">
        <f t="shared" si="79"/>
        <v>#DIV/0!</v>
      </c>
      <c r="DW74" s="163">
        <f t="shared" si="80"/>
        <v>0</v>
      </c>
      <c r="DX74" s="164"/>
      <c r="DY74" s="176">
        <f t="shared" si="81"/>
        <v>0</v>
      </c>
      <c r="DZ74" s="177">
        <f t="shared" si="82"/>
        <v>0</v>
      </c>
      <c r="EA74" s="178">
        <f t="shared" si="83"/>
        <v>0</v>
      </c>
      <c r="EB74" s="179">
        <f t="shared" si="84"/>
        <v>0</v>
      </c>
      <c r="EC74" s="180"/>
      <c r="ED74" s="175" t="e">
        <f t="shared" si="85"/>
        <v>#DIV/0!</v>
      </c>
      <c r="EE74" s="163">
        <f t="shared" si="86"/>
        <v>0</v>
      </c>
      <c r="EF74" s="164"/>
      <c r="EG74" s="181">
        <f t="shared" si="87"/>
        <v>0</v>
      </c>
      <c r="EH74" s="182">
        <f t="shared" si="88"/>
        <v>0</v>
      </c>
      <c r="EI74" s="182">
        <f t="shared" si="89"/>
        <v>0</v>
      </c>
      <c r="EJ74" s="182">
        <f t="shared" si="90"/>
        <v>0</v>
      </c>
      <c r="EK74" s="183">
        <f t="shared" si="91"/>
        <v>0</v>
      </c>
      <c r="EL74" s="184" t="e">
        <f t="shared" si="92"/>
        <v>#DIV/0!</v>
      </c>
      <c r="EM74" s="185">
        <f t="shared" si="93"/>
        <v>0</v>
      </c>
      <c r="EN74" s="164"/>
      <c r="EO74" s="181">
        <f t="shared" si="94"/>
        <v>0</v>
      </c>
      <c r="EP74" s="183">
        <f t="shared" si="95"/>
        <v>0</v>
      </c>
      <c r="EQ74" s="184" t="e">
        <f t="shared" si="96"/>
        <v>#DIV/0!</v>
      </c>
      <c r="ER74" s="185">
        <f t="shared" si="97"/>
        <v>0</v>
      </c>
      <c r="ES74" s="164"/>
      <c r="ET74" s="164"/>
      <c r="EU74" s="186">
        <f t="shared" si="98"/>
        <v>0</v>
      </c>
      <c r="EV74" s="186">
        <f t="shared" si="99"/>
        <v>0</v>
      </c>
      <c r="EW74" s="186">
        <f t="shared" si="100"/>
        <v>0</v>
      </c>
      <c r="EX74" s="186">
        <f t="shared" si="101"/>
        <v>0</v>
      </c>
      <c r="EY74" s="131"/>
      <c r="EZ74" s="187">
        <f t="shared" si="102"/>
        <v>0</v>
      </c>
      <c r="FA74" s="188" t="e">
        <f t="shared" si="103"/>
        <v>#DIV/0!</v>
      </c>
      <c r="FB74" s="189"/>
      <c r="FC74" s="131"/>
      <c r="FD74" s="131"/>
      <c r="FE74" s="131"/>
      <c r="FF74" s="131"/>
      <c r="FG74" s="131"/>
    </row>
    <row r="75" spans="2:163" ht="16" outlineLevel="1" thickBot="1" x14ac:dyDescent="0.4">
      <c r="B75" s="357"/>
      <c r="C75" s="354"/>
      <c r="D75" s="240"/>
      <c r="E75" s="241"/>
      <c r="F75" s="135"/>
      <c r="G75" s="192"/>
      <c r="H75" s="242"/>
      <c r="I75" s="138">
        <f>IF(E75&gt;0.0001,11,0)</f>
        <v>0</v>
      </c>
      <c r="J75" s="139"/>
      <c r="K75" s="193">
        <f t="shared" ref="K75:K76" si="105">E75*60</f>
        <v>0</v>
      </c>
      <c r="L75" s="141"/>
      <c r="M75" s="194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4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6"/>
      <c r="AN75" s="197">
        <f t="shared" si="58"/>
        <v>0</v>
      </c>
      <c r="AO75" s="146"/>
      <c r="AP75" s="147">
        <f t="shared" si="59"/>
        <v>0</v>
      </c>
      <c r="AQ75" s="148"/>
      <c r="AR75" s="198"/>
      <c r="AS75" s="198"/>
      <c r="AT75" s="135"/>
      <c r="AU75" s="199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1"/>
      <c r="BG75" s="201"/>
      <c r="BH75" s="201"/>
      <c r="BI75" s="201"/>
      <c r="BJ75" s="201"/>
      <c r="BK75" s="201"/>
      <c r="BL75" s="201"/>
      <c r="BM75" s="201"/>
      <c r="BN75" s="201"/>
      <c r="BO75" s="201"/>
      <c r="BP75" s="201"/>
      <c r="BQ75" s="201"/>
      <c r="BR75" s="199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2"/>
      <c r="CD75" s="199"/>
      <c r="CE75" s="194"/>
      <c r="CF75" s="195"/>
      <c r="CG75" s="195"/>
      <c r="CH75" s="195"/>
      <c r="CI75" s="195"/>
      <c r="CJ75" s="195"/>
      <c r="CK75" s="195"/>
      <c r="CL75" s="195"/>
      <c r="CM75" s="195"/>
      <c r="CN75" s="195"/>
      <c r="CO75" s="347"/>
      <c r="CP75" s="200"/>
      <c r="CQ75" s="201"/>
      <c r="CR75" s="202"/>
      <c r="CS75" s="203">
        <f t="shared" si="60"/>
        <v>0</v>
      </c>
      <c r="CT75" s="146"/>
      <c r="CU75" s="147">
        <f t="shared" si="61"/>
        <v>0</v>
      </c>
      <c r="CV75" s="156"/>
      <c r="CW75" s="157" t="e">
        <f t="shared" si="62"/>
        <v>#DIV/0!</v>
      </c>
      <c r="CX75" s="157" t="e">
        <f t="shared" si="63"/>
        <v>#DIV/0!</v>
      </c>
      <c r="CY75" s="157" t="e">
        <f t="shared" si="64"/>
        <v>#DIV/0!</v>
      </c>
      <c r="CZ75" s="157" t="e">
        <f t="shared" si="65"/>
        <v>#DIV/0!</v>
      </c>
      <c r="DA75" s="157" t="e">
        <f t="shared" si="66"/>
        <v>#DIV/0!</v>
      </c>
      <c r="DB75" s="158" t="e">
        <f t="shared" si="67"/>
        <v>#DIV/0!</v>
      </c>
      <c r="DC75" s="131"/>
      <c r="DD75" s="159">
        <f t="shared" si="68"/>
        <v>0</v>
      </c>
      <c r="DE75" s="160">
        <f t="shared" si="69"/>
        <v>0</v>
      </c>
      <c r="DF75" s="161">
        <f t="shared" si="70"/>
        <v>0</v>
      </c>
      <c r="DG75" s="162" t="e">
        <f t="shared" si="71"/>
        <v>#DIV/0!</v>
      </c>
      <c r="DH75" s="163">
        <f t="shared" si="72"/>
        <v>0</v>
      </c>
      <c r="DI75" s="164"/>
      <c r="DJ75" s="165">
        <f t="shared" si="55"/>
        <v>0</v>
      </c>
      <c r="DK75" s="166">
        <f t="shared" si="55"/>
        <v>0</v>
      </c>
      <c r="DL75" s="167" t="e">
        <f t="shared" si="73"/>
        <v>#DIV/0!</v>
      </c>
      <c r="DM75" s="168" t="e">
        <f t="shared" si="74"/>
        <v>#DIV/0!</v>
      </c>
      <c r="DN75" s="163" t="e">
        <f t="shared" si="75"/>
        <v>#DIV/0!</v>
      </c>
      <c r="DO75" s="169"/>
      <c r="DP75" s="170"/>
      <c r="DQ75" s="171"/>
      <c r="DR75" s="172">
        <f t="shared" si="76"/>
        <v>0</v>
      </c>
      <c r="DS75" s="173" t="e">
        <f t="shared" si="77"/>
        <v>#DIV/0!</v>
      </c>
      <c r="DT75" s="163" t="e">
        <f t="shared" si="78"/>
        <v>#DIV/0!</v>
      </c>
      <c r="DU75" s="174"/>
      <c r="DV75" s="175" t="e">
        <f t="shared" si="79"/>
        <v>#DIV/0!</v>
      </c>
      <c r="DW75" s="163">
        <f t="shared" si="80"/>
        <v>0</v>
      </c>
      <c r="DX75" s="164"/>
      <c r="DY75" s="176">
        <f t="shared" si="81"/>
        <v>0</v>
      </c>
      <c r="DZ75" s="177">
        <f t="shared" si="82"/>
        <v>0</v>
      </c>
      <c r="EA75" s="178">
        <f t="shared" si="83"/>
        <v>0</v>
      </c>
      <c r="EB75" s="179">
        <f t="shared" si="84"/>
        <v>0</v>
      </c>
      <c r="EC75" s="180"/>
      <c r="ED75" s="175" t="e">
        <f t="shared" si="85"/>
        <v>#DIV/0!</v>
      </c>
      <c r="EE75" s="163">
        <f t="shared" si="86"/>
        <v>0</v>
      </c>
      <c r="EF75" s="164"/>
      <c r="EG75" s="181">
        <f t="shared" si="87"/>
        <v>0</v>
      </c>
      <c r="EH75" s="182">
        <f t="shared" si="88"/>
        <v>0</v>
      </c>
      <c r="EI75" s="182">
        <f t="shared" si="89"/>
        <v>0</v>
      </c>
      <c r="EJ75" s="182">
        <f t="shared" si="90"/>
        <v>0</v>
      </c>
      <c r="EK75" s="183">
        <f t="shared" si="91"/>
        <v>0</v>
      </c>
      <c r="EL75" s="184" t="e">
        <f t="shared" si="92"/>
        <v>#DIV/0!</v>
      </c>
      <c r="EM75" s="185">
        <f t="shared" si="93"/>
        <v>0</v>
      </c>
      <c r="EN75" s="164"/>
      <c r="EO75" s="181">
        <f t="shared" si="94"/>
        <v>0</v>
      </c>
      <c r="EP75" s="183">
        <f t="shared" si="95"/>
        <v>0</v>
      </c>
      <c r="EQ75" s="184" t="e">
        <f t="shared" si="96"/>
        <v>#DIV/0!</v>
      </c>
      <c r="ER75" s="185">
        <f t="shared" si="97"/>
        <v>0</v>
      </c>
      <c r="ES75" s="164"/>
      <c r="ET75" s="164"/>
      <c r="EU75" s="186">
        <f t="shared" si="98"/>
        <v>0</v>
      </c>
      <c r="EV75" s="186">
        <f t="shared" si="99"/>
        <v>0</v>
      </c>
      <c r="EW75" s="186">
        <f t="shared" si="100"/>
        <v>0</v>
      </c>
      <c r="EX75" s="186">
        <f t="shared" si="101"/>
        <v>0</v>
      </c>
      <c r="EY75" s="131"/>
      <c r="EZ75" s="187">
        <f t="shared" si="102"/>
        <v>0</v>
      </c>
      <c r="FA75" s="188" t="e">
        <f t="shared" si="103"/>
        <v>#DIV/0!</v>
      </c>
      <c r="FB75" s="189"/>
      <c r="FC75" s="131"/>
      <c r="FD75" s="131"/>
      <c r="FE75" s="131"/>
      <c r="FF75" s="131"/>
      <c r="FG75" s="131"/>
    </row>
    <row r="76" spans="2:163" ht="16" outlineLevel="1" thickBot="1" x14ac:dyDescent="0.4">
      <c r="B76" s="358"/>
      <c r="C76" s="355"/>
      <c r="D76" s="243"/>
      <c r="E76" s="244"/>
      <c r="F76" s="135"/>
      <c r="G76" s="192"/>
      <c r="H76" s="245"/>
      <c r="I76" s="138">
        <f t="shared" si="56"/>
        <v>0</v>
      </c>
      <c r="J76" s="139"/>
      <c r="K76" s="208">
        <f t="shared" si="105"/>
        <v>0</v>
      </c>
      <c r="L76" s="141"/>
      <c r="M76" s="209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09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1"/>
      <c r="AN76" s="212">
        <f t="shared" si="58"/>
        <v>0</v>
      </c>
      <c r="AO76" s="146"/>
      <c r="AP76" s="147">
        <f t="shared" si="59"/>
        <v>0</v>
      </c>
      <c r="AQ76" s="148"/>
      <c r="AR76" s="213"/>
      <c r="AS76" s="213"/>
      <c r="AT76" s="135"/>
      <c r="AU76" s="214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6"/>
      <c r="BG76" s="216"/>
      <c r="BH76" s="216"/>
      <c r="BI76" s="216"/>
      <c r="BJ76" s="216"/>
      <c r="BK76" s="216"/>
      <c r="BL76" s="216"/>
      <c r="BM76" s="216"/>
      <c r="BN76" s="216"/>
      <c r="BO76" s="216"/>
      <c r="BP76" s="216"/>
      <c r="BQ76" s="216"/>
      <c r="BR76" s="214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7"/>
      <c r="CD76" s="214"/>
      <c r="CE76" s="209"/>
      <c r="CF76" s="210"/>
      <c r="CG76" s="210"/>
      <c r="CH76" s="210"/>
      <c r="CI76" s="210"/>
      <c r="CJ76" s="210"/>
      <c r="CK76" s="210"/>
      <c r="CL76" s="210"/>
      <c r="CM76" s="210"/>
      <c r="CN76" s="210"/>
      <c r="CO76" s="348"/>
      <c r="CP76" s="215"/>
      <c r="CQ76" s="216"/>
      <c r="CR76" s="217"/>
      <c r="CS76" s="218">
        <f t="shared" si="60"/>
        <v>0</v>
      </c>
      <c r="CT76" s="146"/>
      <c r="CU76" s="147">
        <f t="shared" si="61"/>
        <v>0</v>
      </c>
      <c r="CV76" s="156"/>
      <c r="CW76" s="157" t="e">
        <f t="shared" si="62"/>
        <v>#DIV/0!</v>
      </c>
      <c r="CX76" s="157" t="e">
        <f t="shared" si="63"/>
        <v>#DIV/0!</v>
      </c>
      <c r="CY76" s="157" t="e">
        <f t="shared" si="64"/>
        <v>#DIV/0!</v>
      </c>
      <c r="CZ76" s="157" t="e">
        <f t="shared" si="65"/>
        <v>#DIV/0!</v>
      </c>
      <c r="DA76" s="157" t="e">
        <f t="shared" si="66"/>
        <v>#DIV/0!</v>
      </c>
      <c r="DB76" s="158" t="e">
        <f t="shared" si="67"/>
        <v>#DIV/0!</v>
      </c>
      <c r="DC76" s="131"/>
      <c r="DD76" s="159">
        <f t="shared" si="68"/>
        <v>0</v>
      </c>
      <c r="DE76" s="160">
        <f t="shared" si="69"/>
        <v>0</v>
      </c>
      <c r="DF76" s="161">
        <f t="shared" si="70"/>
        <v>0</v>
      </c>
      <c r="DG76" s="162" t="e">
        <f t="shared" si="71"/>
        <v>#DIV/0!</v>
      </c>
      <c r="DH76" s="163">
        <f t="shared" si="72"/>
        <v>0</v>
      </c>
      <c r="DI76" s="164"/>
      <c r="DJ76" s="165">
        <f t="shared" si="55"/>
        <v>0</v>
      </c>
      <c r="DK76" s="166">
        <f t="shared" si="55"/>
        <v>0</v>
      </c>
      <c r="DL76" s="167" t="e">
        <f t="shared" si="73"/>
        <v>#DIV/0!</v>
      </c>
      <c r="DM76" s="168" t="e">
        <f t="shared" si="74"/>
        <v>#DIV/0!</v>
      </c>
      <c r="DN76" s="163" t="e">
        <f t="shared" si="75"/>
        <v>#DIV/0!</v>
      </c>
      <c r="DO76" s="169"/>
      <c r="DP76" s="170"/>
      <c r="DQ76" s="171"/>
      <c r="DR76" s="172">
        <f t="shared" si="76"/>
        <v>0</v>
      </c>
      <c r="DS76" s="173" t="e">
        <f t="shared" si="77"/>
        <v>#DIV/0!</v>
      </c>
      <c r="DT76" s="163" t="e">
        <f t="shared" si="78"/>
        <v>#DIV/0!</v>
      </c>
      <c r="DU76" s="174"/>
      <c r="DV76" s="175" t="e">
        <f t="shared" si="79"/>
        <v>#DIV/0!</v>
      </c>
      <c r="DW76" s="163">
        <f t="shared" si="80"/>
        <v>0</v>
      </c>
      <c r="DX76" s="164"/>
      <c r="DY76" s="176">
        <f t="shared" si="81"/>
        <v>0</v>
      </c>
      <c r="DZ76" s="177">
        <f t="shared" si="82"/>
        <v>0</v>
      </c>
      <c r="EA76" s="178">
        <f t="shared" si="83"/>
        <v>0</v>
      </c>
      <c r="EB76" s="179">
        <f t="shared" si="84"/>
        <v>0</v>
      </c>
      <c r="EC76" s="180"/>
      <c r="ED76" s="175" t="e">
        <f t="shared" si="85"/>
        <v>#DIV/0!</v>
      </c>
      <c r="EE76" s="163">
        <f t="shared" si="86"/>
        <v>0</v>
      </c>
      <c r="EF76" s="164"/>
      <c r="EG76" s="181">
        <f t="shared" si="87"/>
        <v>0</v>
      </c>
      <c r="EH76" s="182">
        <f t="shared" si="88"/>
        <v>0</v>
      </c>
      <c r="EI76" s="182">
        <f t="shared" si="89"/>
        <v>0</v>
      </c>
      <c r="EJ76" s="182">
        <f t="shared" si="90"/>
        <v>0</v>
      </c>
      <c r="EK76" s="183">
        <f t="shared" si="91"/>
        <v>0</v>
      </c>
      <c r="EL76" s="184" t="e">
        <f t="shared" si="92"/>
        <v>#DIV/0!</v>
      </c>
      <c r="EM76" s="185">
        <f t="shared" si="93"/>
        <v>0</v>
      </c>
      <c r="EN76" s="164"/>
      <c r="EO76" s="181">
        <f t="shared" si="94"/>
        <v>0</v>
      </c>
      <c r="EP76" s="183">
        <f t="shared" si="95"/>
        <v>0</v>
      </c>
      <c r="EQ76" s="184" t="e">
        <f t="shared" si="96"/>
        <v>#DIV/0!</v>
      </c>
      <c r="ER76" s="185">
        <f t="shared" si="97"/>
        <v>0</v>
      </c>
      <c r="ES76" s="164"/>
      <c r="ET76" s="164"/>
      <c r="EU76" s="186">
        <f t="shared" si="98"/>
        <v>0</v>
      </c>
      <c r="EV76" s="186">
        <f t="shared" si="99"/>
        <v>0</v>
      </c>
      <c r="EW76" s="186">
        <f t="shared" si="100"/>
        <v>0</v>
      </c>
      <c r="EX76" s="186">
        <f t="shared" si="101"/>
        <v>0</v>
      </c>
      <c r="EY76" s="131"/>
      <c r="EZ76" s="187">
        <f t="shared" si="102"/>
        <v>0</v>
      </c>
      <c r="FA76" s="188" t="e">
        <f t="shared" si="103"/>
        <v>#DIV/0!</v>
      </c>
      <c r="FB76" s="189"/>
      <c r="FC76" s="131"/>
      <c r="FD76" s="131"/>
      <c r="FE76" s="131"/>
      <c r="FF76" s="131"/>
      <c r="FG76" s="131"/>
    </row>
    <row r="77" spans="2:163" ht="16" outlineLevel="1" thickBot="1" x14ac:dyDescent="0.4">
      <c r="B77" s="356"/>
      <c r="C77" s="353"/>
      <c r="D77" s="133"/>
      <c r="E77" s="134"/>
      <c r="F77" s="135"/>
      <c r="G77" s="136"/>
      <c r="H77" s="137"/>
      <c r="I77" s="138">
        <f t="shared" si="56"/>
        <v>0</v>
      </c>
      <c r="J77" s="139"/>
      <c r="K77" s="140">
        <f>E77*60</f>
        <v>0</v>
      </c>
      <c r="L77" s="141"/>
      <c r="M77" s="142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2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4"/>
      <c r="AN77" s="145">
        <f t="shared" si="58"/>
        <v>0</v>
      </c>
      <c r="AO77" s="146"/>
      <c r="AP77" s="147">
        <f t="shared" si="59"/>
        <v>0</v>
      </c>
      <c r="AQ77" s="148"/>
      <c r="AR77" s="149"/>
      <c r="AS77" s="149"/>
      <c r="AT77" s="135"/>
      <c r="AU77" s="150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0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4"/>
      <c r="CD77" s="150"/>
      <c r="CE77" s="142"/>
      <c r="CF77" s="143"/>
      <c r="CG77" s="143"/>
      <c r="CH77" s="143"/>
      <c r="CI77" s="143"/>
      <c r="CJ77" s="143"/>
      <c r="CK77" s="143"/>
      <c r="CL77" s="143"/>
      <c r="CM77" s="143"/>
      <c r="CN77" s="143"/>
      <c r="CO77" s="346"/>
      <c r="CP77" s="151"/>
      <c r="CQ77" s="152"/>
      <c r="CR77" s="154"/>
      <c r="CS77" s="155">
        <f t="shared" si="60"/>
        <v>0</v>
      </c>
      <c r="CT77" s="146"/>
      <c r="CU77" s="147">
        <f t="shared" si="61"/>
        <v>0</v>
      </c>
      <c r="CV77" s="156"/>
      <c r="CW77" s="157" t="e">
        <f t="shared" si="62"/>
        <v>#DIV/0!</v>
      </c>
      <c r="CX77" s="157" t="e">
        <f t="shared" si="63"/>
        <v>#DIV/0!</v>
      </c>
      <c r="CY77" s="157" t="e">
        <f t="shared" si="64"/>
        <v>#DIV/0!</v>
      </c>
      <c r="CZ77" s="157" t="e">
        <f t="shared" si="65"/>
        <v>#DIV/0!</v>
      </c>
      <c r="DA77" s="157" t="e">
        <f t="shared" si="66"/>
        <v>#DIV/0!</v>
      </c>
      <c r="DB77" s="158" t="e">
        <f t="shared" si="67"/>
        <v>#DIV/0!</v>
      </c>
      <c r="DC77" s="131"/>
      <c r="DD77" s="159">
        <f t="shared" si="68"/>
        <v>0</v>
      </c>
      <c r="DE77" s="160">
        <f t="shared" si="69"/>
        <v>0</v>
      </c>
      <c r="DF77" s="161">
        <f t="shared" si="70"/>
        <v>0</v>
      </c>
      <c r="DG77" s="162" t="e">
        <f t="shared" si="71"/>
        <v>#DIV/0!</v>
      </c>
      <c r="DH77" s="163">
        <f t="shared" si="72"/>
        <v>0</v>
      </c>
      <c r="DI77" s="164"/>
      <c r="DJ77" s="165">
        <f t="shared" si="55"/>
        <v>0</v>
      </c>
      <c r="DK77" s="166">
        <f t="shared" si="55"/>
        <v>0</v>
      </c>
      <c r="DL77" s="167" t="e">
        <f t="shared" si="73"/>
        <v>#DIV/0!</v>
      </c>
      <c r="DM77" s="168" t="e">
        <f t="shared" si="74"/>
        <v>#DIV/0!</v>
      </c>
      <c r="DN77" s="163" t="e">
        <f t="shared" si="75"/>
        <v>#DIV/0!</v>
      </c>
      <c r="DO77" s="169"/>
      <c r="DP77" s="170"/>
      <c r="DQ77" s="171"/>
      <c r="DR77" s="172">
        <f t="shared" si="76"/>
        <v>0</v>
      </c>
      <c r="DS77" s="173" t="e">
        <f t="shared" si="77"/>
        <v>#DIV/0!</v>
      </c>
      <c r="DT77" s="163" t="e">
        <f t="shared" si="78"/>
        <v>#DIV/0!</v>
      </c>
      <c r="DU77" s="174"/>
      <c r="DV77" s="175" t="e">
        <f t="shared" si="79"/>
        <v>#DIV/0!</v>
      </c>
      <c r="DW77" s="163">
        <f t="shared" si="80"/>
        <v>0</v>
      </c>
      <c r="DX77" s="164"/>
      <c r="DY77" s="176">
        <f t="shared" si="81"/>
        <v>0</v>
      </c>
      <c r="DZ77" s="177">
        <f t="shared" si="82"/>
        <v>0</v>
      </c>
      <c r="EA77" s="178">
        <f t="shared" si="83"/>
        <v>0</v>
      </c>
      <c r="EB77" s="179">
        <f t="shared" si="84"/>
        <v>0</v>
      </c>
      <c r="EC77" s="180"/>
      <c r="ED77" s="175" t="e">
        <f t="shared" si="85"/>
        <v>#DIV/0!</v>
      </c>
      <c r="EE77" s="163">
        <f t="shared" si="86"/>
        <v>0</v>
      </c>
      <c r="EF77" s="164"/>
      <c r="EG77" s="181">
        <f t="shared" si="87"/>
        <v>0</v>
      </c>
      <c r="EH77" s="182">
        <f t="shared" si="88"/>
        <v>0</v>
      </c>
      <c r="EI77" s="182">
        <f t="shared" si="89"/>
        <v>0</v>
      </c>
      <c r="EJ77" s="182">
        <f t="shared" si="90"/>
        <v>0</v>
      </c>
      <c r="EK77" s="183">
        <f t="shared" si="91"/>
        <v>0</v>
      </c>
      <c r="EL77" s="184" t="e">
        <f t="shared" si="92"/>
        <v>#DIV/0!</v>
      </c>
      <c r="EM77" s="185">
        <f t="shared" si="93"/>
        <v>0</v>
      </c>
      <c r="EN77" s="164"/>
      <c r="EO77" s="181">
        <f t="shared" si="94"/>
        <v>0</v>
      </c>
      <c r="EP77" s="183">
        <f t="shared" si="95"/>
        <v>0</v>
      </c>
      <c r="EQ77" s="184" t="e">
        <f t="shared" si="96"/>
        <v>#DIV/0!</v>
      </c>
      <c r="ER77" s="185">
        <f t="shared" si="97"/>
        <v>0</v>
      </c>
      <c r="ES77" s="164"/>
      <c r="ET77" s="164"/>
      <c r="EU77" s="186">
        <f t="shared" si="98"/>
        <v>0</v>
      </c>
      <c r="EV77" s="186">
        <f t="shared" si="99"/>
        <v>0</v>
      </c>
      <c r="EW77" s="186">
        <f t="shared" si="100"/>
        <v>0</v>
      </c>
      <c r="EX77" s="186">
        <f t="shared" si="101"/>
        <v>0</v>
      </c>
      <c r="EY77" s="131"/>
      <c r="EZ77" s="187">
        <f t="shared" si="102"/>
        <v>0</v>
      </c>
      <c r="FA77" s="188" t="e">
        <f t="shared" si="103"/>
        <v>#DIV/0!</v>
      </c>
      <c r="FB77" s="189"/>
      <c r="FC77" s="131"/>
      <c r="FD77" s="131"/>
      <c r="FE77" s="131"/>
      <c r="FF77" s="131"/>
      <c r="FG77" s="131"/>
    </row>
    <row r="78" spans="2:163" ht="16" outlineLevel="1" thickBot="1" x14ac:dyDescent="0.4">
      <c r="B78" s="357"/>
      <c r="C78" s="354"/>
      <c r="D78" s="240"/>
      <c r="E78" s="241"/>
      <c r="F78" s="135"/>
      <c r="G78" s="192"/>
      <c r="H78" s="242"/>
      <c r="I78" s="138">
        <f t="shared" si="56"/>
        <v>0</v>
      </c>
      <c r="J78" s="139"/>
      <c r="K78" s="193">
        <f t="shared" ref="K78:K79" si="106">E78*60</f>
        <v>0</v>
      </c>
      <c r="L78" s="141"/>
      <c r="M78" s="194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4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6"/>
      <c r="AN78" s="197">
        <f t="shared" si="58"/>
        <v>0</v>
      </c>
      <c r="AO78" s="146"/>
      <c r="AP78" s="147">
        <f t="shared" si="59"/>
        <v>0</v>
      </c>
      <c r="AQ78" s="148"/>
      <c r="AR78" s="198"/>
      <c r="AS78" s="198"/>
      <c r="AT78" s="135"/>
      <c r="AU78" s="199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1"/>
      <c r="BG78" s="201"/>
      <c r="BH78" s="201"/>
      <c r="BI78" s="201"/>
      <c r="BJ78" s="201"/>
      <c r="BK78" s="201"/>
      <c r="BL78" s="201"/>
      <c r="BM78" s="201"/>
      <c r="BN78" s="201"/>
      <c r="BO78" s="201"/>
      <c r="BP78" s="201"/>
      <c r="BQ78" s="201"/>
      <c r="BR78" s="199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2"/>
      <c r="CD78" s="199"/>
      <c r="CE78" s="194"/>
      <c r="CF78" s="195"/>
      <c r="CG78" s="195"/>
      <c r="CH78" s="195"/>
      <c r="CI78" s="195"/>
      <c r="CJ78" s="195"/>
      <c r="CK78" s="195"/>
      <c r="CL78" s="195"/>
      <c r="CM78" s="195"/>
      <c r="CN78" s="195"/>
      <c r="CO78" s="347"/>
      <c r="CP78" s="200"/>
      <c r="CQ78" s="201"/>
      <c r="CR78" s="202"/>
      <c r="CS78" s="203">
        <f t="shared" si="60"/>
        <v>0</v>
      </c>
      <c r="CT78" s="146"/>
      <c r="CU78" s="147">
        <f t="shared" si="61"/>
        <v>0</v>
      </c>
      <c r="CV78" s="156"/>
      <c r="CW78" s="157" t="e">
        <f t="shared" si="62"/>
        <v>#DIV/0!</v>
      </c>
      <c r="CX78" s="157" t="e">
        <f t="shared" si="63"/>
        <v>#DIV/0!</v>
      </c>
      <c r="CY78" s="157" t="e">
        <f t="shared" si="64"/>
        <v>#DIV/0!</v>
      </c>
      <c r="CZ78" s="157" t="e">
        <f t="shared" si="65"/>
        <v>#DIV/0!</v>
      </c>
      <c r="DA78" s="157" t="e">
        <f t="shared" si="66"/>
        <v>#DIV/0!</v>
      </c>
      <c r="DB78" s="158" t="e">
        <f t="shared" si="67"/>
        <v>#DIV/0!</v>
      </c>
      <c r="DC78" s="131"/>
      <c r="DD78" s="159">
        <f t="shared" si="68"/>
        <v>0</v>
      </c>
      <c r="DE78" s="160">
        <f t="shared" si="69"/>
        <v>0</v>
      </c>
      <c r="DF78" s="161">
        <f t="shared" si="70"/>
        <v>0</v>
      </c>
      <c r="DG78" s="162" t="e">
        <f t="shared" si="71"/>
        <v>#DIV/0!</v>
      </c>
      <c r="DH78" s="163">
        <f t="shared" si="72"/>
        <v>0</v>
      </c>
      <c r="DI78" s="164"/>
      <c r="DJ78" s="165">
        <f t="shared" si="55"/>
        <v>0</v>
      </c>
      <c r="DK78" s="166">
        <f t="shared" si="55"/>
        <v>0</v>
      </c>
      <c r="DL78" s="167" t="e">
        <f t="shared" si="73"/>
        <v>#DIV/0!</v>
      </c>
      <c r="DM78" s="168" t="e">
        <f t="shared" si="74"/>
        <v>#DIV/0!</v>
      </c>
      <c r="DN78" s="163" t="e">
        <f t="shared" si="75"/>
        <v>#DIV/0!</v>
      </c>
      <c r="DO78" s="169"/>
      <c r="DP78" s="170"/>
      <c r="DQ78" s="171"/>
      <c r="DR78" s="172">
        <f t="shared" si="76"/>
        <v>0</v>
      </c>
      <c r="DS78" s="173" t="e">
        <f t="shared" si="77"/>
        <v>#DIV/0!</v>
      </c>
      <c r="DT78" s="163" t="e">
        <f t="shared" si="78"/>
        <v>#DIV/0!</v>
      </c>
      <c r="DU78" s="174"/>
      <c r="DV78" s="175" t="e">
        <f t="shared" si="79"/>
        <v>#DIV/0!</v>
      </c>
      <c r="DW78" s="163">
        <f t="shared" si="80"/>
        <v>0</v>
      </c>
      <c r="DX78" s="164"/>
      <c r="DY78" s="176">
        <f t="shared" si="81"/>
        <v>0</v>
      </c>
      <c r="DZ78" s="177">
        <f t="shared" si="82"/>
        <v>0</v>
      </c>
      <c r="EA78" s="178">
        <f t="shared" si="83"/>
        <v>0</v>
      </c>
      <c r="EB78" s="179">
        <f t="shared" si="84"/>
        <v>0</v>
      </c>
      <c r="EC78" s="180"/>
      <c r="ED78" s="175" t="e">
        <f t="shared" si="85"/>
        <v>#DIV/0!</v>
      </c>
      <c r="EE78" s="163">
        <f t="shared" si="86"/>
        <v>0</v>
      </c>
      <c r="EF78" s="164"/>
      <c r="EG78" s="181">
        <f t="shared" si="87"/>
        <v>0</v>
      </c>
      <c r="EH78" s="182">
        <f t="shared" si="88"/>
        <v>0</v>
      </c>
      <c r="EI78" s="182">
        <f t="shared" si="89"/>
        <v>0</v>
      </c>
      <c r="EJ78" s="182">
        <f t="shared" si="90"/>
        <v>0</v>
      </c>
      <c r="EK78" s="183">
        <f t="shared" si="91"/>
        <v>0</v>
      </c>
      <c r="EL78" s="184" t="e">
        <f t="shared" si="92"/>
        <v>#DIV/0!</v>
      </c>
      <c r="EM78" s="185">
        <f t="shared" si="93"/>
        <v>0</v>
      </c>
      <c r="EN78" s="164"/>
      <c r="EO78" s="181">
        <f t="shared" si="94"/>
        <v>0</v>
      </c>
      <c r="EP78" s="183">
        <f t="shared" si="95"/>
        <v>0</v>
      </c>
      <c r="EQ78" s="184" t="e">
        <f t="shared" si="96"/>
        <v>#DIV/0!</v>
      </c>
      <c r="ER78" s="185">
        <f t="shared" si="97"/>
        <v>0</v>
      </c>
      <c r="ES78" s="164"/>
      <c r="ET78" s="164"/>
      <c r="EU78" s="186">
        <f t="shared" si="98"/>
        <v>0</v>
      </c>
      <c r="EV78" s="186">
        <f t="shared" si="99"/>
        <v>0</v>
      </c>
      <c r="EW78" s="186">
        <f t="shared" si="100"/>
        <v>0</v>
      </c>
      <c r="EX78" s="186">
        <f t="shared" si="101"/>
        <v>0</v>
      </c>
      <c r="EY78" s="131"/>
      <c r="EZ78" s="187">
        <f t="shared" si="102"/>
        <v>0</v>
      </c>
      <c r="FA78" s="188" t="e">
        <f t="shared" si="103"/>
        <v>#DIV/0!</v>
      </c>
      <c r="FB78" s="189"/>
      <c r="FC78" s="131"/>
      <c r="FD78" s="131"/>
      <c r="FE78" s="131"/>
      <c r="FF78" s="131"/>
      <c r="FG78" s="131"/>
    </row>
    <row r="79" spans="2:163" ht="16" outlineLevel="1" thickBot="1" x14ac:dyDescent="0.4">
      <c r="B79" s="358"/>
      <c r="C79" s="355"/>
      <c r="D79" s="243"/>
      <c r="E79" s="244"/>
      <c r="F79" s="135"/>
      <c r="G79" s="192"/>
      <c r="H79" s="245"/>
      <c r="I79" s="138">
        <f t="shared" si="56"/>
        <v>0</v>
      </c>
      <c r="J79" s="139"/>
      <c r="K79" s="208">
        <f t="shared" si="106"/>
        <v>0</v>
      </c>
      <c r="L79" s="141"/>
      <c r="M79" s="209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09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1"/>
      <c r="AN79" s="212">
        <f t="shared" si="58"/>
        <v>0</v>
      </c>
      <c r="AO79" s="146"/>
      <c r="AP79" s="147">
        <f t="shared" si="59"/>
        <v>0</v>
      </c>
      <c r="AQ79" s="148"/>
      <c r="AR79" s="213"/>
      <c r="AS79" s="213"/>
      <c r="AT79" s="135"/>
      <c r="AU79" s="214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4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7"/>
      <c r="CD79" s="214"/>
      <c r="CE79" s="209"/>
      <c r="CF79" s="210"/>
      <c r="CG79" s="210"/>
      <c r="CH79" s="210"/>
      <c r="CI79" s="210"/>
      <c r="CJ79" s="210"/>
      <c r="CK79" s="210"/>
      <c r="CL79" s="210"/>
      <c r="CM79" s="210"/>
      <c r="CN79" s="210"/>
      <c r="CO79" s="348"/>
      <c r="CP79" s="215"/>
      <c r="CQ79" s="216"/>
      <c r="CR79" s="217"/>
      <c r="CS79" s="218">
        <f t="shared" si="60"/>
        <v>0</v>
      </c>
      <c r="CT79" s="146"/>
      <c r="CU79" s="147">
        <f t="shared" si="61"/>
        <v>0</v>
      </c>
      <c r="CV79" s="156"/>
      <c r="CW79" s="157" t="e">
        <f t="shared" si="62"/>
        <v>#DIV/0!</v>
      </c>
      <c r="CX79" s="157" t="e">
        <f t="shared" si="63"/>
        <v>#DIV/0!</v>
      </c>
      <c r="CY79" s="157" t="e">
        <f t="shared" si="64"/>
        <v>#DIV/0!</v>
      </c>
      <c r="CZ79" s="157" t="e">
        <f t="shared" si="65"/>
        <v>#DIV/0!</v>
      </c>
      <c r="DA79" s="157" t="e">
        <f t="shared" si="66"/>
        <v>#DIV/0!</v>
      </c>
      <c r="DB79" s="158" t="e">
        <f t="shared" si="67"/>
        <v>#DIV/0!</v>
      </c>
      <c r="DC79" s="131"/>
      <c r="DD79" s="159">
        <f t="shared" si="68"/>
        <v>0</v>
      </c>
      <c r="DE79" s="160">
        <f t="shared" si="69"/>
        <v>0</v>
      </c>
      <c r="DF79" s="161">
        <f t="shared" si="70"/>
        <v>0</v>
      </c>
      <c r="DG79" s="162" t="e">
        <f t="shared" si="71"/>
        <v>#DIV/0!</v>
      </c>
      <c r="DH79" s="163">
        <f t="shared" si="72"/>
        <v>0</v>
      </c>
      <c r="DI79" s="164"/>
      <c r="DJ79" s="165">
        <f t="shared" si="55"/>
        <v>0</v>
      </c>
      <c r="DK79" s="166">
        <f t="shared" si="55"/>
        <v>0</v>
      </c>
      <c r="DL79" s="167" t="e">
        <f t="shared" si="73"/>
        <v>#DIV/0!</v>
      </c>
      <c r="DM79" s="168" t="e">
        <f t="shared" si="74"/>
        <v>#DIV/0!</v>
      </c>
      <c r="DN79" s="163" t="e">
        <f t="shared" si="75"/>
        <v>#DIV/0!</v>
      </c>
      <c r="DO79" s="169"/>
      <c r="DP79" s="170"/>
      <c r="DQ79" s="171"/>
      <c r="DR79" s="172">
        <f t="shared" si="76"/>
        <v>0</v>
      </c>
      <c r="DS79" s="173" t="e">
        <f t="shared" si="77"/>
        <v>#DIV/0!</v>
      </c>
      <c r="DT79" s="163" t="e">
        <f t="shared" si="78"/>
        <v>#DIV/0!</v>
      </c>
      <c r="DU79" s="174"/>
      <c r="DV79" s="175" t="e">
        <f t="shared" si="79"/>
        <v>#DIV/0!</v>
      </c>
      <c r="DW79" s="163">
        <f t="shared" si="80"/>
        <v>0</v>
      </c>
      <c r="DX79" s="164"/>
      <c r="DY79" s="176">
        <f t="shared" si="81"/>
        <v>0</v>
      </c>
      <c r="DZ79" s="177">
        <f t="shared" si="82"/>
        <v>0</v>
      </c>
      <c r="EA79" s="178">
        <f t="shared" si="83"/>
        <v>0</v>
      </c>
      <c r="EB79" s="179">
        <f t="shared" si="84"/>
        <v>0</v>
      </c>
      <c r="EC79" s="180"/>
      <c r="ED79" s="175" t="e">
        <f t="shared" si="85"/>
        <v>#DIV/0!</v>
      </c>
      <c r="EE79" s="163">
        <f t="shared" si="86"/>
        <v>0</v>
      </c>
      <c r="EF79" s="164"/>
      <c r="EG79" s="181">
        <f t="shared" si="87"/>
        <v>0</v>
      </c>
      <c r="EH79" s="182">
        <f t="shared" si="88"/>
        <v>0</v>
      </c>
      <c r="EI79" s="182">
        <f t="shared" si="89"/>
        <v>0</v>
      </c>
      <c r="EJ79" s="182">
        <f t="shared" si="90"/>
        <v>0</v>
      </c>
      <c r="EK79" s="183">
        <f t="shared" si="91"/>
        <v>0</v>
      </c>
      <c r="EL79" s="184" t="e">
        <f t="shared" si="92"/>
        <v>#DIV/0!</v>
      </c>
      <c r="EM79" s="185">
        <f t="shared" si="93"/>
        <v>0</v>
      </c>
      <c r="EN79" s="164"/>
      <c r="EO79" s="181">
        <f t="shared" si="94"/>
        <v>0</v>
      </c>
      <c r="EP79" s="183">
        <f t="shared" si="95"/>
        <v>0</v>
      </c>
      <c r="EQ79" s="184" t="e">
        <f t="shared" si="96"/>
        <v>#DIV/0!</v>
      </c>
      <c r="ER79" s="185">
        <f t="shared" si="97"/>
        <v>0</v>
      </c>
      <c r="ES79" s="164"/>
      <c r="ET79" s="164"/>
      <c r="EU79" s="186">
        <f t="shared" si="98"/>
        <v>0</v>
      </c>
      <c r="EV79" s="186">
        <f t="shared" si="99"/>
        <v>0</v>
      </c>
      <c r="EW79" s="186">
        <f t="shared" si="100"/>
        <v>0</v>
      </c>
      <c r="EX79" s="186">
        <f t="shared" si="101"/>
        <v>0</v>
      </c>
      <c r="EY79" s="131"/>
      <c r="EZ79" s="187">
        <f t="shared" si="102"/>
        <v>0</v>
      </c>
      <c r="FA79" s="188" t="e">
        <f t="shared" si="103"/>
        <v>#DIV/0!</v>
      </c>
      <c r="FB79" s="189"/>
      <c r="FC79" s="219"/>
      <c r="FD79" s="219"/>
      <c r="FE79" s="131"/>
      <c r="FF79" s="131"/>
      <c r="FG79" s="131"/>
    </row>
    <row r="80" spans="2:163" s="220" customFormat="1" ht="16" outlineLevel="1" thickBot="1" x14ac:dyDescent="0.4">
      <c r="B80" s="356"/>
      <c r="C80" s="353"/>
      <c r="D80" s="133"/>
      <c r="E80" s="134"/>
      <c r="F80" s="135"/>
      <c r="G80" s="136"/>
      <c r="H80" s="137"/>
      <c r="I80" s="138">
        <f t="shared" si="56"/>
        <v>0</v>
      </c>
      <c r="J80" s="139"/>
      <c r="K80" s="140">
        <f>E80*60</f>
        <v>0</v>
      </c>
      <c r="L80" s="141"/>
      <c r="M80" s="142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2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4"/>
      <c r="AN80" s="145">
        <f t="shared" si="58"/>
        <v>0</v>
      </c>
      <c r="AO80" s="146"/>
      <c r="AP80" s="147">
        <f t="shared" si="59"/>
        <v>0</v>
      </c>
      <c r="AQ80" s="221"/>
      <c r="AR80" s="149"/>
      <c r="AS80" s="149"/>
      <c r="AT80" s="222"/>
      <c r="AU80" s="223"/>
      <c r="AV80" s="224"/>
      <c r="AW80" s="224"/>
      <c r="AX80" s="224"/>
      <c r="AY80" s="224"/>
      <c r="AZ80" s="224"/>
      <c r="BA80" s="224"/>
      <c r="BB80" s="224"/>
      <c r="BC80" s="224"/>
      <c r="BD80" s="224"/>
      <c r="BE80" s="224"/>
      <c r="BF80" s="225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3"/>
      <c r="BS80" s="224"/>
      <c r="BT80" s="224"/>
      <c r="BU80" s="224"/>
      <c r="BV80" s="224"/>
      <c r="BW80" s="224"/>
      <c r="BX80" s="224"/>
      <c r="BY80" s="224"/>
      <c r="BZ80" s="224"/>
      <c r="CA80" s="224"/>
      <c r="CB80" s="224"/>
      <c r="CC80" s="226"/>
      <c r="CD80" s="223"/>
      <c r="CE80" s="142"/>
      <c r="CF80" s="143"/>
      <c r="CG80" s="143"/>
      <c r="CH80" s="143"/>
      <c r="CI80" s="143"/>
      <c r="CJ80" s="143"/>
      <c r="CK80" s="143"/>
      <c r="CL80" s="143"/>
      <c r="CM80" s="143"/>
      <c r="CN80" s="143"/>
      <c r="CO80" s="349"/>
      <c r="CP80" s="224"/>
      <c r="CQ80" s="225"/>
      <c r="CR80" s="226"/>
      <c r="CS80" s="227">
        <f t="shared" si="60"/>
        <v>0</v>
      </c>
      <c r="CT80" s="146"/>
      <c r="CU80" s="147">
        <f t="shared" si="61"/>
        <v>0</v>
      </c>
      <c r="CV80" s="156"/>
      <c r="CW80" s="157" t="e">
        <f t="shared" si="62"/>
        <v>#DIV/0!</v>
      </c>
      <c r="CX80" s="157" t="e">
        <f t="shared" si="63"/>
        <v>#DIV/0!</v>
      </c>
      <c r="CY80" s="157" t="e">
        <f t="shared" si="64"/>
        <v>#DIV/0!</v>
      </c>
      <c r="CZ80" s="157" t="e">
        <f t="shared" si="65"/>
        <v>#DIV/0!</v>
      </c>
      <c r="DA80" s="157" t="e">
        <f t="shared" si="66"/>
        <v>#DIV/0!</v>
      </c>
      <c r="DB80" s="158" t="e">
        <f t="shared" si="67"/>
        <v>#DIV/0!</v>
      </c>
      <c r="DC80" s="131"/>
      <c r="DD80" s="159">
        <f t="shared" si="68"/>
        <v>0</v>
      </c>
      <c r="DE80" s="160">
        <f t="shared" si="69"/>
        <v>0</v>
      </c>
      <c r="DF80" s="161">
        <f t="shared" si="70"/>
        <v>0</v>
      </c>
      <c r="DG80" s="162" t="e">
        <f t="shared" si="71"/>
        <v>#DIV/0!</v>
      </c>
      <c r="DH80" s="163">
        <f t="shared" si="72"/>
        <v>0</v>
      </c>
      <c r="DI80" s="164"/>
      <c r="DJ80" s="165">
        <f t="shared" si="55"/>
        <v>0</v>
      </c>
      <c r="DK80" s="166">
        <f t="shared" si="55"/>
        <v>0</v>
      </c>
      <c r="DL80" s="167" t="e">
        <f t="shared" si="73"/>
        <v>#DIV/0!</v>
      </c>
      <c r="DM80" s="168" t="e">
        <f t="shared" si="74"/>
        <v>#DIV/0!</v>
      </c>
      <c r="DN80" s="163" t="e">
        <f t="shared" si="75"/>
        <v>#DIV/0!</v>
      </c>
      <c r="DO80" s="169"/>
      <c r="DP80" s="170"/>
      <c r="DQ80" s="171"/>
      <c r="DR80" s="172">
        <f t="shared" si="76"/>
        <v>0</v>
      </c>
      <c r="DS80" s="173" t="e">
        <f t="shared" si="77"/>
        <v>#DIV/0!</v>
      </c>
      <c r="DT80" s="163" t="e">
        <f t="shared" si="78"/>
        <v>#DIV/0!</v>
      </c>
      <c r="DU80" s="174"/>
      <c r="DV80" s="175" t="e">
        <f t="shared" si="79"/>
        <v>#DIV/0!</v>
      </c>
      <c r="DW80" s="163">
        <f t="shared" si="80"/>
        <v>0</v>
      </c>
      <c r="DX80" s="164"/>
      <c r="DY80" s="176">
        <f t="shared" si="81"/>
        <v>0</v>
      </c>
      <c r="DZ80" s="177">
        <f t="shared" si="82"/>
        <v>0</v>
      </c>
      <c r="EA80" s="178">
        <f t="shared" si="83"/>
        <v>0</v>
      </c>
      <c r="EB80" s="179">
        <f t="shared" si="84"/>
        <v>0</v>
      </c>
      <c r="EC80" s="180"/>
      <c r="ED80" s="175" t="e">
        <f t="shared" si="85"/>
        <v>#DIV/0!</v>
      </c>
      <c r="EE80" s="163">
        <f t="shared" si="86"/>
        <v>0</v>
      </c>
      <c r="EF80" s="164"/>
      <c r="EG80" s="181">
        <f t="shared" si="87"/>
        <v>0</v>
      </c>
      <c r="EH80" s="182">
        <f t="shared" si="88"/>
        <v>0</v>
      </c>
      <c r="EI80" s="182">
        <f t="shared" si="89"/>
        <v>0</v>
      </c>
      <c r="EJ80" s="182">
        <f t="shared" si="90"/>
        <v>0</v>
      </c>
      <c r="EK80" s="183">
        <f t="shared" si="91"/>
        <v>0</v>
      </c>
      <c r="EL80" s="184" t="e">
        <f t="shared" si="92"/>
        <v>#DIV/0!</v>
      </c>
      <c r="EM80" s="185">
        <f t="shared" si="93"/>
        <v>0</v>
      </c>
      <c r="EN80" s="164"/>
      <c r="EO80" s="181">
        <f t="shared" si="94"/>
        <v>0</v>
      </c>
      <c r="EP80" s="183">
        <f t="shared" si="95"/>
        <v>0</v>
      </c>
      <c r="EQ80" s="184" t="e">
        <f t="shared" si="96"/>
        <v>#DIV/0!</v>
      </c>
      <c r="ER80" s="185">
        <f t="shared" si="97"/>
        <v>0</v>
      </c>
      <c r="ES80" s="164"/>
      <c r="ET80" s="164"/>
      <c r="EU80" s="186">
        <f t="shared" si="98"/>
        <v>0</v>
      </c>
      <c r="EV80" s="186">
        <f t="shared" si="99"/>
        <v>0</v>
      </c>
      <c r="EW80" s="186">
        <f t="shared" si="100"/>
        <v>0</v>
      </c>
      <c r="EX80" s="186">
        <f t="shared" si="101"/>
        <v>0</v>
      </c>
      <c r="EY80" s="131"/>
      <c r="EZ80" s="187">
        <f t="shared" si="102"/>
        <v>0</v>
      </c>
      <c r="FA80" s="188" t="e">
        <f t="shared" si="103"/>
        <v>#DIV/0!</v>
      </c>
      <c r="FB80" s="189"/>
      <c r="FC80" s="219"/>
      <c r="FD80" s="219"/>
      <c r="FE80" s="219"/>
      <c r="FF80" s="219"/>
      <c r="FG80" s="219"/>
    </row>
    <row r="81" spans="2:163" s="220" customFormat="1" ht="16" outlineLevel="1" thickBot="1" x14ac:dyDescent="0.4">
      <c r="B81" s="357"/>
      <c r="C81" s="354"/>
      <c r="D81" s="240"/>
      <c r="E81" s="241"/>
      <c r="F81" s="135"/>
      <c r="G81" s="192"/>
      <c r="H81" s="242"/>
      <c r="I81" s="138">
        <f t="shared" si="56"/>
        <v>0</v>
      </c>
      <c r="J81" s="139"/>
      <c r="K81" s="193">
        <f t="shared" ref="K81:K103" si="107">E81*60</f>
        <v>0</v>
      </c>
      <c r="L81" s="141"/>
      <c r="M81" s="194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4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6"/>
      <c r="AN81" s="197">
        <f t="shared" si="58"/>
        <v>0</v>
      </c>
      <c r="AO81" s="146"/>
      <c r="AP81" s="147">
        <f t="shared" si="59"/>
        <v>0</v>
      </c>
      <c r="AQ81" s="221"/>
      <c r="AR81" s="198"/>
      <c r="AS81" s="198"/>
      <c r="AT81" s="222"/>
      <c r="AU81" s="228"/>
      <c r="AV81" s="229"/>
      <c r="AW81" s="229"/>
      <c r="AX81" s="229"/>
      <c r="AY81" s="229"/>
      <c r="AZ81" s="229"/>
      <c r="BA81" s="229"/>
      <c r="BB81" s="229"/>
      <c r="BC81" s="229"/>
      <c r="BD81" s="229"/>
      <c r="BE81" s="229"/>
      <c r="BF81" s="230"/>
      <c r="BG81" s="230"/>
      <c r="BH81" s="230"/>
      <c r="BI81" s="230"/>
      <c r="BJ81" s="230"/>
      <c r="BK81" s="230"/>
      <c r="BL81" s="230"/>
      <c r="BM81" s="230"/>
      <c r="BN81" s="230"/>
      <c r="BO81" s="230"/>
      <c r="BP81" s="230"/>
      <c r="BQ81" s="230"/>
      <c r="BR81" s="228"/>
      <c r="BS81" s="229"/>
      <c r="BT81" s="229"/>
      <c r="BU81" s="229"/>
      <c r="BV81" s="229"/>
      <c r="BW81" s="229"/>
      <c r="BX81" s="229"/>
      <c r="BY81" s="229"/>
      <c r="BZ81" s="229"/>
      <c r="CA81" s="229"/>
      <c r="CB81" s="229"/>
      <c r="CC81" s="231"/>
      <c r="CD81" s="228"/>
      <c r="CE81" s="194"/>
      <c r="CF81" s="195"/>
      <c r="CG81" s="195"/>
      <c r="CH81" s="195"/>
      <c r="CI81" s="195"/>
      <c r="CJ81" s="195"/>
      <c r="CK81" s="195"/>
      <c r="CL81" s="195"/>
      <c r="CM81" s="195"/>
      <c r="CN81" s="195"/>
      <c r="CO81" s="350"/>
      <c r="CP81" s="229"/>
      <c r="CQ81" s="230"/>
      <c r="CR81" s="231"/>
      <c r="CS81" s="232">
        <f t="shared" si="60"/>
        <v>0</v>
      </c>
      <c r="CT81" s="146"/>
      <c r="CU81" s="147">
        <f t="shared" si="61"/>
        <v>0</v>
      </c>
      <c r="CV81" s="156"/>
      <c r="CW81" s="157" t="e">
        <f t="shared" si="62"/>
        <v>#DIV/0!</v>
      </c>
      <c r="CX81" s="157" t="e">
        <f t="shared" si="63"/>
        <v>#DIV/0!</v>
      </c>
      <c r="CY81" s="157" t="e">
        <f t="shared" si="64"/>
        <v>#DIV/0!</v>
      </c>
      <c r="CZ81" s="157" t="e">
        <f t="shared" si="65"/>
        <v>#DIV/0!</v>
      </c>
      <c r="DA81" s="157" t="e">
        <f t="shared" si="66"/>
        <v>#DIV/0!</v>
      </c>
      <c r="DB81" s="158" t="e">
        <f t="shared" si="67"/>
        <v>#DIV/0!</v>
      </c>
      <c r="DC81" s="131"/>
      <c r="DD81" s="159">
        <f t="shared" si="68"/>
        <v>0</v>
      </c>
      <c r="DE81" s="160">
        <f t="shared" si="69"/>
        <v>0</v>
      </c>
      <c r="DF81" s="161">
        <f t="shared" si="70"/>
        <v>0</v>
      </c>
      <c r="DG81" s="162" t="e">
        <f t="shared" si="71"/>
        <v>#DIV/0!</v>
      </c>
      <c r="DH81" s="163">
        <f t="shared" si="72"/>
        <v>0</v>
      </c>
      <c r="DI81" s="164"/>
      <c r="DJ81" s="165">
        <f t="shared" si="55"/>
        <v>0</v>
      </c>
      <c r="DK81" s="166">
        <f t="shared" si="55"/>
        <v>0</v>
      </c>
      <c r="DL81" s="167" t="e">
        <f t="shared" si="73"/>
        <v>#DIV/0!</v>
      </c>
      <c r="DM81" s="168" t="e">
        <f t="shared" si="74"/>
        <v>#DIV/0!</v>
      </c>
      <c r="DN81" s="163" t="e">
        <f t="shared" si="75"/>
        <v>#DIV/0!</v>
      </c>
      <c r="DO81" s="169"/>
      <c r="DP81" s="170"/>
      <c r="DQ81" s="171"/>
      <c r="DR81" s="172">
        <f t="shared" si="76"/>
        <v>0</v>
      </c>
      <c r="DS81" s="173" t="e">
        <f t="shared" si="77"/>
        <v>#DIV/0!</v>
      </c>
      <c r="DT81" s="163" t="e">
        <f t="shared" si="78"/>
        <v>#DIV/0!</v>
      </c>
      <c r="DU81" s="174"/>
      <c r="DV81" s="175" t="e">
        <f t="shared" si="79"/>
        <v>#DIV/0!</v>
      </c>
      <c r="DW81" s="163">
        <f t="shared" si="80"/>
        <v>0</v>
      </c>
      <c r="DX81" s="164"/>
      <c r="DY81" s="176">
        <f t="shared" si="81"/>
        <v>0</v>
      </c>
      <c r="DZ81" s="177">
        <f t="shared" si="82"/>
        <v>0</v>
      </c>
      <c r="EA81" s="178">
        <f t="shared" si="83"/>
        <v>0</v>
      </c>
      <c r="EB81" s="179">
        <f t="shared" si="84"/>
        <v>0</v>
      </c>
      <c r="EC81" s="180"/>
      <c r="ED81" s="175" t="e">
        <f t="shared" si="85"/>
        <v>#DIV/0!</v>
      </c>
      <c r="EE81" s="163">
        <f t="shared" si="86"/>
        <v>0</v>
      </c>
      <c r="EF81" s="164"/>
      <c r="EG81" s="181">
        <f t="shared" si="87"/>
        <v>0</v>
      </c>
      <c r="EH81" s="182">
        <f t="shared" si="88"/>
        <v>0</v>
      </c>
      <c r="EI81" s="182">
        <f t="shared" si="89"/>
        <v>0</v>
      </c>
      <c r="EJ81" s="182">
        <f t="shared" si="90"/>
        <v>0</v>
      </c>
      <c r="EK81" s="183">
        <f t="shared" si="91"/>
        <v>0</v>
      </c>
      <c r="EL81" s="184" t="e">
        <f t="shared" si="92"/>
        <v>#DIV/0!</v>
      </c>
      <c r="EM81" s="185">
        <f t="shared" si="93"/>
        <v>0</v>
      </c>
      <c r="EN81" s="164"/>
      <c r="EO81" s="181">
        <f t="shared" si="94"/>
        <v>0</v>
      </c>
      <c r="EP81" s="183">
        <f t="shared" si="95"/>
        <v>0</v>
      </c>
      <c r="EQ81" s="184" t="e">
        <f t="shared" si="96"/>
        <v>#DIV/0!</v>
      </c>
      <c r="ER81" s="185">
        <f t="shared" si="97"/>
        <v>0</v>
      </c>
      <c r="ES81" s="164"/>
      <c r="ET81" s="164"/>
      <c r="EU81" s="186">
        <f t="shared" si="98"/>
        <v>0</v>
      </c>
      <c r="EV81" s="186">
        <f t="shared" si="99"/>
        <v>0</v>
      </c>
      <c r="EW81" s="186">
        <f t="shared" si="100"/>
        <v>0</v>
      </c>
      <c r="EX81" s="186">
        <f t="shared" si="101"/>
        <v>0</v>
      </c>
      <c r="EY81" s="131"/>
      <c r="EZ81" s="187">
        <f t="shared" si="102"/>
        <v>0</v>
      </c>
      <c r="FA81" s="188" t="e">
        <f t="shared" si="103"/>
        <v>#DIV/0!</v>
      </c>
      <c r="FB81" s="189"/>
      <c r="FC81" s="219"/>
      <c r="FD81" s="219"/>
      <c r="FE81" s="219"/>
      <c r="FF81" s="219"/>
      <c r="FG81" s="219"/>
    </row>
    <row r="82" spans="2:163" s="220" customFormat="1" ht="16" outlineLevel="1" thickBot="1" x14ac:dyDescent="0.4">
      <c r="B82" s="358"/>
      <c r="C82" s="355"/>
      <c r="D82" s="243"/>
      <c r="E82" s="244"/>
      <c r="F82" s="135"/>
      <c r="G82" s="192"/>
      <c r="H82" s="245"/>
      <c r="I82" s="138">
        <f t="shared" si="56"/>
        <v>0</v>
      </c>
      <c r="J82" s="139"/>
      <c r="K82" s="208">
        <f t="shared" si="107"/>
        <v>0</v>
      </c>
      <c r="L82" s="141"/>
      <c r="M82" s="209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09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1"/>
      <c r="AN82" s="212">
        <f t="shared" si="58"/>
        <v>0</v>
      </c>
      <c r="AO82" s="146"/>
      <c r="AP82" s="147">
        <f t="shared" si="59"/>
        <v>0</v>
      </c>
      <c r="AQ82" s="221"/>
      <c r="AR82" s="213"/>
      <c r="AS82" s="213"/>
      <c r="AT82" s="222"/>
      <c r="AU82" s="233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3"/>
      <c r="BS82" s="234"/>
      <c r="BT82" s="234"/>
      <c r="BU82" s="234"/>
      <c r="BV82" s="234"/>
      <c r="BW82" s="234"/>
      <c r="BX82" s="234"/>
      <c r="BY82" s="234"/>
      <c r="BZ82" s="234"/>
      <c r="CA82" s="234"/>
      <c r="CB82" s="234"/>
      <c r="CC82" s="236"/>
      <c r="CD82" s="233"/>
      <c r="CE82" s="209"/>
      <c r="CF82" s="210"/>
      <c r="CG82" s="210"/>
      <c r="CH82" s="210"/>
      <c r="CI82" s="210"/>
      <c r="CJ82" s="210"/>
      <c r="CK82" s="210"/>
      <c r="CL82" s="210"/>
      <c r="CM82" s="210"/>
      <c r="CN82" s="210"/>
      <c r="CO82" s="351"/>
      <c r="CP82" s="234"/>
      <c r="CQ82" s="235"/>
      <c r="CR82" s="236"/>
      <c r="CS82" s="237">
        <f t="shared" si="60"/>
        <v>0</v>
      </c>
      <c r="CT82" s="146"/>
      <c r="CU82" s="147">
        <f t="shared" si="61"/>
        <v>0</v>
      </c>
      <c r="CV82" s="156"/>
      <c r="CW82" s="157" t="e">
        <f t="shared" si="62"/>
        <v>#DIV/0!</v>
      </c>
      <c r="CX82" s="157" t="e">
        <f t="shared" si="63"/>
        <v>#DIV/0!</v>
      </c>
      <c r="CY82" s="157" t="e">
        <f t="shared" si="64"/>
        <v>#DIV/0!</v>
      </c>
      <c r="CZ82" s="157" t="e">
        <f t="shared" si="65"/>
        <v>#DIV/0!</v>
      </c>
      <c r="DA82" s="157" t="e">
        <f t="shared" si="66"/>
        <v>#DIV/0!</v>
      </c>
      <c r="DB82" s="158" t="e">
        <f t="shared" si="67"/>
        <v>#DIV/0!</v>
      </c>
      <c r="DC82" s="131"/>
      <c r="DD82" s="159">
        <f t="shared" si="68"/>
        <v>0</v>
      </c>
      <c r="DE82" s="160">
        <f t="shared" si="69"/>
        <v>0</v>
      </c>
      <c r="DF82" s="161">
        <f t="shared" si="70"/>
        <v>0</v>
      </c>
      <c r="DG82" s="162" t="e">
        <f t="shared" si="71"/>
        <v>#DIV/0!</v>
      </c>
      <c r="DH82" s="163">
        <f t="shared" si="72"/>
        <v>0</v>
      </c>
      <c r="DI82" s="164"/>
      <c r="DJ82" s="165">
        <f t="shared" si="55"/>
        <v>0</v>
      </c>
      <c r="DK82" s="166">
        <f t="shared" si="55"/>
        <v>0</v>
      </c>
      <c r="DL82" s="167" t="e">
        <f t="shared" si="73"/>
        <v>#DIV/0!</v>
      </c>
      <c r="DM82" s="168" t="e">
        <f t="shared" si="74"/>
        <v>#DIV/0!</v>
      </c>
      <c r="DN82" s="163" t="e">
        <f t="shared" si="75"/>
        <v>#DIV/0!</v>
      </c>
      <c r="DO82" s="169"/>
      <c r="DP82" s="170"/>
      <c r="DQ82" s="171"/>
      <c r="DR82" s="172">
        <f t="shared" si="76"/>
        <v>0</v>
      </c>
      <c r="DS82" s="173" t="e">
        <f t="shared" si="77"/>
        <v>#DIV/0!</v>
      </c>
      <c r="DT82" s="163" t="e">
        <f t="shared" si="78"/>
        <v>#DIV/0!</v>
      </c>
      <c r="DU82" s="174"/>
      <c r="DV82" s="175" t="e">
        <f t="shared" si="79"/>
        <v>#DIV/0!</v>
      </c>
      <c r="DW82" s="163">
        <f t="shared" si="80"/>
        <v>0</v>
      </c>
      <c r="DX82" s="164"/>
      <c r="DY82" s="176">
        <f t="shared" si="81"/>
        <v>0</v>
      </c>
      <c r="DZ82" s="177">
        <f t="shared" si="82"/>
        <v>0</v>
      </c>
      <c r="EA82" s="178">
        <f t="shared" si="83"/>
        <v>0</v>
      </c>
      <c r="EB82" s="179">
        <f t="shared" si="84"/>
        <v>0</v>
      </c>
      <c r="EC82" s="180"/>
      <c r="ED82" s="175" t="e">
        <f t="shared" si="85"/>
        <v>#DIV/0!</v>
      </c>
      <c r="EE82" s="163">
        <f t="shared" si="86"/>
        <v>0</v>
      </c>
      <c r="EF82" s="164"/>
      <c r="EG82" s="181">
        <f t="shared" si="87"/>
        <v>0</v>
      </c>
      <c r="EH82" s="182">
        <f t="shared" si="88"/>
        <v>0</v>
      </c>
      <c r="EI82" s="182">
        <f t="shared" si="89"/>
        <v>0</v>
      </c>
      <c r="EJ82" s="182">
        <f t="shared" si="90"/>
        <v>0</v>
      </c>
      <c r="EK82" s="183">
        <f t="shared" si="91"/>
        <v>0</v>
      </c>
      <c r="EL82" s="184" t="e">
        <f t="shared" si="92"/>
        <v>#DIV/0!</v>
      </c>
      <c r="EM82" s="185">
        <f t="shared" si="93"/>
        <v>0</v>
      </c>
      <c r="EN82" s="164"/>
      <c r="EO82" s="181">
        <f t="shared" si="94"/>
        <v>0</v>
      </c>
      <c r="EP82" s="183">
        <f t="shared" si="95"/>
        <v>0</v>
      </c>
      <c r="EQ82" s="184" t="e">
        <f t="shared" si="96"/>
        <v>#DIV/0!</v>
      </c>
      <c r="ER82" s="185">
        <f t="shared" si="97"/>
        <v>0</v>
      </c>
      <c r="ES82" s="164"/>
      <c r="ET82" s="164"/>
      <c r="EU82" s="186">
        <f t="shared" si="98"/>
        <v>0</v>
      </c>
      <c r="EV82" s="186">
        <f t="shared" si="99"/>
        <v>0</v>
      </c>
      <c r="EW82" s="186">
        <f t="shared" si="100"/>
        <v>0</v>
      </c>
      <c r="EX82" s="186">
        <f t="shared" si="101"/>
        <v>0</v>
      </c>
      <c r="EY82" s="131"/>
      <c r="EZ82" s="187">
        <f t="shared" si="102"/>
        <v>0</v>
      </c>
      <c r="FA82" s="188" t="e">
        <f t="shared" si="103"/>
        <v>#DIV/0!</v>
      </c>
      <c r="FB82" s="189"/>
      <c r="FC82" s="131"/>
      <c r="FD82" s="131"/>
      <c r="FE82" s="219"/>
      <c r="FF82" s="219"/>
      <c r="FG82" s="219"/>
    </row>
    <row r="83" spans="2:163" s="220" customFormat="1" ht="16" outlineLevel="1" thickBot="1" x14ac:dyDescent="0.4">
      <c r="B83" s="356"/>
      <c r="C83" s="353"/>
      <c r="D83" s="133"/>
      <c r="E83" s="134"/>
      <c r="F83" s="135"/>
      <c r="G83" s="136"/>
      <c r="H83" s="137"/>
      <c r="I83" s="138">
        <f>IF(E83&gt;0.0001,9.4,0)</f>
        <v>0</v>
      </c>
      <c r="J83" s="139"/>
      <c r="K83" s="140">
        <f t="shared" si="107"/>
        <v>0</v>
      </c>
      <c r="L83" s="141"/>
      <c r="M83" s="142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2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4"/>
      <c r="AN83" s="145">
        <f t="shared" si="58"/>
        <v>0</v>
      </c>
      <c r="AO83" s="146"/>
      <c r="AP83" s="147">
        <f t="shared" si="59"/>
        <v>0</v>
      </c>
      <c r="AQ83" s="221"/>
      <c r="AR83" s="149"/>
      <c r="AS83" s="149"/>
      <c r="AT83" s="222"/>
      <c r="AU83" s="223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3"/>
      <c r="BS83" s="224"/>
      <c r="BT83" s="224"/>
      <c r="BU83" s="224"/>
      <c r="BV83" s="224"/>
      <c r="BW83" s="224"/>
      <c r="BX83" s="224"/>
      <c r="BY83" s="224"/>
      <c r="BZ83" s="224"/>
      <c r="CA83" s="224"/>
      <c r="CB83" s="224"/>
      <c r="CC83" s="226"/>
      <c r="CD83" s="223"/>
      <c r="CE83" s="142"/>
      <c r="CF83" s="143"/>
      <c r="CG83" s="143"/>
      <c r="CH83" s="143"/>
      <c r="CI83" s="143"/>
      <c r="CJ83" s="143"/>
      <c r="CK83" s="143"/>
      <c r="CL83" s="143"/>
      <c r="CM83" s="143"/>
      <c r="CN83" s="143"/>
      <c r="CO83" s="349"/>
      <c r="CP83" s="224"/>
      <c r="CQ83" s="225"/>
      <c r="CR83" s="226"/>
      <c r="CS83" s="227">
        <f t="shared" si="60"/>
        <v>0</v>
      </c>
      <c r="CT83" s="146"/>
      <c r="CU83" s="147">
        <f t="shared" si="61"/>
        <v>0</v>
      </c>
      <c r="CV83" s="156"/>
      <c r="CW83" s="157" t="e">
        <f t="shared" si="62"/>
        <v>#DIV/0!</v>
      </c>
      <c r="CX83" s="157" t="e">
        <f t="shared" si="63"/>
        <v>#DIV/0!</v>
      </c>
      <c r="CY83" s="157" t="e">
        <f t="shared" si="64"/>
        <v>#DIV/0!</v>
      </c>
      <c r="CZ83" s="157" t="e">
        <f t="shared" si="65"/>
        <v>#DIV/0!</v>
      </c>
      <c r="DA83" s="157" t="e">
        <f t="shared" si="66"/>
        <v>#DIV/0!</v>
      </c>
      <c r="DB83" s="158" t="e">
        <f t="shared" si="67"/>
        <v>#DIV/0!</v>
      </c>
      <c r="DC83" s="131"/>
      <c r="DD83" s="159">
        <f t="shared" si="68"/>
        <v>0</v>
      </c>
      <c r="DE83" s="160">
        <f t="shared" si="69"/>
        <v>0</v>
      </c>
      <c r="DF83" s="161">
        <f t="shared" si="70"/>
        <v>0</v>
      </c>
      <c r="DG83" s="162" t="e">
        <f t="shared" si="71"/>
        <v>#DIV/0!</v>
      </c>
      <c r="DH83" s="163">
        <f t="shared" si="72"/>
        <v>0</v>
      </c>
      <c r="DI83" s="164"/>
      <c r="DJ83" s="165">
        <f t="shared" si="55"/>
        <v>0</v>
      </c>
      <c r="DK83" s="166">
        <f t="shared" si="55"/>
        <v>0</v>
      </c>
      <c r="DL83" s="167" t="e">
        <f t="shared" si="73"/>
        <v>#DIV/0!</v>
      </c>
      <c r="DM83" s="168" t="e">
        <f t="shared" si="74"/>
        <v>#DIV/0!</v>
      </c>
      <c r="DN83" s="163" t="e">
        <f t="shared" si="75"/>
        <v>#DIV/0!</v>
      </c>
      <c r="DO83" s="169"/>
      <c r="DP83" s="170"/>
      <c r="DQ83" s="171"/>
      <c r="DR83" s="172">
        <f t="shared" si="76"/>
        <v>0</v>
      </c>
      <c r="DS83" s="173" t="e">
        <f t="shared" si="77"/>
        <v>#DIV/0!</v>
      </c>
      <c r="DT83" s="163" t="e">
        <f t="shared" si="78"/>
        <v>#DIV/0!</v>
      </c>
      <c r="DU83" s="174"/>
      <c r="DV83" s="175" t="e">
        <f t="shared" si="79"/>
        <v>#DIV/0!</v>
      </c>
      <c r="DW83" s="163">
        <f t="shared" si="80"/>
        <v>0</v>
      </c>
      <c r="DX83" s="164"/>
      <c r="DY83" s="176">
        <f t="shared" si="81"/>
        <v>0</v>
      </c>
      <c r="DZ83" s="177">
        <f t="shared" si="82"/>
        <v>0</v>
      </c>
      <c r="EA83" s="178">
        <f t="shared" si="83"/>
        <v>0</v>
      </c>
      <c r="EB83" s="179">
        <f t="shared" si="84"/>
        <v>0</v>
      </c>
      <c r="EC83" s="180"/>
      <c r="ED83" s="175" t="e">
        <f t="shared" si="85"/>
        <v>#DIV/0!</v>
      </c>
      <c r="EE83" s="163">
        <f t="shared" si="86"/>
        <v>0</v>
      </c>
      <c r="EF83" s="164"/>
      <c r="EG83" s="181">
        <f t="shared" si="87"/>
        <v>0</v>
      </c>
      <c r="EH83" s="182">
        <f t="shared" si="88"/>
        <v>0</v>
      </c>
      <c r="EI83" s="182">
        <f t="shared" si="89"/>
        <v>0</v>
      </c>
      <c r="EJ83" s="182">
        <f t="shared" si="90"/>
        <v>0</v>
      </c>
      <c r="EK83" s="183">
        <f t="shared" si="91"/>
        <v>0</v>
      </c>
      <c r="EL83" s="184" t="e">
        <f t="shared" si="92"/>
        <v>#DIV/0!</v>
      </c>
      <c r="EM83" s="185">
        <f t="shared" si="93"/>
        <v>0</v>
      </c>
      <c r="EN83" s="164"/>
      <c r="EO83" s="181">
        <f t="shared" si="94"/>
        <v>0</v>
      </c>
      <c r="EP83" s="183">
        <f t="shared" si="95"/>
        <v>0</v>
      </c>
      <c r="EQ83" s="184" t="e">
        <f t="shared" si="96"/>
        <v>#DIV/0!</v>
      </c>
      <c r="ER83" s="185">
        <f t="shared" si="97"/>
        <v>0</v>
      </c>
      <c r="ES83" s="164"/>
      <c r="ET83" s="164"/>
      <c r="EU83" s="186">
        <f t="shared" si="98"/>
        <v>0</v>
      </c>
      <c r="EV83" s="186">
        <f t="shared" si="99"/>
        <v>0</v>
      </c>
      <c r="EW83" s="186">
        <f t="shared" si="100"/>
        <v>0</v>
      </c>
      <c r="EX83" s="186">
        <f t="shared" si="101"/>
        <v>0</v>
      </c>
      <c r="EY83" s="131"/>
      <c r="EZ83" s="187">
        <f t="shared" si="102"/>
        <v>0</v>
      </c>
      <c r="FA83" s="188" t="e">
        <f t="shared" si="103"/>
        <v>#DIV/0!</v>
      </c>
      <c r="FB83" s="189"/>
      <c r="FC83" s="219"/>
      <c r="FD83" s="219"/>
      <c r="FE83" s="219"/>
      <c r="FF83" s="219"/>
      <c r="FG83" s="219"/>
    </row>
    <row r="84" spans="2:163" s="220" customFormat="1" ht="16" outlineLevel="1" thickBot="1" x14ac:dyDescent="0.4">
      <c r="B84" s="357"/>
      <c r="C84" s="354"/>
      <c r="D84" s="190"/>
      <c r="E84" s="191"/>
      <c r="F84" s="135"/>
      <c r="G84" s="192"/>
      <c r="H84" s="137"/>
      <c r="I84" s="138">
        <f t="shared" si="56"/>
        <v>0</v>
      </c>
      <c r="J84" s="139"/>
      <c r="K84" s="193">
        <f t="shared" si="107"/>
        <v>0</v>
      </c>
      <c r="L84" s="141"/>
      <c r="M84" s="194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4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6"/>
      <c r="AN84" s="197">
        <f t="shared" si="58"/>
        <v>0</v>
      </c>
      <c r="AO84" s="146"/>
      <c r="AP84" s="147">
        <f t="shared" si="59"/>
        <v>0</v>
      </c>
      <c r="AQ84" s="221"/>
      <c r="AR84" s="198"/>
      <c r="AS84" s="198"/>
      <c r="AT84" s="222"/>
      <c r="AU84" s="228"/>
      <c r="AV84" s="229"/>
      <c r="AW84" s="229"/>
      <c r="AX84" s="229"/>
      <c r="AY84" s="229"/>
      <c r="AZ84" s="229"/>
      <c r="BA84" s="229"/>
      <c r="BB84" s="229"/>
      <c r="BC84" s="229"/>
      <c r="BD84" s="229"/>
      <c r="BE84" s="229"/>
      <c r="BF84" s="230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28"/>
      <c r="BS84" s="229"/>
      <c r="BT84" s="229"/>
      <c r="BU84" s="229"/>
      <c r="BV84" s="229"/>
      <c r="BW84" s="229"/>
      <c r="BX84" s="229"/>
      <c r="BY84" s="229"/>
      <c r="BZ84" s="229"/>
      <c r="CA84" s="229"/>
      <c r="CB84" s="229"/>
      <c r="CC84" s="231"/>
      <c r="CD84" s="228"/>
      <c r="CE84" s="194"/>
      <c r="CF84" s="195"/>
      <c r="CG84" s="195"/>
      <c r="CH84" s="195"/>
      <c r="CI84" s="195"/>
      <c r="CJ84" s="195"/>
      <c r="CK84" s="195"/>
      <c r="CL84" s="195"/>
      <c r="CM84" s="195"/>
      <c r="CN84" s="195"/>
      <c r="CO84" s="350"/>
      <c r="CP84" s="229"/>
      <c r="CQ84" s="230"/>
      <c r="CR84" s="231"/>
      <c r="CS84" s="232">
        <f t="shared" si="60"/>
        <v>0</v>
      </c>
      <c r="CT84" s="146"/>
      <c r="CU84" s="147">
        <f t="shared" si="61"/>
        <v>0</v>
      </c>
      <c r="CV84" s="156"/>
      <c r="CW84" s="157" t="e">
        <f t="shared" si="62"/>
        <v>#DIV/0!</v>
      </c>
      <c r="CX84" s="157" t="e">
        <f t="shared" si="63"/>
        <v>#DIV/0!</v>
      </c>
      <c r="CY84" s="157" t="e">
        <f t="shared" si="64"/>
        <v>#DIV/0!</v>
      </c>
      <c r="CZ84" s="157" t="e">
        <f t="shared" si="65"/>
        <v>#DIV/0!</v>
      </c>
      <c r="DA84" s="157" t="e">
        <f t="shared" si="66"/>
        <v>#DIV/0!</v>
      </c>
      <c r="DB84" s="158" t="e">
        <f t="shared" si="67"/>
        <v>#DIV/0!</v>
      </c>
      <c r="DC84" s="131"/>
      <c r="DD84" s="159">
        <f t="shared" si="68"/>
        <v>0</v>
      </c>
      <c r="DE84" s="160">
        <f t="shared" si="69"/>
        <v>0</v>
      </c>
      <c r="DF84" s="161">
        <f t="shared" si="70"/>
        <v>0</v>
      </c>
      <c r="DG84" s="162" t="e">
        <f t="shared" si="71"/>
        <v>#DIV/0!</v>
      </c>
      <c r="DH84" s="163">
        <f t="shared" si="72"/>
        <v>0</v>
      </c>
      <c r="DI84" s="164"/>
      <c r="DJ84" s="165">
        <f t="shared" si="55"/>
        <v>0</v>
      </c>
      <c r="DK84" s="166">
        <f t="shared" si="55"/>
        <v>0</v>
      </c>
      <c r="DL84" s="167" t="e">
        <f t="shared" si="73"/>
        <v>#DIV/0!</v>
      </c>
      <c r="DM84" s="168" t="e">
        <f t="shared" si="74"/>
        <v>#DIV/0!</v>
      </c>
      <c r="DN84" s="163" t="e">
        <f t="shared" si="75"/>
        <v>#DIV/0!</v>
      </c>
      <c r="DO84" s="169"/>
      <c r="DP84" s="170"/>
      <c r="DQ84" s="171"/>
      <c r="DR84" s="172">
        <f t="shared" si="76"/>
        <v>0</v>
      </c>
      <c r="DS84" s="173" t="e">
        <f t="shared" si="77"/>
        <v>#DIV/0!</v>
      </c>
      <c r="DT84" s="163" t="e">
        <f t="shared" si="78"/>
        <v>#DIV/0!</v>
      </c>
      <c r="DU84" s="174"/>
      <c r="DV84" s="175" t="e">
        <f t="shared" si="79"/>
        <v>#DIV/0!</v>
      </c>
      <c r="DW84" s="163">
        <f t="shared" si="80"/>
        <v>0</v>
      </c>
      <c r="DX84" s="164"/>
      <c r="DY84" s="176">
        <f t="shared" si="81"/>
        <v>0</v>
      </c>
      <c r="DZ84" s="177">
        <f t="shared" si="82"/>
        <v>0</v>
      </c>
      <c r="EA84" s="178">
        <f t="shared" si="83"/>
        <v>0</v>
      </c>
      <c r="EB84" s="179">
        <f t="shared" si="84"/>
        <v>0</v>
      </c>
      <c r="EC84" s="180"/>
      <c r="ED84" s="175" t="e">
        <f t="shared" si="85"/>
        <v>#DIV/0!</v>
      </c>
      <c r="EE84" s="163">
        <f t="shared" si="86"/>
        <v>0</v>
      </c>
      <c r="EF84" s="164"/>
      <c r="EG84" s="181">
        <f t="shared" si="87"/>
        <v>0</v>
      </c>
      <c r="EH84" s="182">
        <f t="shared" si="88"/>
        <v>0</v>
      </c>
      <c r="EI84" s="182">
        <f t="shared" si="89"/>
        <v>0</v>
      </c>
      <c r="EJ84" s="182">
        <f t="shared" si="90"/>
        <v>0</v>
      </c>
      <c r="EK84" s="183">
        <f t="shared" si="91"/>
        <v>0</v>
      </c>
      <c r="EL84" s="184" t="e">
        <f t="shared" si="92"/>
        <v>#DIV/0!</v>
      </c>
      <c r="EM84" s="185">
        <f t="shared" si="93"/>
        <v>0</v>
      </c>
      <c r="EN84" s="164"/>
      <c r="EO84" s="181">
        <f t="shared" si="94"/>
        <v>0</v>
      </c>
      <c r="EP84" s="183">
        <f t="shared" si="95"/>
        <v>0</v>
      </c>
      <c r="EQ84" s="184" t="e">
        <f t="shared" si="96"/>
        <v>#DIV/0!</v>
      </c>
      <c r="ER84" s="185">
        <f t="shared" si="97"/>
        <v>0</v>
      </c>
      <c r="ES84" s="164"/>
      <c r="ET84" s="164"/>
      <c r="EU84" s="186">
        <f t="shared" si="98"/>
        <v>0</v>
      </c>
      <c r="EV84" s="186">
        <f t="shared" si="99"/>
        <v>0</v>
      </c>
      <c r="EW84" s="186">
        <f t="shared" si="100"/>
        <v>0</v>
      </c>
      <c r="EX84" s="186">
        <f t="shared" si="101"/>
        <v>0</v>
      </c>
      <c r="EY84" s="131"/>
      <c r="EZ84" s="187">
        <f t="shared" si="102"/>
        <v>0</v>
      </c>
      <c r="FA84" s="188" t="e">
        <f t="shared" si="103"/>
        <v>#DIV/0!</v>
      </c>
      <c r="FB84" s="189"/>
      <c r="FC84" s="219"/>
      <c r="FD84" s="219"/>
      <c r="FE84" s="219"/>
      <c r="FF84" s="219"/>
      <c r="FG84" s="219"/>
    </row>
    <row r="85" spans="2:163" s="220" customFormat="1" ht="16" outlineLevel="1" thickBot="1" x14ac:dyDescent="0.4">
      <c r="B85" s="358"/>
      <c r="C85" s="355"/>
      <c r="D85" s="204"/>
      <c r="E85" s="205"/>
      <c r="F85" s="135"/>
      <c r="G85" s="206"/>
      <c r="H85" s="207"/>
      <c r="I85" s="138">
        <f t="shared" si="56"/>
        <v>0</v>
      </c>
      <c r="J85" s="139"/>
      <c r="K85" s="208">
        <f t="shared" si="107"/>
        <v>0</v>
      </c>
      <c r="L85" s="141"/>
      <c r="M85" s="209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09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1"/>
      <c r="AN85" s="212">
        <f t="shared" si="58"/>
        <v>0</v>
      </c>
      <c r="AO85" s="146"/>
      <c r="AP85" s="147">
        <f t="shared" si="59"/>
        <v>0</v>
      </c>
      <c r="AQ85" s="221"/>
      <c r="AR85" s="213"/>
      <c r="AS85" s="213"/>
      <c r="AT85" s="222"/>
      <c r="AU85" s="233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3"/>
      <c r="BS85" s="234"/>
      <c r="BT85" s="234"/>
      <c r="BU85" s="234"/>
      <c r="BV85" s="234"/>
      <c r="BW85" s="234"/>
      <c r="BX85" s="234"/>
      <c r="BY85" s="234"/>
      <c r="BZ85" s="234"/>
      <c r="CA85" s="234"/>
      <c r="CB85" s="234"/>
      <c r="CC85" s="236"/>
      <c r="CD85" s="233"/>
      <c r="CE85" s="209"/>
      <c r="CF85" s="210"/>
      <c r="CG85" s="210"/>
      <c r="CH85" s="210"/>
      <c r="CI85" s="210"/>
      <c r="CJ85" s="210"/>
      <c r="CK85" s="210"/>
      <c r="CL85" s="210"/>
      <c r="CM85" s="210"/>
      <c r="CN85" s="210"/>
      <c r="CO85" s="351"/>
      <c r="CP85" s="234"/>
      <c r="CQ85" s="235"/>
      <c r="CR85" s="236"/>
      <c r="CS85" s="237">
        <f t="shared" si="60"/>
        <v>0</v>
      </c>
      <c r="CT85" s="146"/>
      <c r="CU85" s="147">
        <f t="shared" si="61"/>
        <v>0</v>
      </c>
      <c r="CV85" s="156"/>
      <c r="CW85" s="157" t="e">
        <f t="shared" si="62"/>
        <v>#DIV/0!</v>
      </c>
      <c r="CX85" s="157" t="e">
        <f t="shared" si="63"/>
        <v>#DIV/0!</v>
      </c>
      <c r="CY85" s="157" t="e">
        <f t="shared" si="64"/>
        <v>#DIV/0!</v>
      </c>
      <c r="CZ85" s="157" t="e">
        <f t="shared" si="65"/>
        <v>#DIV/0!</v>
      </c>
      <c r="DA85" s="157" t="e">
        <f t="shared" si="66"/>
        <v>#DIV/0!</v>
      </c>
      <c r="DB85" s="158" t="e">
        <f t="shared" si="67"/>
        <v>#DIV/0!</v>
      </c>
      <c r="DC85" s="131"/>
      <c r="DD85" s="159">
        <f t="shared" si="68"/>
        <v>0</v>
      </c>
      <c r="DE85" s="160">
        <f t="shared" si="69"/>
        <v>0</v>
      </c>
      <c r="DF85" s="161">
        <f t="shared" si="70"/>
        <v>0</v>
      </c>
      <c r="DG85" s="162" t="e">
        <f t="shared" si="71"/>
        <v>#DIV/0!</v>
      </c>
      <c r="DH85" s="163">
        <f t="shared" si="72"/>
        <v>0</v>
      </c>
      <c r="DI85" s="164"/>
      <c r="DJ85" s="165">
        <f t="shared" si="55"/>
        <v>0</v>
      </c>
      <c r="DK85" s="166">
        <f t="shared" si="55"/>
        <v>0</v>
      </c>
      <c r="DL85" s="167" t="e">
        <f t="shared" si="73"/>
        <v>#DIV/0!</v>
      </c>
      <c r="DM85" s="168" t="e">
        <f t="shared" si="74"/>
        <v>#DIV/0!</v>
      </c>
      <c r="DN85" s="163" t="e">
        <f t="shared" si="75"/>
        <v>#DIV/0!</v>
      </c>
      <c r="DO85" s="169"/>
      <c r="DP85" s="170"/>
      <c r="DQ85" s="171"/>
      <c r="DR85" s="172">
        <f t="shared" si="76"/>
        <v>0</v>
      </c>
      <c r="DS85" s="173" t="e">
        <f t="shared" si="77"/>
        <v>#DIV/0!</v>
      </c>
      <c r="DT85" s="163" t="e">
        <f t="shared" si="78"/>
        <v>#DIV/0!</v>
      </c>
      <c r="DU85" s="174"/>
      <c r="DV85" s="175" t="e">
        <f t="shared" si="79"/>
        <v>#DIV/0!</v>
      </c>
      <c r="DW85" s="163">
        <f t="shared" si="80"/>
        <v>0</v>
      </c>
      <c r="DX85" s="164"/>
      <c r="DY85" s="176">
        <f t="shared" si="81"/>
        <v>0</v>
      </c>
      <c r="DZ85" s="177">
        <f t="shared" si="82"/>
        <v>0</v>
      </c>
      <c r="EA85" s="178">
        <f t="shared" si="83"/>
        <v>0</v>
      </c>
      <c r="EB85" s="179">
        <f t="shared" si="84"/>
        <v>0</v>
      </c>
      <c r="EC85" s="180"/>
      <c r="ED85" s="175" t="e">
        <f t="shared" si="85"/>
        <v>#DIV/0!</v>
      </c>
      <c r="EE85" s="163">
        <f t="shared" si="86"/>
        <v>0</v>
      </c>
      <c r="EF85" s="164"/>
      <c r="EG85" s="181">
        <f t="shared" si="87"/>
        <v>0</v>
      </c>
      <c r="EH85" s="182">
        <f t="shared" si="88"/>
        <v>0</v>
      </c>
      <c r="EI85" s="182">
        <f t="shared" si="89"/>
        <v>0</v>
      </c>
      <c r="EJ85" s="182">
        <f t="shared" si="90"/>
        <v>0</v>
      </c>
      <c r="EK85" s="183">
        <f t="shared" si="91"/>
        <v>0</v>
      </c>
      <c r="EL85" s="184" t="e">
        <f t="shared" si="92"/>
        <v>#DIV/0!</v>
      </c>
      <c r="EM85" s="185">
        <f t="shared" si="93"/>
        <v>0</v>
      </c>
      <c r="EN85" s="164"/>
      <c r="EO85" s="181">
        <f t="shared" si="94"/>
        <v>0</v>
      </c>
      <c r="EP85" s="183">
        <f t="shared" si="95"/>
        <v>0</v>
      </c>
      <c r="EQ85" s="184" t="e">
        <f t="shared" si="96"/>
        <v>#DIV/0!</v>
      </c>
      <c r="ER85" s="185">
        <f t="shared" si="97"/>
        <v>0</v>
      </c>
      <c r="ES85" s="164"/>
      <c r="ET85" s="164"/>
      <c r="EU85" s="186">
        <f t="shared" si="98"/>
        <v>0</v>
      </c>
      <c r="EV85" s="186">
        <f t="shared" si="99"/>
        <v>0</v>
      </c>
      <c r="EW85" s="186">
        <f t="shared" si="100"/>
        <v>0</v>
      </c>
      <c r="EX85" s="186">
        <f t="shared" si="101"/>
        <v>0</v>
      </c>
      <c r="EY85" s="131"/>
      <c r="EZ85" s="187">
        <f t="shared" si="102"/>
        <v>0</v>
      </c>
      <c r="FA85" s="188" t="e">
        <f t="shared" si="103"/>
        <v>#DIV/0!</v>
      </c>
      <c r="FB85" s="189"/>
      <c r="FC85" s="131"/>
      <c r="FD85" s="131"/>
      <c r="FE85" s="219"/>
      <c r="FF85" s="219"/>
      <c r="FG85" s="219"/>
    </row>
    <row r="86" spans="2:163" ht="16" outlineLevel="1" thickBot="1" x14ac:dyDescent="0.4">
      <c r="B86" s="356"/>
      <c r="C86" s="353"/>
      <c r="D86" s="133"/>
      <c r="E86" s="134"/>
      <c r="F86" s="135"/>
      <c r="G86" s="136"/>
      <c r="H86" s="137"/>
      <c r="I86" s="138">
        <f>IF(E86&gt;0.0001,9.4,0)</f>
        <v>0</v>
      </c>
      <c r="J86" s="139"/>
      <c r="K86" s="140">
        <f t="shared" si="107"/>
        <v>0</v>
      </c>
      <c r="L86" s="141"/>
      <c r="M86" s="142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2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4"/>
      <c r="AN86" s="145">
        <f t="shared" si="58"/>
        <v>0</v>
      </c>
      <c r="AO86" s="146"/>
      <c r="AP86" s="147">
        <f t="shared" si="59"/>
        <v>0</v>
      </c>
      <c r="AQ86" s="148"/>
      <c r="AR86" s="149"/>
      <c r="AS86" s="149"/>
      <c r="AT86" s="135"/>
      <c r="AU86" s="150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0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4"/>
      <c r="CD86" s="150"/>
      <c r="CE86" s="142"/>
      <c r="CF86" s="143"/>
      <c r="CG86" s="143"/>
      <c r="CH86" s="143"/>
      <c r="CI86" s="143"/>
      <c r="CJ86" s="143"/>
      <c r="CK86" s="143"/>
      <c r="CL86" s="143"/>
      <c r="CM86" s="143"/>
      <c r="CN86" s="143"/>
      <c r="CO86" s="346"/>
      <c r="CP86" s="151"/>
      <c r="CQ86" s="152"/>
      <c r="CR86" s="154"/>
      <c r="CS86" s="155">
        <f t="shared" si="60"/>
        <v>0</v>
      </c>
      <c r="CT86" s="146"/>
      <c r="CU86" s="147">
        <f t="shared" si="61"/>
        <v>0</v>
      </c>
      <c r="CV86" s="156"/>
      <c r="CW86" s="157" t="e">
        <f t="shared" si="62"/>
        <v>#DIV/0!</v>
      </c>
      <c r="CX86" s="157" t="e">
        <f t="shared" si="63"/>
        <v>#DIV/0!</v>
      </c>
      <c r="CY86" s="157" t="e">
        <f t="shared" si="64"/>
        <v>#DIV/0!</v>
      </c>
      <c r="CZ86" s="157" t="e">
        <f t="shared" si="65"/>
        <v>#DIV/0!</v>
      </c>
      <c r="DA86" s="157" t="e">
        <f t="shared" si="66"/>
        <v>#DIV/0!</v>
      </c>
      <c r="DB86" s="158" t="e">
        <f t="shared" si="67"/>
        <v>#DIV/0!</v>
      </c>
      <c r="DC86" s="131"/>
      <c r="DD86" s="159">
        <f t="shared" si="68"/>
        <v>0</v>
      </c>
      <c r="DE86" s="160">
        <f t="shared" si="69"/>
        <v>0</v>
      </c>
      <c r="DF86" s="161">
        <f t="shared" si="70"/>
        <v>0</v>
      </c>
      <c r="DG86" s="162" t="e">
        <f t="shared" si="71"/>
        <v>#DIV/0!</v>
      </c>
      <c r="DH86" s="163">
        <f t="shared" si="72"/>
        <v>0</v>
      </c>
      <c r="DI86" s="164"/>
      <c r="DJ86" s="165">
        <f t="shared" si="55"/>
        <v>0</v>
      </c>
      <c r="DK86" s="166">
        <f t="shared" si="55"/>
        <v>0</v>
      </c>
      <c r="DL86" s="167" t="e">
        <f t="shared" si="73"/>
        <v>#DIV/0!</v>
      </c>
      <c r="DM86" s="168" t="e">
        <f t="shared" si="74"/>
        <v>#DIV/0!</v>
      </c>
      <c r="DN86" s="163" t="e">
        <f t="shared" si="75"/>
        <v>#DIV/0!</v>
      </c>
      <c r="DO86" s="169"/>
      <c r="DP86" s="170"/>
      <c r="DQ86" s="171"/>
      <c r="DR86" s="172">
        <f t="shared" si="76"/>
        <v>0</v>
      </c>
      <c r="DS86" s="173" t="e">
        <f t="shared" si="77"/>
        <v>#DIV/0!</v>
      </c>
      <c r="DT86" s="163" t="e">
        <f t="shared" si="78"/>
        <v>#DIV/0!</v>
      </c>
      <c r="DU86" s="174"/>
      <c r="DV86" s="175" t="e">
        <f t="shared" si="79"/>
        <v>#DIV/0!</v>
      </c>
      <c r="DW86" s="163">
        <f t="shared" si="80"/>
        <v>0</v>
      </c>
      <c r="DX86" s="164"/>
      <c r="DY86" s="176">
        <f t="shared" si="81"/>
        <v>0</v>
      </c>
      <c r="DZ86" s="177">
        <f t="shared" si="82"/>
        <v>0</v>
      </c>
      <c r="EA86" s="178">
        <f t="shared" si="83"/>
        <v>0</v>
      </c>
      <c r="EB86" s="179">
        <f t="shared" si="84"/>
        <v>0</v>
      </c>
      <c r="EC86" s="180"/>
      <c r="ED86" s="175" t="e">
        <f t="shared" si="85"/>
        <v>#DIV/0!</v>
      </c>
      <c r="EE86" s="163">
        <f t="shared" si="86"/>
        <v>0</v>
      </c>
      <c r="EF86" s="164"/>
      <c r="EG86" s="181">
        <f t="shared" si="87"/>
        <v>0</v>
      </c>
      <c r="EH86" s="182">
        <f t="shared" si="88"/>
        <v>0</v>
      </c>
      <c r="EI86" s="182">
        <f t="shared" ref="EI86:EI88" si="108">SUM(M86:Z86)</f>
        <v>0</v>
      </c>
      <c r="EJ86" s="182">
        <f t="shared" si="90"/>
        <v>0</v>
      </c>
      <c r="EK86" s="183">
        <f t="shared" si="91"/>
        <v>0</v>
      </c>
      <c r="EL86" s="184" t="e">
        <f t="shared" si="92"/>
        <v>#DIV/0!</v>
      </c>
      <c r="EM86" s="185">
        <f t="shared" si="93"/>
        <v>0</v>
      </c>
      <c r="EN86" s="164"/>
      <c r="EO86" s="181">
        <f t="shared" si="94"/>
        <v>0</v>
      </c>
      <c r="EP86" s="183">
        <f t="shared" si="95"/>
        <v>0</v>
      </c>
      <c r="EQ86" s="184" t="e">
        <f t="shared" si="96"/>
        <v>#DIV/0!</v>
      </c>
      <c r="ER86" s="185">
        <f t="shared" si="97"/>
        <v>0</v>
      </c>
      <c r="ES86" s="164"/>
      <c r="ET86" s="164"/>
      <c r="EU86" s="186">
        <f t="shared" si="98"/>
        <v>0</v>
      </c>
      <c r="EV86" s="186">
        <f t="shared" si="99"/>
        <v>0</v>
      </c>
      <c r="EW86" s="186">
        <f t="shared" si="100"/>
        <v>0</v>
      </c>
      <c r="EX86" s="186">
        <f t="shared" si="101"/>
        <v>0</v>
      </c>
      <c r="EY86" s="131"/>
      <c r="EZ86" s="187">
        <f t="shared" si="102"/>
        <v>0</v>
      </c>
      <c r="FA86" s="188" t="e">
        <f t="shared" si="103"/>
        <v>#DIV/0!</v>
      </c>
      <c r="FB86" s="189"/>
      <c r="FC86" s="131"/>
      <c r="FD86" s="131"/>
      <c r="FE86" s="131"/>
      <c r="FF86" s="131"/>
      <c r="FG86" s="131"/>
    </row>
    <row r="87" spans="2:163" ht="16" outlineLevel="1" thickBot="1" x14ac:dyDescent="0.4">
      <c r="B87" s="357"/>
      <c r="C87" s="354"/>
      <c r="D87" s="190"/>
      <c r="E87" s="191"/>
      <c r="F87" s="135"/>
      <c r="G87" s="192"/>
      <c r="H87" s="137"/>
      <c r="I87" s="138">
        <f t="shared" ref="I87:I88" si="109">IF(E87&gt;0.0001,0,0)</f>
        <v>0</v>
      </c>
      <c r="J87" s="139"/>
      <c r="K87" s="193">
        <f t="shared" si="107"/>
        <v>0</v>
      </c>
      <c r="L87" s="141"/>
      <c r="M87" s="194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4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6"/>
      <c r="AN87" s="197">
        <f t="shared" si="58"/>
        <v>0</v>
      </c>
      <c r="AO87" s="146"/>
      <c r="AP87" s="147">
        <f t="shared" si="59"/>
        <v>0</v>
      </c>
      <c r="AQ87" s="148"/>
      <c r="AR87" s="198"/>
      <c r="AS87" s="198"/>
      <c r="AT87" s="135"/>
      <c r="AU87" s="199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1"/>
      <c r="BG87" s="201"/>
      <c r="BH87" s="201"/>
      <c r="BI87" s="201"/>
      <c r="BJ87" s="201"/>
      <c r="BK87" s="201"/>
      <c r="BL87" s="201"/>
      <c r="BM87" s="201"/>
      <c r="BN87" s="201"/>
      <c r="BO87" s="201"/>
      <c r="BP87" s="201"/>
      <c r="BQ87" s="201"/>
      <c r="BR87" s="199"/>
      <c r="BS87" s="200"/>
      <c r="BT87" s="200"/>
      <c r="BU87" s="200"/>
      <c r="BV87" s="200"/>
      <c r="BW87" s="200"/>
      <c r="BX87" s="200"/>
      <c r="BY87" s="200"/>
      <c r="BZ87" s="200"/>
      <c r="CA87" s="200"/>
      <c r="CB87" s="200"/>
      <c r="CC87" s="202"/>
      <c r="CD87" s="199"/>
      <c r="CE87" s="194"/>
      <c r="CF87" s="195"/>
      <c r="CG87" s="195"/>
      <c r="CH87" s="195"/>
      <c r="CI87" s="195"/>
      <c r="CJ87" s="195"/>
      <c r="CK87" s="195"/>
      <c r="CL87" s="195"/>
      <c r="CM87" s="195"/>
      <c r="CN87" s="195"/>
      <c r="CO87" s="347"/>
      <c r="CP87" s="200"/>
      <c r="CQ87" s="201"/>
      <c r="CR87" s="202"/>
      <c r="CS87" s="203">
        <f t="shared" si="60"/>
        <v>0</v>
      </c>
      <c r="CT87" s="146"/>
      <c r="CU87" s="147">
        <f t="shared" si="61"/>
        <v>0</v>
      </c>
      <c r="CV87" s="156"/>
      <c r="CW87" s="157" t="e">
        <f t="shared" si="62"/>
        <v>#DIV/0!</v>
      </c>
      <c r="CX87" s="157" t="e">
        <f t="shared" si="63"/>
        <v>#DIV/0!</v>
      </c>
      <c r="CY87" s="157" t="e">
        <f t="shared" si="64"/>
        <v>#DIV/0!</v>
      </c>
      <c r="CZ87" s="157" t="e">
        <f t="shared" si="65"/>
        <v>#DIV/0!</v>
      </c>
      <c r="DA87" s="157" t="e">
        <f t="shared" si="66"/>
        <v>#DIV/0!</v>
      </c>
      <c r="DB87" s="158" t="e">
        <f t="shared" si="67"/>
        <v>#DIV/0!</v>
      </c>
      <c r="DC87" s="131"/>
      <c r="DD87" s="159">
        <f t="shared" si="68"/>
        <v>0</v>
      </c>
      <c r="DE87" s="160">
        <f t="shared" si="69"/>
        <v>0</v>
      </c>
      <c r="DF87" s="161">
        <f t="shared" si="70"/>
        <v>0</v>
      </c>
      <c r="DG87" s="162" t="e">
        <f t="shared" si="71"/>
        <v>#DIV/0!</v>
      </c>
      <c r="DH87" s="163">
        <f t="shared" si="72"/>
        <v>0</v>
      </c>
      <c r="DI87" s="164"/>
      <c r="DJ87" s="165">
        <f t="shared" si="55"/>
        <v>0</v>
      </c>
      <c r="DK87" s="166">
        <f t="shared" si="55"/>
        <v>0</v>
      </c>
      <c r="DL87" s="167" t="e">
        <f t="shared" si="73"/>
        <v>#DIV/0!</v>
      </c>
      <c r="DM87" s="168" t="e">
        <f t="shared" si="74"/>
        <v>#DIV/0!</v>
      </c>
      <c r="DN87" s="163" t="e">
        <f t="shared" si="75"/>
        <v>#DIV/0!</v>
      </c>
      <c r="DO87" s="169"/>
      <c r="DP87" s="170"/>
      <c r="DQ87" s="171"/>
      <c r="DR87" s="172">
        <f t="shared" si="76"/>
        <v>0</v>
      </c>
      <c r="DS87" s="173" t="e">
        <f t="shared" si="77"/>
        <v>#DIV/0!</v>
      </c>
      <c r="DT87" s="163" t="e">
        <f t="shared" si="78"/>
        <v>#DIV/0!</v>
      </c>
      <c r="DU87" s="174"/>
      <c r="DV87" s="175" t="e">
        <f t="shared" si="79"/>
        <v>#DIV/0!</v>
      </c>
      <c r="DW87" s="163">
        <f t="shared" si="80"/>
        <v>0</v>
      </c>
      <c r="DX87" s="164"/>
      <c r="DY87" s="176">
        <f t="shared" si="81"/>
        <v>0</v>
      </c>
      <c r="DZ87" s="177">
        <f t="shared" si="82"/>
        <v>0</v>
      </c>
      <c r="EA87" s="178">
        <f t="shared" si="83"/>
        <v>0</v>
      </c>
      <c r="EB87" s="179">
        <f t="shared" si="84"/>
        <v>0</v>
      </c>
      <c r="EC87" s="180"/>
      <c r="ED87" s="175" t="e">
        <f t="shared" si="85"/>
        <v>#DIV/0!</v>
      </c>
      <c r="EE87" s="163">
        <f t="shared" si="86"/>
        <v>0</v>
      </c>
      <c r="EF87" s="164"/>
      <c r="EG87" s="181">
        <f t="shared" si="87"/>
        <v>0</v>
      </c>
      <c r="EH87" s="182">
        <f t="shared" si="88"/>
        <v>0</v>
      </c>
      <c r="EI87" s="182">
        <f t="shared" si="108"/>
        <v>0</v>
      </c>
      <c r="EJ87" s="182">
        <f t="shared" si="90"/>
        <v>0</v>
      </c>
      <c r="EK87" s="183">
        <f t="shared" si="91"/>
        <v>0</v>
      </c>
      <c r="EL87" s="184" t="e">
        <f t="shared" si="92"/>
        <v>#DIV/0!</v>
      </c>
      <c r="EM87" s="185">
        <f t="shared" si="93"/>
        <v>0</v>
      </c>
      <c r="EN87" s="164"/>
      <c r="EO87" s="181">
        <f t="shared" si="94"/>
        <v>0</v>
      </c>
      <c r="EP87" s="183">
        <f t="shared" si="95"/>
        <v>0</v>
      </c>
      <c r="EQ87" s="184" t="e">
        <f t="shared" si="96"/>
        <v>#DIV/0!</v>
      </c>
      <c r="ER87" s="185">
        <f t="shared" si="97"/>
        <v>0</v>
      </c>
      <c r="ES87" s="164"/>
      <c r="ET87" s="164"/>
      <c r="EU87" s="186">
        <f t="shared" si="98"/>
        <v>0</v>
      </c>
      <c r="EV87" s="186">
        <f t="shared" si="99"/>
        <v>0</v>
      </c>
      <c r="EW87" s="186">
        <f t="shared" si="100"/>
        <v>0</v>
      </c>
      <c r="EX87" s="186">
        <f t="shared" si="101"/>
        <v>0</v>
      </c>
      <c r="EY87" s="131"/>
      <c r="EZ87" s="187">
        <f t="shared" si="102"/>
        <v>0</v>
      </c>
      <c r="FA87" s="188" t="e">
        <f t="shared" si="103"/>
        <v>#DIV/0!</v>
      </c>
      <c r="FB87" s="189"/>
      <c r="FC87" s="131"/>
      <c r="FD87" s="131"/>
      <c r="FE87" s="131"/>
      <c r="FF87" s="131"/>
      <c r="FG87" s="131"/>
    </row>
    <row r="88" spans="2:163" ht="16" outlineLevel="1" thickBot="1" x14ac:dyDescent="0.4">
      <c r="B88" s="358"/>
      <c r="C88" s="355"/>
      <c r="D88" s="204"/>
      <c r="E88" s="205"/>
      <c r="F88" s="135"/>
      <c r="G88" s="206"/>
      <c r="H88" s="207"/>
      <c r="I88" s="138">
        <f t="shared" si="109"/>
        <v>0</v>
      </c>
      <c r="J88" s="139"/>
      <c r="K88" s="208">
        <f t="shared" si="107"/>
        <v>0</v>
      </c>
      <c r="L88" s="141"/>
      <c r="M88" s="209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09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1"/>
      <c r="AN88" s="212">
        <f t="shared" si="58"/>
        <v>0</v>
      </c>
      <c r="AO88" s="146"/>
      <c r="AP88" s="147">
        <f t="shared" si="59"/>
        <v>0</v>
      </c>
      <c r="AQ88" s="148"/>
      <c r="AR88" s="213"/>
      <c r="AS88" s="213"/>
      <c r="AT88" s="135"/>
      <c r="AU88" s="214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6"/>
      <c r="BG88" s="216"/>
      <c r="BH88" s="216"/>
      <c r="BI88" s="216"/>
      <c r="BJ88" s="216"/>
      <c r="BK88" s="216"/>
      <c r="BL88" s="216"/>
      <c r="BM88" s="216"/>
      <c r="BN88" s="216"/>
      <c r="BO88" s="216"/>
      <c r="BP88" s="216"/>
      <c r="BQ88" s="216"/>
      <c r="BR88" s="214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7"/>
      <c r="CD88" s="214"/>
      <c r="CE88" s="209"/>
      <c r="CF88" s="210"/>
      <c r="CG88" s="210"/>
      <c r="CH88" s="210"/>
      <c r="CI88" s="210"/>
      <c r="CJ88" s="210"/>
      <c r="CK88" s="210"/>
      <c r="CL88" s="210"/>
      <c r="CM88" s="210"/>
      <c r="CN88" s="210"/>
      <c r="CO88" s="348"/>
      <c r="CP88" s="215"/>
      <c r="CQ88" s="216"/>
      <c r="CR88" s="217"/>
      <c r="CS88" s="218">
        <f t="shared" si="60"/>
        <v>0</v>
      </c>
      <c r="CT88" s="146"/>
      <c r="CU88" s="147">
        <f t="shared" si="61"/>
        <v>0</v>
      </c>
      <c r="CV88" s="156"/>
      <c r="CW88" s="157" t="e">
        <f t="shared" si="62"/>
        <v>#DIV/0!</v>
      </c>
      <c r="CX88" s="157" t="e">
        <f t="shared" si="63"/>
        <v>#DIV/0!</v>
      </c>
      <c r="CY88" s="157" t="e">
        <f t="shared" si="64"/>
        <v>#DIV/0!</v>
      </c>
      <c r="CZ88" s="157" t="e">
        <f t="shared" si="65"/>
        <v>#DIV/0!</v>
      </c>
      <c r="DA88" s="157" t="e">
        <f t="shared" si="66"/>
        <v>#DIV/0!</v>
      </c>
      <c r="DB88" s="158" t="e">
        <f t="shared" si="67"/>
        <v>#DIV/0!</v>
      </c>
      <c r="DC88" s="131"/>
      <c r="DD88" s="159">
        <f t="shared" si="68"/>
        <v>0</v>
      </c>
      <c r="DE88" s="160">
        <f t="shared" si="69"/>
        <v>0</v>
      </c>
      <c r="DF88" s="161">
        <f t="shared" si="70"/>
        <v>0</v>
      </c>
      <c r="DG88" s="162" t="e">
        <f t="shared" si="71"/>
        <v>#DIV/0!</v>
      </c>
      <c r="DH88" s="163">
        <f t="shared" si="72"/>
        <v>0</v>
      </c>
      <c r="DI88" s="164"/>
      <c r="DJ88" s="165">
        <f t="shared" si="55"/>
        <v>0</v>
      </c>
      <c r="DK88" s="166">
        <f t="shared" si="55"/>
        <v>0</v>
      </c>
      <c r="DL88" s="167" t="e">
        <f t="shared" si="73"/>
        <v>#DIV/0!</v>
      </c>
      <c r="DM88" s="168" t="e">
        <f t="shared" si="74"/>
        <v>#DIV/0!</v>
      </c>
      <c r="DN88" s="163" t="e">
        <f t="shared" si="75"/>
        <v>#DIV/0!</v>
      </c>
      <c r="DO88" s="169"/>
      <c r="DP88" s="170"/>
      <c r="DQ88" s="171"/>
      <c r="DR88" s="172">
        <f t="shared" si="76"/>
        <v>0</v>
      </c>
      <c r="DS88" s="173" t="e">
        <f t="shared" si="77"/>
        <v>#DIV/0!</v>
      </c>
      <c r="DT88" s="163" t="e">
        <f t="shared" si="78"/>
        <v>#DIV/0!</v>
      </c>
      <c r="DU88" s="174"/>
      <c r="DV88" s="175" t="e">
        <f t="shared" si="79"/>
        <v>#DIV/0!</v>
      </c>
      <c r="DW88" s="163">
        <f t="shared" si="80"/>
        <v>0</v>
      </c>
      <c r="DX88" s="164"/>
      <c r="DY88" s="176">
        <f t="shared" si="81"/>
        <v>0</v>
      </c>
      <c r="DZ88" s="177">
        <f t="shared" si="82"/>
        <v>0</v>
      </c>
      <c r="EA88" s="178">
        <f t="shared" si="83"/>
        <v>0</v>
      </c>
      <c r="EB88" s="179">
        <f t="shared" si="84"/>
        <v>0</v>
      </c>
      <c r="EC88" s="180"/>
      <c r="ED88" s="175" t="e">
        <f t="shared" si="85"/>
        <v>#DIV/0!</v>
      </c>
      <c r="EE88" s="163">
        <f t="shared" si="86"/>
        <v>0</v>
      </c>
      <c r="EF88" s="164"/>
      <c r="EG88" s="181">
        <f t="shared" si="87"/>
        <v>0</v>
      </c>
      <c r="EH88" s="182">
        <f t="shared" si="88"/>
        <v>0</v>
      </c>
      <c r="EI88" s="182">
        <f t="shared" si="108"/>
        <v>0</v>
      </c>
      <c r="EJ88" s="182">
        <f t="shared" si="90"/>
        <v>0</v>
      </c>
      <c r="EK88" s="183">
        <f t="shared" si="91"/>
        <v>0</v>
      </c>
      <c r="EL88" s="184" t="e">
        <f t="shared" si="92"/>
        <v>#DIV/0!</v>
      </c>
      <c r="EM88" s="185">
        <f t="shared" si="93"/>
        <v>0</v>
      </c>
      <c r="EN88" s="164"/>
      <c r="EO88" s="181">
        <f t="shared" si="94"/>
        <v>0</v>
      </c>
      <c r="EP88" s="183">
        <f t="shared" si="95"/>
        <v>0</v>
      </c>
      <c r="EQ88" s="184" t="e">
        <f t="shared" si="96"/>
        <v>#DIV/0!</v>
      </c>
      <c r="ER88" s="185">
        <f t="shared" si="97"/>
        <v>0</v>
      </c>
      <c r="ES88" s="164"/>
      <c r="ET88" s="164"/>
      <c r="EU88" s="186">
        <f t="shared" si="98"/>
        <v>0</v>
      </c>
      <c r="EV88" s="186">
        <f t="shared" si="99"/>
        <v>0</v>
      </c>
      <c r="EW88" s="186">
        <f t="shared" si="100"/>
        <v>0</v>
      </c>
      <c r="EX88" s="186">
        <f t="shared" si="101"/>
        <v>0</v>
      </c>
      <c r="EY88" s="131"/>
      <c r="EZ88" s="187">
        <f t="shared" si="102"/>
        <v>0</v>
      </c>
      <c r="FA88" s="188" t="e">
        <f t="shared" si="103"/>
        <v>#DIV/0!</v>
      </c>
      <c r="FB88" s="189"/>
      <c r="FC88" s="131"/>
      <c r="FD88" s="131"/>
      <c r="FE88" s="131"/>
      <c r="FF88" s="131"/>
      <c r="FG88" s="131"/>
    </row>
    <row r="89" spans="2:163" ht="16" outlineLevel="1" thickBot="1" x14ac:dyDescent="0.4">
      <c r="B89" s="356"/>
      <c r="C89" s="353"/>
      <c r="D89" s="133"/>
      <c r="E89" s="134"/>
      <c r="F89" s="135"/>
      <c r="G89" s="136"/>
      <c r="H89" s="137"/>
      <c r="I89" s="138">
        <f>IF(E89&gt;0.0001,9.4,0)</f>
        <v>0</v>
      </c>
      <c r="J89" s="139"/>
      <c r="K89" s="140">
        <f t="shared" si="107"/>
        <v>0</v>
      </c>
      <c r="L89" s="141"/>
      <c r="M89" s="142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2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4"/>
      <c r="AN89" s="145">
        <f t="shared" si="58"/>
        <v>0</v>
      </c>
      <c r="AO89" s="146"/>
      <c r="AP89" s="147">
        <f t="shared" si="59"/>
        <v>0</v>
      </c>
      <c r="AQ89" s="148"/>
      <c r="AR89" s="149"/>
      <c r="AS89" s="149"/>
      <c r="AT89" s="135"/>
      <c r="AU89" s="150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0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4"/>
      <c r="CD89" s="150"/>
      <c r="CE89" s="142"/>
      <c r="CF89" s="143"/>
      <c r="CG89" s="143"/>
      <c r="CH89" s="143"/>
      <c r="CI89" s="143"/>
      <c r="CJ89" s="143"/>
      <c r="CK89" s="143"/>
      <c r="CL89" s="143"/>
      <c r="CM89" s="143"/>
      <c r="CN89" s="143"/>
      <c r="CO89" s="346"/>
      <c r="CP89" s="151"/>
      <c r="CQ89" s="152"/>
      <c r="CR89" s="154"/>
      <c r="CS89" s="155">
        <f t="shared" si="60"/>
        <v>0</v>
      </c>
      <c r="CT89" s="146"/>
      <c r="CU89" s="147">
        <f t="shared" si="61"/>
        <v>0</v>
      </c>
      <c r="CV89" s="156"/>
      <c r="CW89" s="157" t="e">
        <f t="shared" si="62"/>
        <v>#DIV/0!</v>
      </c>
      <c r="CX89" s="157" t="e">
        <f t="shared" si="63"/>
        <v>#DIV/0!</v>
      </c>
      <c r="CY89" s="157" t="e">
        <f t="shared" si="64"/>
        <v>#DIV/0!</v>
      </c>
      <c r="CZ89" s="157" t="e">
        <f t="shared" si="65"/>
        <v>#DIV/0!</v>
      </c>
      <c r="DA89" s="157" t="e">
        <f t="shared" si="66"/>
        <v>#DIV/0!</v>
      </c>
      <c r="DB89" s="158" t="e">
        <f t="shared" si="67"/>
        <v>#DIV/0!</v>
      </c>
      <c r="DC89" s="131"/>
      <c r="DD89" s="159">
        <f t="shared" si="68"/>
        <v>0</v>
      </c>
      <c r="DE89" s="160">
        <f t="shared" si="69"/>
        <v>0</v>
      </c>
      <c r="DF89" s="161">
        <f t="shared" si="70"/>
        <v>0</v>
      </c>
      <c r="DG89" s="162" t="e">
        <f t="shared" si="71"/>
        <v>#DIV/0!</v>
      </c>
      <c r="DH89" s="163">
        <f t="shared" si="72"/>
        <v>0</v>
      </c>
      <c r="DI89" s="164"/>
      <c r="DJ89" s="165">
        <f t="shared" si="55"/>
        <v>0</v>
      </c>
      <c r="DK89" s="166">
        <f t="shared" si="55"/>
        <v>0</v>
      </c>
      <c r="DL89" s="167" t="e">
        <f t="shared" si="73"/>
        <v>#DIV/0!</v>
      </c>
      <c r="DM89" s="168" t="e">
        <f t="shared" si="74"/>
        <v>#DIV/0!</v>
      </c>
      <c r="DN89" s="163" t="e">
        <f t="shared" si="75"/>
        <v>#DIV/0!</v>
      </c>
      <c r="DO89" s="169"/>
      <c r="DP89" s="170"/>
      <c r="DQ89" s="171"/>
      <c r="DR89" s="172">
        <f t="shared" si="76"/>
        <v>0</v>
      </c>
      <c r="DS89" s="173" t="e">
        <f t="shared" si="77"/>
        <v>#DIV/0!</v>
      </c>
      <c r="DT89" s="163" t="e">
        <f t="shared" si="78"/>
        <v>#DIV/0!</v>
      </c>
      <c r="DU89" s="174"/>
      <c r="DV89" s="175" t="e">
        <f t="shared" si="79"/>
        <v>#DIV/0!</v>
      </c>
      <c r="DW89" s="163">
        <f t="shared" si="80"/>
        <v>0</v>
      </c>
      <c r="DX89" s="164"/>
      <c r="DY89" s="176">
        <f t="shared" si="81"/>
        <v>0</v>
      </c>
      <c r="DZ89" s="177">
        <f t="shared" si="82"/>
        <v>0</v>
      </c>
      <c r="EA89" s="178">
        <f t="shared" si="83"/>
        <v>0</v>
      </c>
      <c r="EB89" s="179">
        <f t="shared" si="84"/>
        <v>0</v>
      </c>
      <c r="EC89" s="180"/>
      <c r="ED89" s="175" t="e">
        <f t="shared" si="85"/>
        <v>#DIV/0!</v>
      </c>
      <c r="EE89" s="163">
        <f t="shared" si="86"/>
        <v>0</v>
      </c>
      <c r="EF89" s="164"/>
      <c r="EG89" s="181">
        <f t="shared" si="87"/>
        <v>0</v>
      </c>
      <c r="EH89" s="182">
        <f t="shared" si="88"/>
        <v>0</v>
      </c>
      <c r="EI89" s="182">
        <f t="shared" si="89"/>
        <v>0</v>
      </c>
      <c r="EJ89" s="182">
        <f t="shared" si="90"/>
        <v>0</v>
      </c>
      <c r="EK89" s="183">
        <f t="shared" si="91"/>
        <v>0</v>
      </c>
      <c r="EL89" s="184" t="e">
        <f t="shared" si="92"/>
        <v>#DIV/0!</v>
      </c>
      <c r="EM89" s="185">
        <f t="shared" si="93"/>
        <v>0</v>
      </c>
      <c r="EN89" s="164"/>
      <c r="EO89" s="181">
        <f t="shared" si="94"/>
        <v>0</v>
      </c>
      <c r="EP89" s="183">
        <f t="shared" si="95"/>
        <v>0</v>
      </c>
      <c r="EQ89" s="184" t="e">
        <f t="shared" si="96"/>
        <v>#DIV/0!</v>
      </c>
      <c r="ER89" s="185">
        <f t="shared" si="97"/>
        <v>0</v>
      </c>
      <c r="ES89" s="164"/>
      <c r="ET89" s="164"/>
      <c r="EU89" s="186">
        <f t="shared" si="98"/>
        <v>0</v>
      </c>
      <c r="EV89" s="186">
        <f t="shared" si="99"/>
        <v>0</v>
      </c>
      <c r="EW89" s="186">
        <f t="shared" si="100"/>
        <v>0</v>
      </c>
      <c r="EX89" s="186">
        <f t="shared" si="101"/>
        <v>0</v>
      </c>
      <c r="EY89" s="131"/>
      <c r="EZ89" s="187">
        <f t="shared" si="102"/>
        <v>0</v>
      </c>
      <c r="FA89" s="188" t="e">
        <f t="shared" si="103"/>
        <v>#DIV/0!</v>
      </c>
      <c r="FB89" s="189"/>
      <c r="FC89" s="131"/>
      <c r="FD89" s="131"/>
      <c r="FE89" s="131"/>
      <c r="FF89" s="131"/>
      <c r="FG89" s="131"/>
    </row>
    <row r="90" spans="2:163" ht="16" outlineLevel="1" thickBot="1" x14ac:dyDescent="0.4">
      <c r="B90" s="357"/>
      <c r="C90" s="354"/>
      <c r="D90" s="190"/>
      <c r="E90" s="191"/>
      <c r="F90" s="135"/>
      <c r="G90" s="192"/>
      <c r="H90" s="137"/>
      <c r="I90" s="138">
        <f t="shared" ref="I90:I91" si="110">IF(E90&gt;0.0001,0,0)</f>
        <v>0</v>
      </c>
      <c r="J90" s="139"/>
      <c r="K90" s="193">
        <f t="shared" si="107"/>
        <v>0</v>
      </c>
      <c r="L90" s="141"/>
      <c r="M90" s="194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4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6"/>
      <c r="AN90" s="197">
        <f t="shared" si="58"/>
        <v>0</v>
      </c>
      <c r="AO90" s="146"/>
      <c r="AP90" s="147">
        <f t="shared" si="59"/>
        <v>0</v>
      </c>
      <c r="AQ90" s="148"/>
      <c r="AR90" s="198"/>
      <c r="AS90" s="198"/>
      <c r="AT90" s="135"/>
      <c r="AU90" s="199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199"/>
      <c r="BS90" s="200"/>
      <c r="BT90" s="200"/>
      <c r="BU90" s="200"/>
      <c r="BV90" s="200"/>
      <c r="BW90" s="200"/>
      <c r="BX90" s="200"/>
      <c r="BY90" s="200"/>
      <c r="BZ90" s="200"/>
      <c r="CA90" s="200"/>
      <c r="CB90" s="200"/>
      <c r="CC90" s="202"/>
      <c r="CD90" s="199"/>
      <c r="CE90" s="194"/>
      <c r="CF90" s="195"/>
      <c r="CG90" s="195"/>
      <c r="CH90" s="195"/>
      <c r="CI90" s="195"/>
      <c r="CJ90" s="195"/>
      <c r="CK90" s="195"/>
      <c r="CL90" s="195"/>
      <c r="CM90" s="195"/>
      <c r="CN90" s="195"/>
      <c r="CO90" s="347"/>
      <c r="CP90" s="200"/>
      <c r="CQ90" s="201"/>
      <c r="CR90" s="202"/>
      <c r="CS90" s="203">
        <f t="shared" si="60"/>
        <v>0</v>
      </c>
      <c r="CT90" s="146"/>
      <c r="CU90" s="147">
        <f t="shared" si="61"/>
        <v>0</v>
      </c>
      <c r="CV90" s="156"/>
      <c r="CW90" s="157" t="e">
        <f t="shared" si="62"/>
        <v>#DIV/0!</v>
      </c>
      <c r="CX90" s="157" t="e">
        <f t="shared" si="63"/>
        <v>#DIV/0!</v>
      </c>
      <c r="CY90" s="157" t="e">
        <f t="shared" si="64"/>
        <v>#DIV/0!</v>
      </c>
      <c r="CZ90" s="157" t="e">
        <f t="shared" si="65"/>
        <v>#DIV/0!</v>
      </c>
      <c r="DA90" s="157" t="e">
        <f t="shared" si="66"/>
        <v>#DIV/0!</v>
      </c>
      <c r="DB90" s="158" t="e">
        <f t="shared" si="67"/>
        <v>#DIV/0!</v>
      </c>
      <c r="DC90" s="131"/>
      <c r="DD90" s="159">
        <f t="shared" si="68"/>
        <v>0</v>
      </c>
      <c r="DE90" s="160">
        <f t="shared" si="69"/>
        <v>0</v>
      </c>
      <c r="DF90" s="161">
        <f t="shared" si="70"/>
        <v>0</v>
      </c>
      <c r="DG90" s="162" t="e">
        <f t="shared" si="71"/>
        <v>#DIV/0!</v>
      </c>
      <c r="DH90" s="163">
        <f t="shared" si="72"/>
        <v>0</v>
      </c>
      <c r="DI90" s="164"/>
      <c r="DJ90" s="165">
        <f t="shared" si="55"/>
        <v>0</v>
      </c>
      <c r="DK90" s="166">
        <f t="shared" si="55"/>
        <v>0</v>
      </c>
      <c r="DL90" s="167" t="e">
        <f t="shared" si="73"/>
        <v>#DIV/0!</v>
      </c>
      <c r="DM90" s="168" t="e">
        <f t="shared" si="74"/>
        <v>#DIV/0!</v>
      </c>
      <c r="DN90" s="163" t="e">
        <f t="shared" si="75"/>
        <v>#DIV/0!</v>
      </c>
      <c r="DO90" s="169"/>
      <c r="DP90" s="170"/>
      <c r="DQ90" s="171"/>
      <c r="DR90" s="172">
        <f t="shared" si="76"/>
        <v>0</v>
      </c>
      <c r="DS90" s="173" t="e">
        <f t="shared" si="77"/>
        <v>#DIV/0!</v>
      </c>
      <c r="DT90" s="163" t="e">
        <f t="shared" si="78"/>
        <v>#DIV/0!</v>
      </c>
      <c r="DU90" s="174"/>
      <c r="DV90" s="175" t="e">
        <f t="shared" si="79"/>
        <v>#DIV/0!</v>
      </c>
      <c r="DW90" s="163">
        <f t="shared" si="80"/>
        <v>0</v>
      </c>
      <c r="DX90" s="164"/>
      <c r="DY90" s="176">
        <f t="shared" si="81"/>
        <v>0</v>
      </c>
      <c r="DZ90" s="177">
        <f t="shared" si="82"/>
        <v>0</v>
      </c>
      <c r="EA90" s="178">
        <f t="shared" si="83"/>
        <v>0</v>
      </c>
      <c r="EB90" s="179">
        <f t="shared" si="84"/>
        <v>0</v>
      </c>
      <c r="EC90" s="180"/>
      <c r="ED90" s="175" t="e">
        <f t="shared" si="85"/>
        <v>#DIV/0!</v>
      </c>
      <c r="EE90" s="163">
        <f t="shared" si="86"/>
        <v>0</v>
      </c>
      <c r="EF90" s="164"/>
      <c r="EG90" s="181">
        <f t="shared" si="87"/>
        <v>0</v>
      </c>
      <c r="EH90" s="182">
        <f t="shared" si="88"/>
        <v>0</v>
      </c>
      <c r="EI90" s="182">
        <f t="shared" si="89"/>
        <v>0</v>
      </c>
      <c r="EJ90" s="182">
        <f t="shared" si="90"/>
        <v>0</v>
      </c>
      <c r="EK90" s="183">
        <f t="shared" si="91"/>
        <v>0</v>
      </c>
      <c r="EL90" s="184" t="e">
        <f t="shared" si="92"/>
        <v>#DIV/0!</v>
      </c>
      <c r="EM90" s="185">
        <f t="shared" si="93"/>
        <v>0</v>
      </c>
      <c r="EN90" s="164"/>
      <c r="EO90" s="181">
        <f t="shared" si="94"/>
        <v>0</v>
      </c>
      <c r="EP90" s="183">
        <f t="shared" si="95"/>
        <v>0</v>
      </c>
      <c r="EQ90" s="184" t="e">
        <f t="shared" si="96"/>
        <v>#DIV/0!</v>
      </c>
      <c r="ER90" s="185">
        <f t="shared" si="97"/>
        <v>0</v>
      </c>
      <c r="ES90" s="164"/>
      <c r="ET90" s="164"/>
      <c r="EU90" s="186">
        <f t="shared" si="98"/>
        <v>0</v>
      </c>
      <c r="EV90" s="186">
        <f t="shared" si="99"/>
        <v>0</v>
      </c>
      <c r="EW90" s="186">
        <f t="shared" si="100"/>
        <v>0</v>
      </c>
      <c r="EX90" s="186">
        <f t="shared" si="101"/>
        <v>0</v>
      </c>
      <c r="EY90" s="131"/>
      <c r="EZ90" s="187">
        <f t="shared" si="102"/>
        <v>0</v>
      </c>
      <c r="FA90" s="188" t="e">
        <f t="shared" si="103"/>
        <v>#DIV/0!</v>
      </c>
      <c r="FB90" s="189"/>
      <c r="FC90" s="131"/>
      <c r="FD90" s="131"/>
      <c r="FE90" s="131"/>
      <c r="FF90" s="131"/>
      <c r="FG90" s="131"/>
    </row>
    <row r="91" spans="2:163" ht="16" outlineLevel="1" thickBot="1" x14ac:dyDescent="0.4">
      <c r="B91" s="358"/>
      <c r="C91" s="355"/>
      <c r="D91" s="204"/>
      <c r="E91" s="205"/>
      <c r="F91" s="135"/>
      <c r="G91" s="206"/>
      <c r="H91" s="207"/>
      <c r="I91" s="138">
        <f t="shared" si="110"/>
        <v>0</v>
      </c>
      <c r="J91" s="139"/>
      <c r="K91" s="208">
        <f t="shared" si="107"/>
        <v>0</v>
      </c>
      <c r="L91" s="141"/>
      <c r="M91" s="209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09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1"/>
      <c r="AN91" s="212">
        <f t="shared" si="58"/>
        <v>0</v>
      </c>
      <c r="AO91" s="146"/>
      <c r="AP91" s="147">
        <f t="shared" si="59"/>
        <v>0</v>
      </c>
      <c r="AQ91" s="148"/>
      <c r="AR91" s="213"/>
      <c r="AS91" s="213"/>
      <c r="AT91" s="135"/>
      <c r="AU91" s="214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4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7"/>
      <c r="CD91" s="214"/>
      <c r="CE91" s="209"/>
      <c r="CF91" s="210"/>
      <c r="CG91" s="210"/>
      <c r="CH91" s="210"/>
      <c r="CI91" s="210"/>
      <c r="CJ91" s="210"/>
      <c r="CK91" s="210"/>
      <c r="CL91" s="210"/>
      <c r="CM91" s="210"/>
      <c r="CN91" s="210"/>
      <c r="CO91" s="348"/>
      <c r="CP91" s="215"/>
      <c r="CQ91" s="216"/>
      <c r="CR91" s="217"/>
      <c r="CS91" s="218">
        <f t="shared" si="60"/>
        <v>0</v>
      </c>
      <c r="CT91" s="146"/>
      <c r="CU91" s="147">
        <f t="shared" si="61"/>
        <v>0</v>
      </c>
      <c r="CV91" s="156"/>
      <c r="CW91" s="157" t="e">
        <f t="shared" si="62"/>
        <v>#DIV/0!</v>
      </c>
      <c r="CX91" s="157" t="e">
        <f t="shared" si="63"/>
        <v>#DIV/0!</v>
      </c>
      <c r="CY91" s="157" t="e">
        <f t="shared" si="64"/>
        <v>#DIV/0!</v>
      </c>
      <c r="CZ91" s="157" t="e">
        <f t="shared" si="65"/>
        <v>#DIV/0!</v>
      </c>
      <c r="DA91" s="157" t="e">
        <f t="shared" si="66"/>
        <v>#DIV/0!</v>
      </c>
      <c r="DB91" s="158" t="e">
        <f t="shared" si="67"/>
        <v>#DIV/0!</v>
      </c>
      <c r="DC91" s="131"/>
      <c r="DD91" s="159">
        <f t="shared" si="68"/>
        <v>0</v>
      </c>
      <c r="DE91" s="160">
        <f t="shared" si="69"/>
        <v>0</v>
      </c>
      <c r="DF91" s="161">
        <f t="shared" si="70"/>
        <v>0</v>
      </c>
      <c r="DG91" s="162" t="e">
        <f t="shared" si="71"/>
        <v>#DIV/0!</v>
      </c>
      <c r="DH91" s="163">
        <f t="shared" si="72"/>
        <v>0</v>
      </c>
      <c r="DI91" s="164"/>
      <c r="DJ91" s="165">
        <f t="shared" si="55"/>
        <v>0</v>
      </c>
      <c r="DK91" s="166">
        <f t="shared" si="55"/>
        <v>0</v>
      </c>
      <c r="DL91" s="167" t="e">
        <f t="shared" si="73"/>
        <v>#DIV/0!</v>
      </c>
      <c r="DM91" s="168" t="e">
        <f t="shared" si="74"/>
        <v>#DIV/0!</v>
      </c>
      <c r="DN91" s="163" t="e">
        <f t="shared" si="75"/>
        <v>#DIV/0!</v>
      </c>
      <c r="DO91" s="169"/>
      <c r="DP91" s="170"/>
      <c r="DQ91" s="171"/>
      <c r="DR91" s="172">
        <f t="shared" si="76"/>
        <v>0</v>
      </c>
      <c r="DS91" s="173" t="e">
        <f t="shared" si="77"/>
        <v>#DIV/0!</v>
      </c>
      <c r="DT91" s="163" t="e">
        <f t="shared" si="78"/>
        <v>#DIV/0!</v>
      </c>
      <c r="DU91" s="174"/>
      <c r="DV91" s="175" t="e">
        <f t="shared" si="79"/>
        <v>#DIV/0!</v>
      </c>
      <c r="DW91" s="163">
        <f t="shared" si="80"/>
        <v>0</v>
      </c>
      <c r="DX91" s="164"/>
      <c r="DY91" s="176">
        <f t="shared" si="81"/>
        <v>0</v>
      </c>
      <c r="DZ91" s="177">
        <f t="shared" si="82"/>
        <v>0</v>
      </c>
      <c r="EA91" s="178">
        <f t="shared" si="83"/>
        <v>0</v>
      </c>
      <c r="EB91" s="179">
        <f t="shared" si="84"/>
        <v>0</v>
      </c>
      <c r="EC91" s="180"/>
      <c r="ED91" s="175" t="e">
        <f t="shared" si="85"/>
        <v>#DIV/0!</v>
      </c>
      <c r="EE91" s="163">
        <f t="shared" si="86"/>
        <v>0</v>
      </c>
      <c r="EF91" s="164"/>
      <c r="EG91" s="181">
        <f t="shared" si="87"/>
        <v>0</v>
      </c>
      <c r="EH91" s="182">
        <f t="shared" si="88"/>
        <v>0</v>
      </c>
      <c r="EI91" s="182">
        <f t="shared" si="89"/>
        <v>0</v>
      </c>
      <c r="EJ91" s="182">
        <f t="shared" si="90"/>
        <v>0</v>
      </c>
      <c r="EK91" s="183">
        <f t="shared" si="91"/>
        <v>0</v>
      </c>
      <c r="EL91" s="184" t="e">
        <f t="shared" si="92"/>
        <v>#DIV/0!</v>
      </c>
      <c r="EM91" s="185">
        <f t="shared" si="93"/>
        <v>0</v>
      </c>
      <c r="EN91" s="164"/>
      <c r="EO91" s="181">
        <f t="shared" si="94"/>
        <v>0</v>
      </c>
      <c r="EP91" s="183">
        <f t="shared" si="95"/>
        <v>0</v>
      </c>
      <c r="EQ91" s="184" t="e">
        <f t="shared" si="96"/>
        <v>#DIV/0!</v>
      </c>
      <c r="ER91" s="185">
        <f t="shared" si="97"/>
        <v>0</v>
      </c>
      <c r="ES91" s="164"/>
      <c r="ET91" s="164"/>
      <c r="EU91" s="186">
        <f t="shared" si="98"/>
        <v>0</v>
      </c>
      <c r="EV91" s="186">
        <f t="shared" si="99"/>
        <v>0</v>
      </c>
      <c r="EW91" s="186">
        <f t="shared" si="100"/>
        <v>0</v>
      </c>
      <c r="EX91" s="186">
        <f t="shared" si="101"/>
        <v>0</v>
      </c>
      <c r="EY91" s="131"/>
      <c r="EZ91" s="187">
        <f t="shared" si="102"/>
        <v>0</v>
      </c>
      <c r="FA91" s="188" t="e">
        <f t="shared" si="103"/>
        <v>#DIV/0!</v>
      </c>
      <c r="FB91" s="189"/>
      <c r="FC91" s="131"/>
      <c r="FD91" s="131"/>
      <c r="FE91" s="131"/>
      <c r="FF91" s="131"/>
      <c r="FG91" s="131"/>
    </row>
    <row r="92" spans="2:163" ht="16" outlineLevel="1" thickBot="1" x14ac:dyDescent="0.4">
      <c r="B92" s="356"/>
      <c r="C92" s="353"/>
      <c r="D92" s="133"/>
      <c r="E92" s="134"/>
      <c r="F92" s="135"/>
      <c r="G92" s="136"/>
      <c r="H92" s="137"/>
      <c r="I92" s="138">
        <f>IF(E92&gt;0.0001,9.4,0)</f>
        <v>0</v>
      </c>
      <c r="J92" s="139"/>
      <c r="K92" s="140">
        <f t="shared" si="107"/>
        <v>0</v>
      </c>
      <c r="L92" s="141"/>
      <c r="M92" s="142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2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4"/>
      <c r="AN92" s="145">
        <f t="shared" si="58"/>
        <v>0</v>
      </c>
      <c r="AO92" s="146"/>
      <c r="AP92" s="147">
        <f t="shared" si="59"/>
        <v>0</v>
      </c>
      <c r="AQ92" s="148"/>
      <c r="AR92" s="149"/>
      <c r="AS92" s="149"/>
      <c r="AT92" s="135"/>
      <c r="AU92" s="150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0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4"/>
      <c r="CD92" s="150"/>
      <c r="CE92" s="142"/>
      <c r="CF92" s="143"/>
      <c r="CG92" s="143"/>
      <c r="CH92" s="143"/>
      <c r="CI92" s="143"/>
      <c r="CJ92" s="143"/>
      <c r="CK92" s="143"/>
      <c r="CL92" s="143"/>
      <c r="CM92" s="143"/>
      <c r="CN92" s="143"/>
      <c r="CO92" s="346"/>
      <c r="CP92" s="151"/>
      <c r="CQ92" s="152"/>
      <c r="CR92" s="154"/>
      <c r="CS92" s="155">
        <f t="shared" si="60"/>
        <v>0</v>
      </c>
      <c r="CT92" s="146"/>
      <c r="CU92" s="147">
        <f t="shared" si="61"/>
        <v>0</v>
      </c>
      <c r="CV92" s="156"/>
      <c r="CW92" s="157" t="e">
        <f t="shared" si="62"/>
        <v>#DIV/0!</v>
      </c>
      <c r="CX92" s="157" t="e">
        <f t="shared" si="63"/>
        <v>#DIV/0!</v>
      </c>
      <c r="CY92" s="157" t="e">
        <f t="shared" si="64"/>
        <v>#DIV/0!</v>
      </c>
      <c r="CZ92" s="157" t="e">
        <f t="shared" si="65"/>
        <v>#DIV/0!</v>
      </c>
      <c r="DA92" s="157" t="e">
        <f t="shared" si="66"/>
        <v>#DIV/0!</v>
      </c>
      <c r="DB92" s="158" t="e">
        <f t="shared" si="67"/>
        <v>#DIV/0!</v>
      </c>
      <c r="DC92" s="131"/>
      <c r="DD92" s="159">
        <f t="shared" si="68"/>
        <v>0</v>
      </c>
      <c r="DE92" s="160">
        <f t="shared" si="69"/>
        <v>0</v>
      </c>
      <c r="DF92" s="161">
        <f t="shared" si="70"/>
        <v>0</v>
      </c>
      <c r="DG92" s="162" t="e">
        <f t="shared" si="71"/>
        <v>#DIV/0!</v>
      </c>
      <c r="DH92" s="163">
        <f t="shared" si="72"/>
        <v>0</v>
      </c>
      <c r="DI92" s="164"/>
      <c r="DJ92" s="165">
        <f t="shared" si="55"/>
        <v>0</v>
      </c>
      <c r="DK92" s="166">
        <f t="shared" si="55"/>
        <v>0</v>
      </c>
      <c r="DL92" s="167" t="e">
        <f t="shared" si="73"/>
        <v>#DIV/0!</v>
      </c>
      <c r="DM92" s="168" t="e">
        <f t="shared" si="74"/>
        <v>#DIV/0!</v>
      </c>
      <c r="DN92" s="163" t="e">
        <f t="shared" si="75"/>
        <v>#DIV/0!</v>
      </c>
      <c r="DO92" s="169"/>
      <c r="DP92" s="170"/>
      <c r="DQ92" s="171"/>
      <c r="DR92" s="172">
        <f t="shared" si="76"/>
        <v>0</v>
      </c>
      <c r="DS92" s="173" t="e">
        <f t="shared" si="77"/>
        <v>#DIV/0!</v>
      </c>
      <c r="DT92" s="163" t="e">
        <f t="shared" si="78"/>
        <v>#DIV/0!</v>
      </c>
      <c r="DU92" s="174"/>
      <c r="DV92" s="175" t="e">
        <f t="shared" si="79"/>
        <v>#DIV/0!</v>
      </c>
      <c r="DW92" s="163">
        <f t="shared" si="80"/>
        <v>0</v>
      </c>
      <c r="DX92" s="164"/>
      <c r="DY92" s="176">
        <f t="shared" si="81"/>
        <v>0</v>
      </c>
      <c r="DZ92" s="177">
        <f t="shared" si="82"/>
        <v>0</v>
      </c>
      <c r="EA92" s="178">
        <f t="shared" si="83"/>
        <v>0</v>
      </c>
      <c r="EB92" s="179">
        <f t="shared" si="84"/>
        <v>0</v>
      </c>
      <c r="EC92" s="180"/>
      <c r="ED92" s="175" t="e">
        <f t="shared" si="85"/>
        <v>#DIV/0!</v>
      </c>
      <c r="EE92" s="163">
        <f t="shared" si="86"/>
        <v>0</v>
      </c>
      <c r="EF92" s="164"/>
      <c r="EG92" s="181">
        <f t="shared" si="87"/>
        <v>0</v>
      </c>
      <c r="EH92" s="182">
        <f t="shared" si="88"/>
        <v>0</v>
      </c>
      <c r="EI92" s="182">
        <f t="shared" ref="EI92:EI94" si="111">SUM(M92:Z92)</f>
        <v>0</v>
      </c>
      <c r="EJ92" s="182">
        <f t="shared" si="90"/>
        <v>0</v>
      </c>
      <c r="EK92" s="183">
        <f t="shared" si="91"/>
        <v>0</v>
      </c>
      <c r="EL92" s="184" t="e">
        <f t="shared" si="92"/>
        <v>#DIV/0!</v>
      </c>
      <c r="EM92" s="185">
        <f t="shared" si="93"/>
        <v>0</v>
      </c>
      <c r="EN92" s="164"/>
      <c r="EO92" s="181">
        <f t="shared" si="94"/>
        <v>0</v>
      </c>
      <c r="EP92" s="183">
        <f t="shared" si="95"/>
        <v>0</v>
      </c>
      <c r="EQ92" s="184" t="e">
        <f t="shared" si="96"/>
        <v>#DIV/0!</v>
      </c>
      <c r="ER92" s="185">
        <f t="shared" si="97"/>
        <v>0</v>
      </c>
      <c r="ES92" s="164"/>
      <c r="ET92" s="164"/>
      <c r="EU92" s="186">
        <f t="shared" si="98"/>
        <v>0</v>
      </c>
      <c r="EV92" s="186">
        <f t="shared" si="99"/>
        <v>0</v>
      </c>
      <c r="EW92" s="186">
        <f t="shared" si="100"/>
        <v>0</v>
      </c>
      <c r="EX92" s="186">
        <f t="shared" si="101"/>
        <v>0</v>
      </c>
      <c r="EY92" s="131"/>
      <c r="EZ92" s="187">
        <f t="shared" si="102"/>
        <v>0</v>
      </c>
      <c r="FA92" s="188" t="e">
        <f t="shared" si="103"/>
        <v>#DIV/0!</v>
      </c>
      <c r="FB92" s="189"/>
      <c r="FC92" s="131"/>
      <c r="FD92" s="131"/>
      <c r="FE92" s="131"/>
      <c r="FF92" s="131"/>
      <c r="FG92" s="131"/>
    </row>
    <row r="93" spans="2:163" ht="16" outlineLevel="1" thickBot="1" x14ac:dyDescent="0.4">
      <c r="B93" s="357"/>
      <c r="C93" s="354"/>
      <c r="D93" s="190"/>
      <c r="E93" s="191"/>
      <c r="F93" s="135"/>
      <c r="G93" s="192"/>
      <c r="H93" s="137"/>
      <c r="I93" s="138">
        <f t="shared" ref="I93:I94" si="112">IF(E93&gt;0.0001,0,0)</f>
        <v>0</v>
      </c>
      <c r="J93" s="139"/>
      <c r="K93" s="193">
        <f t="shared" si="107"/>
        <v>0</v>
      </c>
      <c r="L93" s="141"/>
      <c r="M93" s="194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4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6"/>
      <c r="AN93" s="197">
        <f t="shared" si="58"/>
        <v>0</v>
      </c>
      <c r="AO93" s="146"/>
      <c r="AP93" s="147">
        <f t="shared" si="59"/>
        <v>0</v>
      </c>
      <c r="AQ93" s="148"/>
      <c r="AR93" s="198"/>
      <c r="AS93" s="198"/>
      <c r="AT93" s="135"/>
      <c r="AU93" s="199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199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2"/>
      <c r="CD93" s="199"/>
      <c r="CE93" s="194"/>
      <c r="CF93" s="195"/>
      <c r="CG93" s="195"/>
      <c r="CH93" s="195"/>
      <c r="CI93" s="195"/>
      <c r="CJ93" s="195"/>
      <c r="CK93" s="195"/>
      <c r="CL93" s="195"/>
      <c r="CM93" s="195"/>
      <c r="CN93" s="195"/>
      <c r="CO93" s="347"/>
      <c r="CP93" s="200"/>
      <c r="CQ93" s="201"/>
      <c r="CR93" s="202"/>
      <c r="CS93" s="203">
        <f t="shared" si="60"/>
        <v>0</v>
      </c>
      <c r="CT93" s="146"/>
      <c r="CU93" s="147">
        <f t="shared" si="61"/>
        <v>0</v>
      </c>
      <c r="CV93" s="156"/>
      <c r="CW93" s="157" t="e">
        <f t="shared" si="62"/>
        <v>#DIV/0!</v>
      </c>
      <c r="CX93" s="157" t="e">
        <f t="shared" si="63"/>
        <v>#DIV/0!</v>
      </c>
      <c r="CY93" s="157" t="e">
        <f t="shared" si="64"/>
        <v>#DIV/0!</v>
      </c>
      <c r="CZ93" s="157" t="e">
        <f t="shared" si="65"/>
        <v>#DIV/0!</v>
      </c>
      <c r="DA93" s="157" t="e">
        <f t="shared" si="66"/>
        <v>#DIV/0!</v>
      </c>
      <c r="DB93" s="158" t="e">
        <f t="shared" si="67"/>
        <v>#DIV/0!</v>
      </c>
      <c r="DC93" s="131"/>
      <c r="DD93" s="159">
        <f t="shared" si="68"/>
        <v>0</v>
      </c>
      <c r="DE93" s="160">
        <f t="shared" si="69"/>
        <v>0</v>
      </c>
      <c r="DF93" s="161">
        <f t="shared" si="70"/>
        <v>0</v>
      </c>
      <c r="DG93" s="162" t="e">
        <f t="shared" si="71"/>
        <v>#DIV/0!</v>
      </c>
      <c r="DH93" s="163">
        <f t="shared" si="72"/>
        <v>0</v>
      </c>
      <c r="DI93" s="164"/>
      <c r="DJ93" s="165">
        <f t="shared" si="55"/>
        <v>0</v>
      </c>
      <c r="DK93" s="166">
        <f t="shared" si="55"/>
        <v>0</v>
      </c>
      <c r="DL93" s="167" t="e">
        <f t="shared" si="73"/>
        <v>#DIV/0!</v>
      </c>
      <c r="DM93" s="168" t="e">
        <f t="shared" si="74"/>
        <v>#DIV/0!</v>
      </c>
      <c r="DN93" s="163" t="e">
        <f t="shared" si="75"/>
        <v>#DIV/0!</v>
      </c>
      <c r="DO93" s="169"/>
      <c r="DP93" s="170"/>
      <c r="DQ93" s="171"/>
      <c r="DR93" s="172">
        <f t="shared" si="76"/>
        <v>0</v>
      </c>
      <c r="DS93" s="173" t="e">
        <f t="shared" si="77"/>
        <v>#DIV/0!</v>
      </c>
      <c r="DT93" s="163" t="e">
        <f t="shared" si="78"/>
        <v>#DIV/0!</v>
      </c>
      <c r="DU93" s="174"/>
      <c r="DV93" s="175" t="e">
        <f t="shared" si="79"/>
        <v>#DIV/0!</v>
      </c>
      <c r="DW93" s="163">
        <f t="shared" si="80"/>
        <v>0</v>
      </c>
      <c r="DX93" s="164"/>
      <c r="DY93" s="176">
        <f t="shared" si="81"/>
        <v>0</v>
      </c>
      <c r="DZ93" s="177">
        <f t="shared" si="82"/>
        <v>0</v>
      </c>
      <c r="EA93" s="178">
        <f t="shared" si="83"/>
        <v>0</v>
      </c>
      <c r="EB93" s="179">
        <f t="shared" si="84"/>
        <v>0</v>
      </c>
      <c r="EC93" s="180"/>
      <c r="ED93" s="175" t="e">
        <f t="shared" si="85"/>
        <v>#DIV/0!</v>
      </c>
      <c r="EE93" s="163">
        <f t="shared" si="86"/>
        <v>0</v>
      </c>
      <c r="EF93" s="164"/>
      <c r="EG93" s="181">
        <f t="shared" si="87"/>
        <v>0</v>
      </c>
      <c r="EH93" s="182">
        <f t="shared" si="88"/>
        <v>0</v>
      </c>
      <c r="EI93" s="182">
        <f t="shared" si="111"/>
        <v>0</v>
      </c>
      <c r="EJ93" s="182">
        <f t="shared" si="90"/>
        <v>0</v>
      </c>
      <c r="EK93" s="183">
        <f t="shared" si="91"/>
        <v>0</v>
      </c>
      <c r="EL93" s="184" t="e">
        <f t="shared" si="92"/>
        <v>#DIV/0!</v>
      </c>
      <c r="EM93" s="185">
        <f t="shared" si="93"/>
        <v>0</v>
      </c>
      <c r="EN93" s="164"/>
      <c r="EO93" s="181">
        <f t="shared" si="94"/>
        <v>0</v>
      </c>
      <c r="EP93" s="183">
        <f t="shared" si="95"/>
        <v>0</v>
      </c>
      <c r="EQ93" s="184" t="e">
        <f t="shared" si="96"/>
        <v>#DIV/0!</v>
      </c>
      <c r="ER93" s="185">
        <f t="shared" si="97"/>
        <v>0</v>
      </c>
      <c r="ES93" s="164"/>
      <c r="ET93" s="164"/>
      <c r="EU93" s="186">
        <f t="shared" si="98"/>
        <v>0</v>
      </c>
      <c r="EV93" s="186">
        <f t="shared" si="99"/>
        <v>0</v>
      </c>
      <c r="EW93" s="186">
        <f t="shared" si="100"/>
        <v>0</v>
      </c>
      <c r="EX93" s="186">
        <f t="shared" si="101"/>
        <v>0</v>
      </c>
      <c r="EY93" s="131"/>
      <c r="EZ93" s="187">
        <f t="shared" si="102"/>
        <v>0</v>
      </c>
      <c r="FA93" s="188" t="e">
        <f t="shared" si="103"/>
        <v>#DIV/0!</v>
      </c>
      <c r="FB93" s="189"/>
      <c r="FC93" s="131"/>
      <c r="FD93" s="131"/>
      <c r="FE93" s="131"/>
      <c r="FF93" s="131"/>
      <c r="FG93" s="131"/>
    </row>
    <row r="94" spans="2:163" ht="16" outlineLevel="1" thickBot="1" x14ac:dyDescent="0.4">
      <c r="B94" s="358"/>
      <c r="C94" s="355"/>
      <c r="D94" s="204"/>
      <c r="E94" s="205"/>
      <c r="F94" s="135"/>
      <c r="G94" s="206"/>
      <c r="H94" s="207"/>
      <c r="I94" s="138">
        <f t="shared" si="112"/>
        <v>0</v>
      </c>
      <c r="J94" s="139"/>
      <c r="K94" s="208">
        <f t="shared" si="107"/>
        <v>0</v>
      </c>
      <c r="L94" s="141"/>
      <c r="M94" s="209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09"/>
      <c r="AB94" s="210"/>
      <c r="AC94" s="210"/>
      <c r="AD94" s="210"/>
      <c r="AE94" s="210"/>
      <c r="AF94" s="210"/>
      <c r="AG94" s="210"/>
      <c r="AH94" s="210"/>
      <c r="AI94" s="210"/>
      <c r="AJ94" s="210"/>
      <c r="AK94" s="210"/>
      <c r="AL94" s="210"/>
      <c r="AM94" s="211"/>
      <c r="AN94" s="212">
        <f t="shared" si="58"/>
        <v>0</v>
      </c>
      <c r="AO94" s="146"/>
      <c r="AP94" s="147">
        <f t="shared" si="59"/>
        <v>0</v>
      </c>
      <c r="AQ94" s="148"/>
      <c r="AR94" s="213"/>
      <c r="AS94" s="213"/>
      <c r="AT94" s="135"/>
      <c r="AU94" s="214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6"/>
      <c r="BG94" s="216"/>
      <c r="BH94" s="216"/>
      <c r="BI94" s="216"/>
      <c r="BJ94" s="216"/>
      <c r="BK94" s="216"/>
      <c r="BL94" s="216"/>
      <c r="BM94" s="216"/>
      <c r="BN94" s="216"/>
      <c r="BO94" s="216"/>
      <c r="BP94" s="216"/>
      <c r="BQ94" s="216"/>
      <c r="BR94" s="214"/>
      <c r="BS94" s="215"/>
      <c r="BT94" s="215"/>
      <c r="BU94" s="215"/>
      <c r="BV94" s="215"/>
      <c r="BW94" s="215"/>
      <c r="BX94" s="215"/>
      <c r="BY94" s="215"/>
      <c r="BZ94" s="215"/>
      <c r="CA94" s="215"/>
      <c r="CB94" s="215"/>
      <c r="CC94" s="217"/>
      <c r="CD94" s="214"/>
      <c r="CE94" s="209"/>
      <c r="CF94" s="210"/>
      <c r="CG94" s="210"/>
      <c r="CH94" s="210"/>
      <c r="CI94" s="210"/>
      <c r="CJ94" s="210"/>
      <c r="CK94" s="210"/>
      <c r="CL94" s="210"/>
      <c r="CM94" s="210"/>
      <c r="CN94" s="210"/>
      <c r="CO94" s="348"/>
      <c r="CP94" s="215"/>
      <c r="CQ94" s="216"/>
      <c r="CR94" s="217"/>
      <c r="CS94" s="218">
        <f t="shared" si="60"/>
        <v>0</v>
      </c>
      <c r="CT94" s="146"/>
      <c r="CU94" s="147">
        <f t="shared" si="61"/>
        <v>0</v>
      </c>
      <c r="CV94" s="156"/>
      <c r="CW94" s="157" t="e">
        <f t="shared" si="62"/>
        <v>#DIV/0!</v>
      </c>
      <c r="CX94" s="157" t="e">
        <f t="shared" si="63"/>
        <v>#DIV/0!</v>
      </c>
      <c r="CY94" s="157" t="e">
        <f t="shared" si="64"/>
        <v>#DIV/0!</v>
      </c>
      <c r="CZ94" s="157" t="e">
        <f t="shared" si="65"/>
        <v>#DIV/0!</v>
      </c>
      <c r="DA94" s="157" t="e">
        <f t="shared" si="66"/>
        <v>#DIV/0!</v>
      </c>
      <c r="DB94" s="158" t="e">
        <f t="shared" si="67"/>
        <v>#DIV/0!</v>
      </c>
      <c r="DC94" s="131"/>
      <c r="DD94" s="159">
        <f t="shared" si="68"/>
        <v>0</v>
      </c>
      <c r="DE94" s="160">
        <f t="shared" si="69"/>
        <v>0</v>
      </c>
      <c r="DF94" s="161">
        <f t="shared" si="70"/>
        <v>0</v>
      </c>
      <c r="DG94" s="162" t="e">
        <f t="shared" si="71"/>
        <v>#DIV/0!</v>
      </c>
      <c r="DH94" s="163">
        <f t="shared" si="72"/>
        <v>0</v>
      </c>
      <c r="DI94" s="164"/>
      <c r="DJ94" s="165">
        <f t="shared" si="55"/>
        <v>0</v>
      </c>
      <c r="DK94" s="166">
        <f t="shared" si="55"/>
        <v>0</v>
      </c>
      <c r="DL94" s="167" t="e">
        <f t="shared" si="73"/>
        <v>#DIV/0!</v>
      </c>
      <c r="DM94" s="168" t="e">
        <f t="shared" si="74"/>
        <v>#DIV/0!</v>
      </c>
      <c r="DN94" s="163" t="e">
        <f t="shared" si="75"/>
        <v>#DIV/0!</v>
      </c>
      <c r="DO94" s="169"/>
      <c r="DP94" s="170"/>
      <c r="DQ94" s="171"/>
      <c r="DR94" s="172">
        <f t="shared" si="76"/>
        <v>0</v>
      </c>
      <c r="DS94" s="173" t="e">
        <f t="shared" si="77"/>
        <v>#DIV/0!</v>
      </c>
      <c r="DT94" s="163" t="e">
        <f t="shared" si="78"/>
        <v>#DIV/0!</v>
      </c>
      <c r="DU94" s="174"/>
      <c r="DV94" s="175" t="e">
        <f t="shared" si="79"/>
        <v>#DIV/0!</v>
      </c>
      <c r="DW94" s="163">
        <f t="shared" si="80"/>
        <v>0</v>
      </c>
      <c r="DX94" s="164"/>
      <c r="DY94" s="176">
        <f t="shared" si="81"/>
        <v>0</v>
      </c>
      <c r="DZ94" s="177">
        <f t="shared" si="82"/>
        <v>0</v>
      </c>
      <c r="EA94" s="178">
        <f t="shared" si="83"/>
        <v>0</v>
      </c>
      <c r="EB94" s="179">
        <f t="shared" si="84"/>
        <v>0</v>
      </c>
      <c r="EC94" s="180"/>
      <c r="ED94" s="175" t="e">
        <f t="shared" si="85"/>
        <v>#DIV/0!</v>
      </c>
      <c r="EE94" s="163">
        <f t="shared" si="86"/>
        <v>0</v>
      </c>
      <c r="EF94" s="164"/>
      <c r="EG94" s="181">
        <f t="shared" si="87"/>
        <v>0</v>
      </c>
      <c r="EH94" s="182">
        <f t="shared" si="88"/>
        <v>0</v>
      </c>
      <c r="EI94" s="182">
        <f t="shared" si="111"/>
        <v>0</v>
      </c>
      <c r="EJ94" s="182">
        <f t="shared" si="90"/>
        <v>0</v>
      </c>
      <c r="EK94" s="183">
        <f t="shared" si="91"/>
        <v>0</v>
      </c>
      <c r="EL94" s="184" t="e">
        <f t="shared" si="92"/>
        <v>#DIV/0!</v>
      </c>
      <c r="EM94" s="185">
        <f t="shared" si="93"/>
        <v>0</v>
      </c>
      <c r="EN94" s="164"/>
      <c r="EO94" s="181">
        <f t="shared" si="94"/>
        <v>0</v>
      </c>
      <c r="EP94" s="183">
        <f t="shared" si="95"/>
        <v>0</v>
      </c>
      <c r="EQ94" s="184" t="e">
        <f t="shared" si="96"/>
        <v>#DIV/0!</v>
      </c>
      <c r="ER94" s="185">
        <f t="shared" si="97"/>
        <v>0</v>
      </c>
      <c r="ES94" s="164"/>
      <c r="ET94" s="164"/>
      <c r="EU94" s="186">
        <f t="shared" si="98"/>
        <v>0</v>
      </c>
      <c r="EV94" s="186">
        <f t="shared" si="99"/>
        <v>0</v>
      </c>
      <c r="EW94" s="186">
        <f t="shared" si="100"/>
        <v>0</v>
      </c>
      <c r="EX94" s="186">
        <f t="shared" si="101"/>
        <v>0</v>
      </c>
      <c r="EY94" s="131"/>
      <c r="EZ94" s="187">
        <f t="shared" si="102"/>
        <v>0</v>
      </c>
      <c r="FA94" s="188" t="e">
        <f t="shared" si="103"/>
        <v>#DIV/0!</v>
      </c>
      <c r="FB94" s="189"/>
      <c r="FC94" s="131"/>
      <c r="FD94" s="131"/>
      <c r="FE94" s="131"/>
      <c r="FF94" s="131"/>
      <c r="FG94" s="131"/>
    </row>
    <row r="95" spans="2:163" ht="16" outlineLevel="1" thickBot="1" x14ac:dyDescent="0.4">
      <c r="B95" s="356"/>
      <c r="C95" s="353"/>
      <c r="D95" s="133"/>
      <c r="E95" s="134"/>
      <c r="F95" s="135"/>
      <c r="G95" s="136"/>
      <c r="H95" s="137"/>
      <c r="I95" s="138">
        <f>IF(E95&gt;0.0001,9.4,0)</f>
        <v>0</v>
      </c>
      <c r="J95" s="139"/>
      <c r="K95" s="140">
        <f t="shared" si="107"/>
        <v>0</v>
      </c>
      <c r="L95" s="141"/>
      <c r="M95" s="142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2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4"/>
      <c r="AN95" s="145">
        <f t="shared" si="58"/>
        <v>0</v>
      </c>
      <c r="AO95" s="146"/>
      <c r="AP95" s="147">
        <f t="shared" si="59"/>
        <v>0</v>
      </c>
      <c r="AQ95" s="148"/>
      <c r="AR95" s="149"/>
      <c r="AS95" s="149"/>
      <c r="AT95" s="135"/>
      <c r="AU95" s="150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0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4"/>
      <c r="CD95" s="150"/>
      <c r="CE95" s="142"/>
      <c r="CF95" s="143"/>
      <c r="CG95" s="143"/>
      <c r="CH95" s="143"/>
      <c r="CI95" s="143"/>
      <c r="CJ95" s="143"/>
      <c r="CK95" s="143"/>
      <c r="CL95" s="143"/>
      <c r="CM95" s="143"/>
      <c r="CN95" s="143"/>
      <c r="CO95" s="346"/>
      <c r="CP95" s="151"/>
      <c r="CQ95" s="152"/>
      <c r="CR95" s="154"/>
      <c r="CS95" s="155">
        <f t="shared" si="60"/>
        <v>0</v>
      </c>
      <c r="CT95" s="146"/>
      <c r="CU95" s="147">
        <f t="shared" si="61"/>
        <v>0</v>
      </c>
      <c r="CV95" s="156"/>
      <c r="CW95" s="157" t="e">
        <f t="shared" si="62"/>
        <v>#DIV/0!</v>
      </c>
      <c r="CX95" s="157" t="e">
        <f t="shared" si="63"/>
        <v>#DIV/0!</v>
      </c>
      <c r="CY95" s="157" t="e">
        <f t="shared" si="64"/>
        <v>#DIV/0!</v>
      </c>
      <c r="CZ95" s="157" t="e">
        <f t="shared" si="65"/>
        <v>#DIV/0!</v>
      </c>
      <c r="DA95" s="157" t="e">
        <f t="shared" si="66"/>
        <v>#DIV/0!</v>
      </c>
      <c r="DB95" s="158" t="e">
        <f t="shared" si="67"/>
        <v>#DIV/0!</v>
      </c>
      <c r="DC95" s="131"/>
      <c r="DD95" s="159">
        <f t="shared" si="68"/>
        <v>0</v>
      </c>
      <c r="DE95" s="160">
        <f t="shared" si="69"/>
        <v>0</v>
      </c>
      <c r="DF95" s="161">
        <f t="shared" si="70"/>
        <v>0</v>
      </c>
      <c r="DG95" s="162" t="e">
        <f t="shared" si="71"/>
        <v>#DIV/0!</v>
      </c>
      <c r="DH95" s="163">
        <f t="shared" si="72"/>
        <v>0</v>
      </c>
      <c r="DI95" s="164"/>
      <c r="DJ95" s="165">
        <f t="shared" si="55"/>
        <v>0</v>
      </c>
      <c r="DK95" s="166">
        <f t="shared" si="55"/>
        <v>0</v>
      </c>
      <c r="DL95" s="167" t="e">
        <f t="shared" si="73"/>
        <v>#DIV/0!</v>
      </c>
      <c r="DM95" s="168" t="e">
        <f t="shared" si="74"/>
        <v>#DIV/0!</v>
      </c>
      <c r="DN95" s="163" t="e">
        <f t="shared" si="75"/>
        <v>#DIV/0!</v>
      </c>
      <c r="DO95" s="169"/>
      <c r="DP95" s="170"/>
      <c r="DQ95" s="171"/>
      <c r="DR95" s="172">
        <f t="shared" si="76"/>
        <v>0</v>
      </c>
      <c r="DS95" s="173" t="e">
        <f t="shared" si="77"/>
        <v>#DIV/0!</v>
      </c>
      <c r="DT95" s="163" t="e">
        <f t="shared" si="78"/>
        <v>#DIV/0!</v>
      </c>
      <c r="DU95" s="174"/>
      <c r="DV95" s="175" t="e">
        <f t="shared" si="79"/>
        <v>#DIV/0!</v>
      </c>
      <c r="DW95" s="163">
        <f t="shared" si="80"/>
        <v>0</v>
      </c>
      <c r="DX95" s="164"/>
      <c r="DY95" s="176">
        <f t="shared" si="81"/>
        <v>0</v>
      </c>
      <c r="DZ95" s="177">
        <f t="shared" si="82"/>
        <v>0</v>
      </c>
      <c r="EA95" s="178">
        <f t="shared" si="83"/>
        <v>0</v>
      </c>
      <c r="EB95" s="179">
        <f t="shared" si="84"/>
        <v>0</v>
      </c>
      <c r="EC95" s="180"/>
      <c r="ED95" s="175" t="e">
        <f t="shared" si="85"/>
        <v>#DIV/0!</v>
      </c>
      <c r="EE95" s="163">
        <f t="shared" si="86"/>
        <v>0</v>
      </c>
      <c r="EF95" s="164"/>
      <c r="EG95" s="181">
        <f t="shared" si="87"/>
        <v>0</v>
      </c>
      <c r="EH95" s="182">
        <f t="shared" si="88"/>
        <v>0</v>
      </c>
      <c r="EI95" s="182">
        <f t="shared" si="89"/>
        <v>0</v>
      </c>
      <c r="EJ95" s="182">
        <f t="shared" si="90"/>
        <v>0</v>
      </c>
      <c r="EK95" s="183">
        <f t="shared" si="91"/>
        <v>0</v>
      </c>
      <c r="EL95" s="184" t="e">
        <f t="shared" si="92"/>
        <v>#DIV/0!</v>
      </c>
      <c r="EM95" s="185">
        <f t="shared" si="93"/>
        <v>0</v>
      </c>
      <c r="EN95" s="164"/>
      <c r="EO95" s="181">
        <f t="shared" si="94"/>
        <v>0</v>
      </c>
      <c r="EP95" s="183">
        <f t="shared" si="95"/>
        <v>0</v>
      </c>
      <c r="EQ95" s="184" t="e">
        <f t="shared" si="96"/>
        <v>#DIV/0!</v>
      </c>
      <c r="ER95" s="185">
        <f t="shared" si="97"/>
        <v>0</v>
      </c>
      <c r="ES95" s="164"/>
      <c r="ET95" s="164"/>
      <c r="EU95" s="186">
        <f t="shared" si="98"/>
        <v>0</v>
      </c>
      <c r="EV95" s="186">
        <f t="shared" si="99"/>
        <v>0</v>
      </c>
      <c r="EW95" s="186">
        <f t="shared" si="100"/>
        <v>0</v>
      </c>
      <c r="EX95" s="186">
        <f t="shared" si="101"/>
        <v>0</v>
      </c>
      <c r="EY95" s="131"/>
      <c r="EZ95" s="187">
        <f t="shared" si="102"/>
        <v>0</v>
      </c>
      <c r="FA95" s="188" t="e">
        <f t="shared" si="103"/>
        <v>#DIV/0!</v>
      </c>
      <c r="FB95" s="189"/>
      <c r="FC95" s="131"/>
      <c r="FD95" s="131"/>
      <c r="FE95" s="131"/>
      <c r="FF95" s="131"/>
      <c r="FG95" s="131"/>
    </row>
    <row r="96" spans="2:163" ht="16" outlineLevel="1" thickBot="1" x14ac:dyDescent="0.4">
      <c r="B96" s="357"/>
      <c r="C96" s="354"/>
      <c r="D96" s="190"/>
      <c r="E96" s="191"/>
      <c r="F96" s="135"/>
      <c r="G96" s="192"/>
      <c r="H96" s="137"/>
      <c r="I96" s="138">
        <f t="shared" si="56"/>
        <v>0</v>
      </c>
      <c r="J96" s="139"/>
      <c r="K96" s="193">
        <f t="shared" si="107"/>
        <v>0</v>
      </c>
      <c r="L96" s="141"/>
      <c r="M96" s="194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4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6"/>
      <c r="AN96" s="197">
        <f t="shared" si="58"/>
        <v>0</v>
      </c>
      <c r="AO96" s="146"/>
      <c r="AP96" s="147">
        <f t="shared" si="59"/>
        <v>0</v>
      </c>
      <c r="AQ96" s="148"/>
      <c r="AR96" s="198"/>
      <c r="AS96" s="198"/>
      <c r="AT96" s="135"/>
      <c r="AU96" s="199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1"/>
      <c r="BG96" s="201"/>
      <c r="BH96" s="201"/>
      <c r="BI96" s="201"/>
      <c r="BJ96" s="201"/>
      <c r="BK96" s="201"/>
      <c r="BL96" s="201"/>
      <c r="BM96" s="201"/>
      <c r="BN96" s="201"/>
      <c r="BO96" s="201"/>
      <c r="BP96" s="201"/>
      <c r="BQ96" s="201"/>
      <c r="BR96" s="199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2"/>
      <c r="CD96" s="199"/>
      <c r="CE96" s="194"/>
      <c r="CF96" s="195"/>
      <c r="CG96" s="195"/>
      <c r="CH96" s="195"/>
      <c r="CI96" s="195"/>
      <c r="CJ96" s="195"/>
      <c r="CK96" s="195"/>
      <c r="CL96" s="195"/>
      <c r="CM96" s="195"/>
      <c r="CN96" s="195"/>
      <c r="CO96" s="347"/>
      <c r="CP96" s="200"/>
      <c r="CQ96" s="201"/>
      <c r="CR96" s="202"/>
      <c r="CS96" s="203">
        <f t="shared" si="60"/>
        <v>0</v>
      </c>
      <c r="CT96" s="146"/>
      <c r="CU96" s="147">
        <f t="shared" si="61"/>
        <v>0</v>
      </c>
      <c r="CV96" s="156"/>
      <c r="CW96" s="157" t="e">
        <f t="shared" si="62"/>
        <v>#DIV/0!</v>
      </c>
      <c r="CX96" s="157" t="e">
        <f t="shared" si="63"/>
        <v>#DIV/0!</v>
      </c>
      <c r="CY96" s="157" t="e">
        <f t="shared" si="64"/>
        <v>#DIV/0!</v>
      </c>
      <c r="CZ96" s="157" t="e">
        <f t="shared" si="65"/>
        <v>#DIV/0!</v>
      </c>
      <c r="DA96" s="157" t="e">
        <f t="shared" si="66"/>
        <v>#DIV/0!</v>
      </c>
      <c r="DB96" s="158" t="e">
        <f t="shared" si="67"/>
        <v>#DIV/0!</v>
      </c>
      <c r="DC96" s="131"/>
      <c r="DD96" s="159">
        <f t="shared" si="68"/>
        <v>0</v>
      </c>
      <c r="DE96" s="160">
        <f t="shared" si="69"/>
        <v>0</v>
      </c>
      <c r="DF96" s="161">
        <f t="shared" si="70"/>
        <v>0</v>
      </c>
      <c r="DG96" s="162" t="e">
        <f t="shared" si="71"/>
        <v>#DIV/0!</v>
      </c>
      <c r="DH96" s="163">
        <f t="shared" si="72"/>
        <v>0</v>
      </c>
      <c r="DI96" s="164"/>
      <c r="DJ96" s="165">
        <f t="shared" si="55"/>
        <v>0</v>
      </c>
      <c r="DK96" s="166">
        <f t="shared" si="55"/>
        <v>0</v>
      </c>
      <c r="DL96" s="167" t="e">
        <f t="shared" si="73"/>
        <v>#DIV/0!</v>
      </c>
      <c r="DM96" s="168" t="e">
        <f t="shared" si="74"/>
        <v>#DIV/0!</v>
      </c>
      <c r="DN96" s="163" t="e">
        <f t="shared" si="75"/>
        <v>#DIV/0!</v>
      </c>
      <c r="DO96" s="169"/>
      <c r="DP96" s="170"/>
      <c r="DQ96" s="171"/>
      <c r="DR96" s="172">
        <f t="shared" si="76"/>
        <v>0</v>
      </c>
      <c r="DS96" s="173" t="e">
        <f t="shared" si="77"/>
        <v>#DIV/0!</v>
      </c>
      <c r="DT96" s="163" t="e">
        <f t="shared" si="78"/>
        <v>#DIV/0!</v>
      </c>
      <c r="DU96" s="174"/>
      <c r="DV96" s="175" t="e">
        <f t="shared" si="79"/>
        <v>#DIV/0!</v>
      </c>
      <c r="DW96" s="163">
        <f t="shared" si="80"/>
        <v>0</v>
      </c>
      <c r="DX96" s="164"/>
      <c r="DY96" s="176">
        <f t="shared" si="81"/>
        <v>0</v>
      </c>
      <c r="DZ96" s="177">
        <f t="shared" si="82"/>
        <v>0</v>
      </c>
      <c r="EA96" s="178">
        <f t="shared" si="83"/>
        <v>0</v>
      </c>
      <c r="EB96" s="179">
        <f t="shared" si="84"/>
        <v>0</v>
      </c>
      <c r="EC96" s="180"/>
      <c r="ED96" s="175" t="e">
        <f t="shared" si="85"/>
        <v>#DIV/0!</v>
      </c>
      <c r="EE96" s="163">
        <f t="shared" si="86"/>
        <v>0</v>
      </c>
      <c r="EF96" s="164"/>
      <c r="EG96" s="181">
        <f t="shared" si="87"/>
        <v>0</v>
      </c>
      <c r="EH96" s="182">
        <f t="shared" si="88"/>
        <v>0</v>
      </c>
      <c r="EI96" s="182">
        <f t="shared" si="89"/>
        <v>0</v>
      </c>
      <c r="EJ96" s="182">
        <f t="shared" si="90"/>
        <v>0</v>
      </c>
      <c r="EK96" s="183">
        <f t="shared" si="91"/>
        <v>0</v>
      </c>
      <c r="EL96" s="184" t="e">
        <f t="shared" si="92"/>
        <v>#DIV/0!</v>
      </c>
      <c r="EM96" s="185">
        <f t="shared" si="93"/>
        <v>0</v>
      </c>
      <c r="EN96" s="164"/>
      <c r="EO96" s="181">
        <f t="shared" si="94"/>
        <v>0</v>
      </c>
      <c r="EP96" s="183">
        <f t="shared" si="95"/>
        <v>0</v>
      </c>
      <c r="EQ96" s="184" t="e">
        <f t="shared" si="96"/>
        <v>#DIV/0!</v>
      </c>
      <c r="ER96" s="185">
        <f t="shared" si="97"/>
        <v>0</v>
      </c>
      <c r="ES96" s="164"/>
      <c r="ET96" s="164"/>
      <c r="EU96" s="186">
        <f t="shared" si="98"/>
        <v>0</v>
      </c>
      <c r="EV96" s="186">
        <f t="shared" si="99"/>
        <v>0</v>
      </c>
      <c r="EW96" s="186">
        <f t="shared" si="100"/>
        <v>0</v>
      </c>
      <c r="EX96" s="186">
        <f t="shared" si="101"/>
        <v>0</v>
      </c>
      <c r="EY96" s="131"/>
      <c r="EZ96" s="187">
        <f t="shared" si="102"/>
        <v>0</v>
      </c>
      <c r="FA96" s="188" t="e">
        <f t="shared" si="103"/>
        <v>#DIV/0!</v>
      </c>
      <c r="FB96" s="189"/>
      <c r="FC96" s="131"/>
      <c r="FD96" s="131"/>
      <c r="FE96" s="131"/>
      <c r="FF96" s="131"/>
      <c r="FG96" s="131"/>
    </row>
    <row r="97" spans="1:164" ht="16" outlineLevel="1" thickBot="1" x14ac:dyDescent="0.4">
      <c r="B97" s="358"/>
      <c r="C97" s="355"/>
      <c r="D97" s="204"/>
      <c r="E97" s="205"/>
      <c r="F97" s="135"/>
      <c r="G97" s="206"/>
      <c r="H97" s="207"/>
      <c r="I97" s="138">
        <f t="shared" si="56"/>
        <v>0</v>
      </c>
      <c r="J97" s="139"/>
      <c r="K97" s="208">
        <f t="shared" si="107"/>
        <v>0</v>
      </c>
      <c r="L97" s="141"/>
      <c r="M97" s="209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09"/>
      <c r="AB97" s="210"/>
      <c r="AC97" s="210"/>
      <c r="AD97" s="210"/>
      <c r="AE97" s="210"/>
      <c r="AF97" s="210"/>
      <c r="AG97" s="210"/>
      <c r="AH97" s="210"/>
      <c r="AI97" s="210"/>
      <c r="AJ97" s="210"/>
      <c r="AK97" s="210"/>
      <c r="AL97" s="210"/>
      <c r="AM97" s="211"/>
      <c r="AN97" s="212">
        <f t="shared" si="58"/>
        <v>0</v>
      </c>
      <c r="AO97" s="146"/>
      <c r="AP97" s="147">
        <f t="shared" si="59"/>
        <v>0</v>
      </c>
      <c r="AQ97" s="148"/>
      <c r="AR97" s="213"/>
      <c r="AS97" s="213"/>
      <c r="AT97" s="135"/>
      <c r="AU97" s="214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4"/>
      <c r="BS97" s="215"/>
      <c r="BT97" s="215"/>
      <c r="BU97" s="215"/>
      <c r="BV97" s="215"/>
      <c r="BW97" s="215"/>
      <c r="BX97" s="215"/>
      <c r="BY97" s="215"/>
      <c r="BZ97" s="215"/>
      <c r="CA97" s="215"/>
      <c r="CB97" s="215"/>
      <c r="CC97" s="217"/>
      <c r="CD97" s="214"/>
      <c r="CE97" s="209"/>
      <c r="CF97" s="210"/>
      <c r="CG97" s="210"/>
      <c r="CH97" s="210"/>
      <c r="CI97" s="210"/>
      <c r="CJ97" s="210"/>
      <c r="CK97" s="210"/>
      <c r="CL97" s="210"/>
      <c r="CM97" s="210"/>
      <c r="CN97" s="210"/>
      <c r="CO97" s="348"/>
      <c r="CP97" s="215"/>
      <c r="CQ97" s="216"/>
      <c r="CR97" s="217"/>
      <c r="CS97" s="218">
        <f t="shared" si="60"/>
        <v>0</v>
      </c>
      <c r="CT97" s="146"/>
      <c r="CU97" s="147">
        <f t="shared" si="61"/>
        <v>0</v>
      </c>
      <c r="CV97" s="156"/>
      <c r="CW97" s="157" t="e">
        <f t="shared" si="62"/>
        <v>#DIV/0!</v>
      </c>
      <c r="CX97" s="157" t="e">
        <f t="shared" si="63"/>
        <v>#DIV/0!</v>
      </c>
      <c r="CY97" s="157" t="e">
        <f t="shared" si="64"/>
        <v>#DIV/0!</v>
      </c>
      <c r="CZ97" s="157" t="e">
        <f t="shared" si="65"/>
        <v>#DIV/0!</v>
      </c>
      <c r="DA97" s="157" t="e">
        <f t="shared" si="66"/>
        <v>#DIV/0!</v>
      </c>
      <c r="DB97" s="158" t="e">
        <f t="shared" si="67"/>
        <v>#DIV/0!</v>
      </c>
      <c r="DC97" s="131"/>
      <c r="DD97" s="159">
        <f t="shared" si="68"/>
        <v>0</v>
      </c>
      <c r="DE97" s="160">
        <f t="shared" si="69"/>
        <v>0</v>
      </c>
      <c r="DF97" s="161">
        <f t="shared" si="70"/>
        <v>0</v>
      </c>
      <c r="DG97" s="162" t="e">
        <f t="shared" si="71"/>
        <v>#DIV/0!</v>
      </c>
      <c r="DH97" s="163">
        <f t="shared" si="72"/>
        <v>0</v>
      </c>
      <c r="DI97" s="164"/>
      <c r="DJ97" s="165">
        <f t="shared" si="55"/>
        <v>0</v>
      </c>
      <c r="DK97" s="166">
        <f t="shared" si="55"/>
        <v>0</v>
      </c>
      <c r="DL97" s="167" t="e">
        <f t="shared" si="73"/>
        <v>#DIV/0!</v>
      </c>
      <c r="DM97" s="168" t="e">
        <f t="shared" si="74"/>
        <v>#DIV/0!</v>
      </c>
      <c r="DN97" s="163" t="e">
        <f t="shared" si="75"/>
        <v>#DIV/0!</v>
      </c>
      <c r="DO97" s="169"/>
      <c r="DP97" s="170"/>
      <c r="DQ97" s="171"/>
      <c r="DR97" s="172">
        <f t="shared" si="76"/>
        <v>0</v>
      </c>
      <c r="DS97" s="173" t="e">
        <f t="shared" si="77"/>
        <v>#DIV/0!</v>
      </c>
      <c r="DT97" s="163" t="e">
        <f t="shared" si="78"/>
        <v>#DIV/0!</v>
      </c>
      <c r="DU97" s="174"/>
      <c r="DV97" s="175" t="e">
        <f t="shared" si="79"/>
        <v>#DIV/0!</v>
      </c>
      <c r="DW97" s="163">
        <f t="shared" si="80"/>
        <v>0</v>
      </c>
      <c r="DX97" s="164"/>
      <c r="DY97" s="176">
        <f t="shared" si="81"/>
        <v>0</v>
      </c>
      <c r="DZ97" s="177">
        <f t="shared" si="82"/>
        <v>0</v>
      </c>
      <c r="EA97" s="178">
        <f t="shared" si="83"/>
        <v>0</v>
      </c>
      <c r="EB97" s="179">
        <f t="shared" si="84"/>
        <v>0</v>
      </c>
      <c r="EC97" s="180"/>
      <c r="ED97" s="175" t="e">
        <f t="shared" si="85"/>
        <v>#DIV/0!</v>
      </c>
      <c r="EE97" s="163">
        <f t="shared" si="86"/>
        <v>0</v>
      </c>
      <c r="EF97" s="164"/>
      <c r="EG97" s="181">
        <f t="shared" si="87"/>
        <v>0</v>
      </c>
      <c r="EH97" s="182">
        <f t="shared" si="88"/>
        <v>0</v>
      </c>
      <c r="EI97" s="182">
        <f t="shared" si="89"/>
        <v>0</v>
      </c>
      <c r="EJ97" s="182">
        <f t="shared" si="90"/>
        <v>0</v>
      </c>
      <c r="EK97" s="183">
        <f t="shared" si="91"/>
        <v>0</v>
      </c>
      <c r="EL97" s="184" t="e">
        <f t="shared" si="92"/>
        <v>#DIV/0!</v>
      </c>
      <c r="EM97" s="185">
        <f t="shared" si="93"/>
        <v>0</v>
      </c>
      <c r="EN97" s="164"/>
      <c r="EO97" s="181">
        <f t="shared" si="94"/>
        <v>0</v>
      </c>
      <c r="EP97" s="183">
        <f t="shared" si="95"/>
        <v>0</v>
      </c>
      <c r="EQ97" s="184" t="e">
        <f t="shared" si="96"/>
        <v>#DIV/0!</v>
      </c>
      <c r="ER97" s="185">
        <f t="shared" si="97"/>
        <v>0</v>
      </c>
      <c r="ES97" s="164"/>
      <c r="ET97" s="164"/>
      <c r="EU97" s="186">
        <f t="shared" si="98"/>
        <v>0</v>
      </c>
      <c r="EV97" s="186">
        <f t="shared" si="99"/>
        <v>0</v>
      </c>
      <c r="EW97" s="186">
        <f t="shared" si="100"/>
        <v>0</v>
      </c>
      <c r="EX97" s="186">
        <f t="shared" si="101"/>
        <v>0</v>
      </c>
      <c r="EY97" s="131"/>
      <c r="EZ97" s="187">
        <f t="shared" si="102"/>
        <v>0</v>
      </c>
      <c r="FA97" s="188" t="e">
        <f t="shared" si="103"/>
        <v>#DIV/0!</v>
      </c>
      <c r="FB97" s="189"/>
      <c r="FC97" s="131"/>
      <c r="FD97" s="131"/>
      <c r="FE97" s="131"/>
      <c r="FF97" s="131"/>
      <c r="FG97" s="131"/>
    </row>
    <row r="98" spans="1:164" s="169" customFormat="1" ht="16" hidden="1" outlineLevel="1" thickBot="1" x14ac:dyDescent="0.4">
      <c r="B98" s="356">
        <v>44863</v>
      </c>
      <c r="C98" s="353"/>
      <c r="D98" s="133"/>
      <c r="E98" s="134"/>
      <c r="F98" s="135"/>
      <c r="G98" s="136"/>
      <c r="H98" s="137"/>
      <c r="I98" s="138">
        <f t="shared" si="56"/>
        <v>0</v>
      </c>
      <c r="J98" s="139"/>
      <c r="K98" s="140">
        <f>E98*60</f>
        <v>0</v>
      </c>
      <c r="L98" s="141"/>
      <c r="M98" s="142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2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4"/>
      <c r="AN98" s="145">
        <f t="shared" si="58"/>
        <v>0</v>
      </c>
      <c r="AO98" s="146"/>
      <c r="AP98" s="147">
        <f t="shared" si="59"/>
        <v>0</v>
      </c>
      <c r="AQ98" s="148"/>
      <c r="AR98" s="149"/>
      <c r="AS98" s="149"/>
      <c r="AT98" s="135"/>
      <c r="AU98" s="150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0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4"/>
      <c r="CD98" s="150"/>
      <c r="CE98" s="142"/>
      <c r="CF98" s="143"/>
      <c r="CG98" s="143"/>
      <c r="CH98" s="143"/>
      <c r="CI98" s="143"/>
      <c r="CJ98" s="143"/>
      <c r="CK98" s="143"/>
      <c r="CL98" s="143"/>
      <c r="CM98" s="143"/>
      <c r="CN98" s="144"/>
      <c r="CO98" s="151"/>
      <c r="CP98" s="151"/>
      <c r="CQ98" s="152"/>
      <c r="CR98" s="154"/>
      <c r="CS98" s="155">
        <f t="shared" si="60"/>
        <v>0</v>
      </c>
      <c r="CT98" s="146"/>
      <c r="CU98" s="147">
        <f t="shared" si="61"/>
        <v>0</v>
      </c>
      <c r="CV98" s="156"/>
      <c r="CW98" s="157" t="e">
        <f t="shared" si="62"/>
        <v>#DIV/0!</v>
      </c>
      <c r="CX98" s="157" t="e">
        <f t="shared" si="63"/>
        <v>#DIV/0!</v>
      </c>
      <c r="CY98" s="157" t="e">
        <f t="shared" si="64"/>
        <v>#DIV/0!</v>
      </c>
      <c r="CZ98" s="157" t="e">
        <f t="shared" si="65"/>
        <v>#DIV/0!</v>
      </c>
      <c r="DA98" s="157" t="e">
        <f t="shared" si="66"/>
        <v>#DIV/0!</v>
      </c>
      <c r="DB98" s="158" t="e">
        <f t="shared" si="67"/>
        <v>#DIV/0!</v>
      </c>
      <c r="DC98" s="131"/>
      <c r="DD98" s="159">
        <f t="shared" si="68"/>
        <v>0</v>
      </c>
      <c r="DE98" s="160">
        <f t="shared" si="69"/>
        <v>0</v>
      </c>
      <c r="DF98" s="161">
        <f t="shared" si="70"/>
        <v>0</v>
      </c>
      <c r="DG98" s="162" t="e">
        <f t="shared" si="71"/>
        <v>#DIV/0!</v>
      </c>
      <c r="DH98" s="163">
        <f t="shared" si="72"/>
        <v>0</v>
      </c>
      <c r="DI98" s="164"/>
      <c r="DJ98" s="165">
        <f t="shared" si="55"/>
        <v>0</v>
      </c>
      <c r="DK98" s="166">
        <f t="shared" si="55"/>
        <v>0</v>
      </c>
      <c r="DL98" s="167" t="e">
        <f t="shared" si="73"/>
        <v>#DIV/0!</v>
      </c>
      <c r="DM98" s="168" t="e">
        <f t="shared" si="74"/>
        <v>#DIV/0!</v>
      </c>
      <c r="DN98" s="163" t="e">
        <f t="shared" si="75"/>
        <v>#DIV/0!</v>
      </c>
      <c r="DP98" s="170"/>
      <c r="DQ98" s="171"/>
      <c r="DR98" s="172">
        <f t="shared" si="76"/>
        <v>0</v>
      </c>
      <c r="DS98" s="173" t="e">
        <f t="shared" si="77"/>
        <v>#DIV/0!</v>
      </c>
      <c r="DT98" s="163" t="e">
        <f t="shared" si="78"/>
        <v>#DIV/0!</v>
      </c>
      <c r="DU98" s="174"/>
      <c r="DV98" s="175" t="e">
        <f t="shared" si="79"/>
        <v>#DIV/0!</v>
      </c>
      <c r="DW98" s="163">
        <f t="shared" si="80"/>
        <v>0</v>
      </c>
      <c r="DX98" s="164"/>
      <c r="DY98" s="176">
        <f t="shared" si="81"/>
        <v>0</v>
      </c>
      <c r="DZ98" s="177">
        <f t="shared" si="82"/>
        <v>0</v>
      </c>
      <c r="EA98" s="178">
        <f t="shared" si="83"/>
        <v>0</v>
      </c>
      <c r="EB98" s="179">
        <f t="shared" si="84"/>
        <v>0</v>
      </c>
      <c r="EC98" s="180"/>
      <c r="ED98" s="175" t="e">
        <f t="shared" si="85"/>
        <v>#DIV/0!</v>
      </c>
      <c r="EE98" s="163">
        <f t="shared" si="86"/>
        <v>0</v>
      </c>
      <c r="EF98" s="164"/>
      <c r="EG98" s="181">
        <f t="shared" si="87"/>
        <v>0</v>
      </c>
      <c r="EH98" s="182">
        <f t="shared" si="88"/>
        <v>0</v>
      </c>
      <c r="EI98" s="182">
        <f t="shared" si="89"/>
        <v>0</v>
      </c>
      <c r="EJ98" s="182">
        <f t="shared" si="90"/>
        <v>0</v>
      </c>
      <c r="EK98" s="183">
        <f t="shared" si="91"/>
        <v>0</v>
      </c>
      <c r="EL98" s="184" t="e">
        <f t="shared" si="92"/>
        <v>#DIV/0!</v>
      </c>
      <c r="EM98" s="185">
        <f t="shared" si="93"/>
        <v>0</v>
      </c>
      <c r="EN98" s="164"/>
      <c r="EO98" s="181">
        <f t="shared" si="94"/>
        <v>0</v>
      </c>
      <c r="EP98" s="183">
        <f t="shared" si="95"/>
        <v>0</v>
      </c>
      <c r="EQ98" s="184" t="e">
        <f t="shared" si="96"/>
        <v>#DIV/0!</v>
      </c>
      <c r="ER98" s="185">
        <f t="shared" si="97"/>
        <v>0</v>
      </c>
      <c r="ES98" s="164"/>
      <c r="ET98" s="164"/>
      <c r="EU98" s="186">
        <f t="shared" si="98"/>
        <v>0</v>
      </c>
      <c r="EV98" s="186">
        <f t="shared" si="99"/>
        <v>0</v>
      </c>
      <c r="EW98" s="186">
        <f t="shared" si="100"/>
        <v>0</v>
      </c>
      <c r="EX98" s="186">
        <f t="shared" si="101"/>
        <v>0</v>
      </c>
      <c r="EY98" s="131"/>
      <c r="EZ98" s="187">
        <f t="shared" si="102"/>
        <v>0</v>
      </c>
      <c r="FA98" s="188" t="e">
        <f t="shared" si="103"/>
        <v>#DIV/0!</v>
      </c>
      <c r="FB98" s="189"/>
      <c r="FC98" s="131"/>
      <c r="FD98" s="131"/>
      <c r="FE98" s="131"/>
      <c r="FF98" s="131"/>
      <c r="FG98" s="131"/>
    </row>
    <row r="99" spans="1:164" s="169" customFormat="1" ht="16" hidden="1" outlineLevel="1" thickBot="1" x14ac:dyDescent="0.4">
      <c r="B99" s="357"/>
      <c r="C99" s="354"/>
      <c r="D99" s="240"/>
      <c r="E99" s="241"/>
      <c r="F99" s="135"/>
      <c r="G99" s="192"/>
      <c r="H99" s="242"/>
      <c r="I99" s="138">
        <f t="shared" si="56"/>
        <v>0</v>
      </c>
      <c r="J99" s="139"/>
      <c r="K99" s="193">
        <f t="shared" si="107"/>
        <v>0</v>
      </c>
      <c r="L99" s="141"/>
      <c r="M99" s="194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4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6"/>
      <c r="AN99" s="197">
        <f t="shared" si="58"/>
        <v>0</v>
      </c>
      <c r="AO99" s="146"/>
      <c r="AP99" s="147">
        <f t="shared" si="59"/>
        <v>0</v>
      </c>
      <c r="AQ99" s="148"/>
      <c r="AR99" s="198"/>
      <c r="AS99" s="198"/>
      <c r="AT99" s="135"/>
      <c r="AU99" s="199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199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2"/>
      <c r="CD99" s="199"/>
      <c r="CE99" s="194"/>
      <c r="CF99" s="195"/>
      <c r="CG99" s="195"/>
      <c r="CH99" s="195"/>
      <c r="CI99" s="195"/>
      <c r="CJ99" s="195"/>
      <c r="CK99" s="195"/>
      <c r="CL99" s="195"/>
      <c r="CM99" s="195"/>
      <c r="CN99" s="196"/>
      <c r="CO99" s="200"/>
      <c r="CP99" s="200"/>
      <c r="CQ99" s="201"/>
      <c r="CR99" s="202"/>
      <c r="CS99" s="203">
        <f t="shared" si="60"/>
        <v>0</v>
      </c>
      <c r="CT99" s="146"/>
      <c r="CU99" s="147">
        <f t="shared" si="61"/>
        <v>0</v>
      </c>
      <c r="CV99" s="156"/>
      <c r="CW99" s="157" t="e">
        <f t="shared" si="62"/>
        <v>#DIV/0!</v>
      </c>
      <c r="CX99" s="157" t="e">
        <f t="shared" si="63"/>
        <v>#DIV/0!</v>
      </c>
      <c r="CY99" s="157" t="e">
        <f t="shared" si="64"/>
        <v>#DIV/0!</v>
      </c>
      <c r="CZ99" s="157" t="e">
        <f t="shared" si="65"/>
        <v>#DIV/0!</v>
      </c>
      <c r="DA99" s="157" t="e">
        <f t="shared" si="66"/>
        <v>#DIV/0!</v>
      </c>
      <c r="DB99" s="158" t="e">
        <f t="shared" si="67"/>
        <v>#DIV/0!</v>
      </c>
      <c r="DC99" s="131"/>
      <c r="DD99" s="159">
        <f t="shared" si="68"/>
        <v>0</v>
      </c>
      <c r="DE99" s="160">
        <f t="shared" si="69"/>
        <v>0</v>
      </c>
      <c r="DF99" s="161">
        <f t="shared" si="70"/>
        <v>0</v>
      </c>
      <c r="DG99" s="162" t="e">
        <f t="shared" si="71"/>
        <v>#DIV/0!</v>
      </c>
      <c r="DH99" s="163">
        <f t="shared" si="72"/>
        <v>0</v>
      </c>
      <c r="DI99" s="164"/>
      <c r="DJ99" s="165">
        <f t="shared" si="55"/>
        <v>0</v>
      </c>
      <c r="DK99" s="166">
        <f t="shared" si="55"/>
        <v>0</v>
      </c>
      <c r="DL99" s="167" t="e">
        <f t="shared" si="73"/>
        <v>#DIV/0!</v>
      </c>
      <c r="DM99" s="168" t="e">
        <f t="shared" si="74"/>
        <v>#DIV/0!</v>
      </c>
      <c r="DN99" s="163" t="e">
        <f t="shared" si="75"/>
        <v>#DIV/0!</v>
      </c>
      <c r="DP99" s="170"/>
      <c r="DQ99" s="171"/>
      <c r="DR99" s="172">
        <f t="shared" si="76"/>
        <v>0</v>
      </c>
      <c r="DS99" s="173" t="e">
        <f t="shared" si="77"/>
        <v>#DIV/0!</v>
      </c>
      <c r="DT99" s="163" t="e">
        <f t="shared" si="78"/>
        <v>#DIV/0!</v>
      </c>
      <c r="DU99" s="174"/>
      <c r="DV99" s="175" t="e">
        <f t="shared" si="79"/>
        <v>#DIV/0!</v>
      </c>
      <c r="DW99" s="163">
        <f t="shared" si="80"/>
        <v>0</v>
      </c>
      <c r="DX99" s="164"/>
      <c r="DY99" s="176">
        <f t="shared" si="81"/>
        <v>0</v>
      </c>
      <c r="DZ99" s="177">
        <f t="shared" si="82"/>
        <v>0</v>
      </c>
      <c r="EA99" s="178">
        <f t="shared" si="83"/>
        <v>0</v>
      </c>
      <c r="EB99" s="179">
        <f t="shared" si="84"/>
        <v>0</v>
      </c>
      <c r="EC99" s="180"/>
      <c r="ED99" s="175" t="e">
        <f t="shared" si="85"/>
        <v>#DIV/0!</v>
      </c>
      <c r="EE99" s="163">
        <f t="shared" si="86"/>
        <v>0</v>
      </c>
      <c r="EF99" s="164"/>
      <c r="EG99" s="181">
        <f t="shared" si="87"/>
        <v>0</v>
      </c>
      <c r="EH99" s="182">
        <f t="shared" si="88"/>
        <v>0</v>
      </c>
      <c r="EI99" s="182">
        <f t="shared" si="89"/>
        <v>0</v>
      </c>
      <c r="EJ99" s="182">
        <f t="shared" si="90"/>
        <v>0</v>
      </c>
      <c r="EK99" s="183">
        <f t="shared" si="91"/>
        <v>0</v>
      </c>
      <c r="EL99" s="184" t="e">
        <f t="shared" si="92"/>
        <v>#DIV/0!</v>
      </c>
      <c r="EM99" s="185">
        <f t="shared" si="93"/>
        <v>0</v>
      </c>
      <c r="EN99" s="164"/>
      <c r="EO99" s="181">
        <f t="shared" si="94"/>
        <v>0</v>
      </c>
      <c r="EP99" s="183">
        <f t="shared" si="95"/>
        <v>0</v>
      </c>
      <c r="EQ99" s="184" t="e">
        <f t="shared" si="96"/>
        <v>#DIV/0!</v>
      </c>
      <c r="ER99" s="185">
        <f t="shared" si="97"/>
        <v>0</v>
      </c>
      <c r="ES99" s="164"/>
      <c r="ET99" s="164"/>
      <c r="EU99" s="186">
        <f t="shared" si="98"/>
        <v>0</v>
      </c>
      <c r="EV99" s="186">
        <f t="shared" si="99"/>
        <v>0</v>
      </c>
      <c r="EW99" s="186">
        <f t="shared" si="100"/>
        <v>0</v>
      </c>
      <c r="EX99" s="186">
        <f t="shared" si="101"/>
        <v>0</v>
      </c>
      <c r="EY99" s="131"/>
      <c r="EZ99" s="187">
        <f t="shared" si="102"/>
        <v>0</v>
      </c>
      <c r="FA99" s="188" t="e">
        <f t="shared" si="103"/>
        <v>#DIV/0!</v>
      </c>
      <c r="FB99" s="189"/>
      <c r="FC99" s="131"/>
      <c r="FD99" s="131"/>
      <c r="FE99" s="131"/>
      <c r="FF99" s="131"/>
      <c r="FG99" s="131"/>
    </row>
    <row r="100" spans="1:164" s="169" customFormat="1" ht="16" hidden="1" outlineLevel="1" thickBot="1" x14ac:dyDescent="0.4">
      <c r="B100" s="358"/>
      <c r="C100" s="355"/>
      <c r="D100" s="243"/>
      <c r="E100" s="244"/>
      <c r="F100" s="135"/>
      <c r="G100" s="192"/>
      <c r="H100" s="245"/>
      <c r="I100" s="138">
        <f t="shared" si="56"/>
        <v>0</v>
      </c>
      <c r="J100" s="139"/>
      <c r="K100" s="208">
        <f t="shared" si="107"/>
        <v>0</v>
      </c>
      <c r="L100" s="141"/>
      <c r="M100" s="209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09"/>
      <c r="AB100" s="210"/>
      <c r="AC100" s="210"/>
      <c r="AD100" s="210"/>
      <c r="AE100" s="210"/>
      <c r="AF100" s="210"/>
      <c r="AG100" s="210"/>
      <c r="AH100" s="210"/>
      <c r="AI100" s="210"/>
      <c r="AJ100" s="210"/>
      <c r="AK100" s="210"/>
      <c r="AL100" s="210"/>
      <c r="AM100" s="211"/>
      <c r="AN100" s="212">
        <f t="shared" si="58"/>
        <v>0</v>
      </c>
      <c r="AO100" s="146"/>
      <c r="AP100" s="147">
        <f t="shared" si="59"/>
        <v>0</v>
      </c>
      <c r="AQ100" s="148"/>
      <c r="AR100" s="213"/>
      <c r="AS100" s="213"/>
      <c r="AT100" s="135"/>
      <c r="AU100" s="214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4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7"/>
      <c r="CD100" s="214"/>
      <c r="CE100" s="209"/>
      <c r="CF100" s="210"/>
      <c r="CG100" s="210"/>
      <c r="CH100" s="210"/>
      <c r="CI100" s="210"/>
      <c r="CJ100" s="210"/>
      <c r="CK100" s="210"/>
      <c r="CL100" s="210"/>
      <c r="CM100" s="210"/>
      <c r="CN100" s="211"/>
      <c r="CO100" s="215"/>
      <c r="CP100" s="215"/>
      <c r="CQ100" s="216"/>
      <c r="CR100" s="217"/>
      <c r="CS100" s="218">
        <f t="shared" si="60"/>
        <v>0</v>
      </c>
      <c r="CT100" s="146"/>
      <c r="CU100" s="147">
        <f t="shared" si="61"/>
        <v>0</v>
      </c>
      <c r="CV100" s="156"/>
      <c r="CW100" s="157" t="e">
        <f t="shared" si="62"/>
        <v>#DIV/0!</v>
      </c>
      <c r="CX100" s="157" t="e">
        <f t="shared" si="63"/>
        <v>#DIV/0!</v>
      </c>
      <c r="CY100" s="157" t="e">
        <f t="shared" si="64"/>
        <v>#DIV/0!</v>
      </c>
      <c r="CZ100" s="157" t="e">
        <f t="shared" si="65"/>
        <v>#DIV/0!</v>
      </c>
      <c r="DA100" s="157" t="e">
        <f t="shared" si="66"/>
        <v>#DIV/0!</v>
      </c>
      <c r="DB100" s="158" t="e">
        <f t="shared" si="67"/>
        <v>#DIV/0!</v>
      </c>
      <c r="DC100" s="131"/>
      <c r="DD100" s="159">
        <f t="shared" si="68"/>
        <v>0</v>
      </c>
      <c r="DE100" s="160">
        <f t="shared" si="69"/>
        <v>0</v>
      </c>
      <c r="DF100" s="161">
        <f t="shared" si="70"/>
        <v>0</v>
      </c>
      <c r="DG100" s="162" t="e">
        <f t="shared" si="71"/>
        <v>#DIV/0!</v>
      </c>
      <c r="DH100" s="163">
        <f t="shared" si="72"/>
        <v>0</v>
      </c>
      <c r="DI100" s="164"/>
      <c r="DJ100" s="165">
        <f t="shared" si="55"/>
        <v>0</v>
      </c>
      <c r="DK100" s="166">
        <f t="shared" si="55"/>
        <v>0</v>
      </c>
      <c r="DL100" s="167" t="e">
        <f t="shared" si="73"/>
        <v>#DIV/0!</v>
      </c>
      <c r="DM100" s="168" t="e">
        <f t="shared" si="74"/>
        <v>#DIV/0!</v>
      </c>
      <c r="DN100" s="163" t="e">
        <f t="shared" si="75"/>
        <v>#DIV/0!</v>
      </c>
      <c r="DP100" s="170"/>
      <c r="DQ100" s="171"/>
      <c r="DR100" s="172">
        <f t="shared" si="76"/>
        <v>0</v>
      </c>
      <c r="DS100" s="173" t="e">
        <f t="shared" si="77"/>
        <v>#DIV/0!</v>
      </c>
      <c r="DT100" s="163" t="e">
        <f t="shared" si="78"/>
        <v>#DIV/0!</v>
      </c>
      <c r="DU100" s="174"/>
      <c r="DV100" s="175" t="e">
        <f t="shared" si="79"/>
        <v>#DIV/0!</v>
      </c>
      <c r="DW100" s="163">
        <f t="shared" si="80"/>
        <v>0</v>
      </c>
      <c r="DX100" s="164"/>
      <c r="DY100" s="176">
        <f t="shared" si="81"/>
        <v>0</v>
      </c>
      <c r="DZ100" s="177">
        <f t="shared" si="82"/>
        <v>0</v>
      </c>
      <c r="EA100" s="178">
        <f t="shared" si="83"/>
        <v>0</v>
      </c>
      <c r="EB100" s="179">
        <f t="shared" si="84"/>
        <v>0</v>
      </c>
      <c r="EC100" s="180"/>
      <c r="ED100" s="175" t="e">
        <f t="shared" si="85"/>
        <v>#DIV/0!</v>
      </c>
      <c r="EE100" s="163">
        <f t="shared" si="86"/>
        <v>0</v>
      </c>
      <c r="EF100" s="164"/>
      <c r="EG100" s="181">
        <f t="shared" si="87"/>
        <v>0</v>
      </c>
      <c r="EH100" s="182">
        <f t="shared" si="88"/>
        <v>0</v>
      </c>
      <c r="EI100" s="182">
        <f t="shared" si="89"/>
        <v>0</v>
      </c>
      <c r="EJ100" s="182">
        <f t="shared" si="90"/>
        <v>0</v>
      </c>
      <c r="EK100" s="183">
        <f t="shared" si="91"/>
        <v>0</v>
      </c>
      <c r="EL100" s="184" t="e">
        <f t="shared" si="92"/>
        <v>#DIV/0!</v>
      </c>
      <c r="EM100" s="185">
        <f t="shared" si="93"/>
        <v>0</v>
      </c>
      <c r="EN100" s="164"/>
      <c r="EO100" s="181">
        <f t="shared" si="94"/>
        <v>0</v>
      </c>
      <c r="EP100" s="183">
        <f t="shared" si="95"/>
        <v>0</v>
      </c>
      <c r="EQ100" s="184" t="e">
        <f t="shared" si="96"/>
        <v>#DIV/0!</v>
      </c>
      <c r="ER100" s="185">
        <f t="shared" si="97"/>
        <v>0</v>
      </c>
      <c r="ES100" s="164"/>
      <c r="ET100" s="164"/>
      <c r="EU100" s="186">
        <f t="shared" si="98"/>
        <v>0</v>
      </c>
      <c r="EV100" s="186">
        <f t="shared" si="99"/>
        <v>0</v>
      </c>
      <c r="EW100" s="186">
        <f t="shared" si="100"/>
        <v>0</v>
      </c>
      <c r="EX100" s="186">
        <f t="shared" si="101"/>
        <v>0</v>
      </c>
      <c r="EY100" s="131"/>
      <c r="EZ100" s="187">
        <f t="shared" si="102"/>
        <v>0</v>
      </c>
      <c r="FA100" s="188" t="e">
        <f t="shared" si="103"/>
        <v>#DIV/0!</v>
      </c>
      <c r="FB100" s="189"/>
      <c r="FC100" s="131"/>
      <c r="FD100" s="131"/>
      <c r="FE100" s="131"/>
      <c r="FF100" s="131"/>
      <c r="FG100" s="131"/>
    </row>
    <row r="101" spans="1:164" s="169" customFormat="1" ht="16" hidden="1" outlineLevel="1" thickBot="1" x14ac:dyDescent="0.4">
      <c r="B101" s="356">
        <v>44864</v>
      </c>
      <c r="C101" s="353"/>
      <c r="D101" s="133"/>
      <c r="E101" s="134"/>
      <c r="F101" s="135"/>
      <c r="G101" s="136"/>
      <c r="H101" s="137"/>
      <c r="I101" s="138">
        <f t="shared" si="56"/>
        <v>0</v>
      </c>
      <c r="J101" s="139"/>
      <c r="K101" s="140">
        <f>E101*60</f>
        <v>0</v>
      </c>
      <c r="L101" s="141"/>
      <c r="M101" s="142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2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4"/>
      <c r="AN101" s="145">
        <f t="shared" si="58"/>
        <v>0</v>
      </c>
      <c r="AO101" s="146"/>
      <c r="AP101" s="147">
        <f t="shared" si="59"/>
        <v>0</v>
      </c>
      <c r="AQ101" s="148"/>
      <c r="AR101" s="149"/>
      <c r="AS101" s="149"/>
      <c r="AT101" s="135"/>
      <c r="AU101" s="150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0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4"/>
      <c r="CD101" s="150"/>
      <c r="CE101" s="142"/>
      <c r="CF101" s="143"/>
      <c r="CG101" s="143"/>
      <c r="CH101" s="143"/>
      <c r="CI101" s="143"/>
      <c r="CJ101" s="143"/>
      <c r="CK101" s="143"/>
      <c r="CL101" s="143"/>
      <c r="CM101" s="143"/>
      <c r="CN101" s="144"/>
      <c r="CO101" s="151"/>
      <c r="CP101" s="151"/>
      <c r="CQ101" s="152"/>
      <c r="CR101" s="154"/>
      <c r="CS101" s="155">
        <f t="shared" ref="CS101:CS106" si="113">SUM(AU101:CR101)</f>
        <v>0</v>
      </c>
      <c r="CT101" s="146"/>
      <c r="CU101" s="147">
        <f t="shared" si="61"/>
        <v>0</v>
      </c>
      <c r="CV101" s="156"/>
      <c r="CW101" s="157" t="e">
        <f t="shared" si="62"/>
        <v>#DIV/0!</v>
      </c>
      <c r="CX101" s="157" t="e">
        <f t="shared" si="63"/>
        <v>#DIV/0!</v>
      </c>
      <c r="CY101" s="157" t="e">
        <f t="shared" ref="CY101:CY106" si="114">(SUM(AU101:BQ101))/$K101</f>
        <v>#DIV/0!</v>
      </c>
      <c r="CZ101" s="157" t="e">
        <f t="shared" si="65"/>
        <v>#DIV/0!</v>
      </c>
      <c r="DA101" s="157" t="e">
        <f t="shared" si="66"/>
        <v>#DIV/0!</v>
      </c>
      <c r="DB101" s="158" t="e">
        <f t="shared" si="67"/>
        <v>#DIV/0!</v>
      </c>
      <c r="DC101" s="131"/>
      <c r="DD101" s="159">
        <f t="shared" si="68"/>
        <v>0</v>
      </c>
      <c r="DE101" s="160">
        <f t="shared" si="69"/>
        <v>0</v>
      </c>
      <c r="DF101" s="161">
        <f t="shared" si="70"/>
        <v>0</v>
      </c>
      <c r="DG101" s="162" t="e">
        <f t="shared" si="71"/>
        <v>#DIV/0!</v>
      </c>
      <c r="DH101" s="163">
        <f t="shared" si="72"/>
        <v>0</v>
      </c>
      <c r="DI101" s="164"/>
      <c r="DJ101" s="165">
        <f t="shared" si="55"/>
        <v>0</v>
      </c>
      <c r="DK101" s="166">
        <f t="shared" si="55"/>
        <v>0</v>
      </c>
      <c r="DL101" s="167" t="e">
        <f t="shared" si="73"/>
        <v>#DIV/0!</v>
      </c>
      <c r="DM101" s="168" t="e">
        <f t="shared" si="74"/>
        <v>#DIV/0!</v>
      </c>
      <c r="DN101" s="163" t="e">
        <f t="shared" si="75"/>
        <v>#DIV/0!</v>
      </c>
      <c r="DP101" s="170"/>
      <c r="DQ101" s="171"/>
      <c r="DR101" s="172">
        <f t="shared" si="76"/>
        <v>0</v>
      </c>
      <c r="DS101" s="173" t="e">
        <f t="shared" si="77"/>
        <v>#DIV/0!</v>
      </c>
      <c r="DT101" s="163" t="e">
        <f t="shared" si="78"/>
        <v>#DIV/0!</v>
      </c>
      <c r="DU101" s="174"/>
      <c r="DV101" s="175" t="e">
        <f t="shared" si="79"/>
        <v>#DIV/0!</v>
      </c>
      <c r="DW101" s="163">
        <f t="shared" si="80"/>
        <v>0</v>
      </c>
      <c r="DX101" s="164"/>
      <c r="DY101" s="176">
        <f t="shared" si="81"/>
        <v>0</v>
      </c>
      <c r="DZ101" s="177">
        <f t="shared" si="82"/>
        <v>0</v>
      </c>
      <c r="EA101" s="178">
        <f t="shared" si="83"/>
        <v>0</v>
      </c>
      <c r="EB101" s="179">
        <f t="shared" si="84"/>
        <v>0</v>
      </c>
      <c r="EC101" s="180"/>
      <c r="ED101" s="175" t="e">
        <f t="shared" si="85"/>
        <v>#DIV/0!</v>
      </c>
      <c r="EE101" s="163">
        <f t="shared" si="86"/>
        <v>0</v>
      </c>
      <c r="EF101" s="164"/>
      <c r="EG101" s="181">
        <f t="shared" si="87"/>
        <v>0</v>
      </c>
      <c r="EH101" s="182">
        <f t="shared" si="88"/>
        <v>0</v>
      </c>
      <c r="EI101" s="182">
        <f t="shared" si="89"/>
        <v>0</v>
      </c>
      <c r="EJ101" s="182">
        <f t="shared" si="90"/>
        <v>0</v>
      </c>
      <c r="EK101" s="183">
        <f t="shared" si="91"/>
        <v>0</v>
      </c>
      <c r="EL101" s="184" t="e">
        <f t="shared" si="92"/>
        <v>#DIV/0!</v>
      </c>
      <c r="EM101" s="185">
        <f t="shared" si="93"/>
        <v>0</v>
      </c>
      <c r="EN101" s="164"/>
      <c r="EO101" s="181">
        <f t="shared" si="94"/>
        <v>0</v>
      </c>
      <c r="EP101" s="183">
        <f t="shared" si="95"/>
        <v>0</v>
      </c>
      <c r="EQ101" s="184" t="e">
        <f t="shared" si="96"/>
        <v>#DIV/0!</v>
      </c>
      <c r="ER101" s="185">
        <f t="shared" si="97"/>
        <v>0</v>
      </c>
      <c r="ES101" s="164"/>
      <c r="ET101" s="164"/>
      <c r="EU101" s="186">
        <f t="shared" si="98"/>
        <v>0</v>
      </c>
      <c r="EV101" s="186">
        <f t="shared" si="99"/>
        <v>0</v>
      </c>
      <c r="EW101" s="186">
        <f t="shared" si="100"/>
        <v>0</v>
      </c>
      <c r="EX101" s="186">
        <f t="shared" si="101"/>
        <v>0</v>
      </c>
      <c r="EY101" s="131"/>
      <c r="EZ101" s="187">
        <f t="shared" si="102"/>
        <v>0</v>
      </c>
      <c r="FA101" s="188" t="e">
        <f t="shared" si="103"/>
        <v>#DIV/0!</v>
      </c>
      <c r="FB101" s="189"/>
      <c r="FC101" s="131"/>
      <c r="FD101" s="131"/>
      <c r="FE101" s="131"/>
      <c r="FF101" s="131"/>
      <c r="FG101" s="131"/>
    </row>
    <row r="102" spans="1:164" s="169" customFormat="1" ht="16" hidden="1" outlineLevel="1" thickBot="1" x14ac:dyDescent="0.4">
      <c r="B102" s="357"/>
      <c r="C102" s="354"/>
      <c r="D102" s="240"/>
      <c r="E102" s="241"/>
      <c r="F102" s="135"/>
      <c r="G102" s="192"/>
      <c r="H102" s="242"/>
      <c r="I102" s="138">
        <f t="shared" si="56"/>
        <v>0</v>
      </c>
      <c r="J102" s="139"/>
      <c r="K102" s="193">
        <f t="shared" si="107"/>
        <v>0</v>
      </c>
      <c r="L102" s="141"/>
      <c r="M102" s="194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4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6"/>
      <c r="AN102" s="197">
        <f t="shared" si="58"/>
        <v>0</v>
      </c>
      <c r="AO102" s="146"/>
      <c r="AP102" s="147">
        <f t="shared" si="59"/>
        <v>0</v>
      </c>
      <c r="AQ102" s="148"/>
      <c r="AR102" s="198"/>
      <c r="AS102" s="198"/>
      <c r="AT102" s="135"/>
      <c r="AU102" s="199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199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2"/>
      <c r="CD102" s="199"/>
      <c r="CE102" s="194"/>
      <c r="CF102" s="195"/>
      <c r="CG102" s="195"/>
      <c r="CH102" s="195"/>
      <c r="CI102" s="195"/>
      <c r="CJ102" s="195"/>
      <c r="CK102" s="195"/>
      <c r="CL102" s="195"/>
      <c r="CM102" s="195"/>
      <c r="CN102" s="196"/>
      <c r="CO102" s="200"/>
      <c r="CP102" s="200"/>
      <c r="CQ102" s="201"/>
      <c r="CR102" s="202"/>
      <c r="CS102" s="203">
        <f t="shared" si="113"/>
        <v>0</v>
      </c>
      <c r="CT102" s="146"/>
      <c r="CU102" s="147">
        <f t="shared" si="61"/>
        <v>0</v>
      </c>
      <c r="CV102" s="156"/>
      <c r="CW102" s="157" t="e">
        <f t="shared" si="62"/>
        <v>#DIV/0!</v>
      </c>
      <c r="CX102" s="157" t="e">
        <f t="shared" si="63"/>
        <v>#DIV/0!</v>
      </c>
      <c r="CY102" s="157" t="e">
        <f t="shared" si="114"/>
        <v>#DIV/0!</v>
      </c>
      <c r="CZ102" s="157" t="e">
        <f t="shared" si="65"/>
        <v>#DIV/0!</v>
      </c>
      <c r="DA102" s="157" t="e">
        <f t="shared" si="66"/>
        <v>#DIV/0!</v>
      </c>
      <c r="DB102" s="158" t="e">
        <f t="shared" si="67"/>
        <v>#DIV/0!</v>
      </c>
      <c r="DC102" s="131"/>
      <c r="DD102" s="159">
        <f t="shared" si="68"/>
        <v>0</v>
      </c>
      <c r="DE102" s="160">
        <f t="shared" si="69"/>
        <v>0</v>
      </c>
      <c r="DF102" s="161">
        <f t="shared" si="70"/>
        <v>0</v>
      </c>
      <c r="DG102" s="162" t="e">
        <f t="shared" si="71"/>
        <v>#DIV/0!</v>
      </c>
      <c r="DH102" s="163">
        <f t="shared" si="72"/>
        <v>0</v>
      </c>
      <c r="DI102" s="164"/>
      <c r="DJ102" s="165">
        <f t="shared" si="55"/>
        <v>0</v>
      </c>
      <c r="DK102" s="166">
        <f t="shared" si="55"/>
        <v>0</v>
      </c>
      <c r="DL102" s="167" t="e">
        <f t="shared" si="73"/>
        <v>#DIV/0!</v>
      </c>
      <c r="DM102" s="168" t="e">
        <f t="shared" si="74"/>
        <v>#DIV/0!</v>
      </c>
      <c r="DN102" s="163" t="e">
        <f t="shared" si="75"/>
        <v>#DIV/0!</v>
      </c>
      <c r="DP102" s="170"/>
      <c r="DQ102" s="171"/>
      <c r="DR102" s="172">
        <f t="shared" si="76"/>
        <v>0</v>
      </c>
      <c r="DS102" s="173" t="e">
        <f t="shared" si="77"/>
        <v>#DIV/0!</v>
      </c>
      <c r="DT102" s="163" t="e">
        <f t="shared" si="78"/>
        <v>#DIV/0!</v>
      </c>
      <c r="DU102" s="174"/>
      <c r="DV102" s="175" t="e">
        <f t="shared" si="79"/>
        <v>#DIV/0!</v>
      </c>
      <c r="DW102" s="163">
        <f t="shared" si="80"/>
        <v>0</v>
      </c>
      <c r="DX102" s="164"/>
      <c r="DY102" s="176">
        <f t="shared" si="81"/>
        <v>0</v>
      </c>
      <c r="DZ102" s="177">
        <f t="shared" si="82"/>
        <v>0</v>
      </c>
      <c r="EA102" s="178">
        <f t="shared" si="83"/>
        <v>0</v>
      </c>
      <c r="EB102" s="179">
        <f t="shared" si="84"/>
        <v>0</v>
      </c>
      <c r="EC102" s="180"/>
      <c r="ED102" s="175" t="e">
        <f t="shared" si="85"/>
        <v>#DIV/0!</v>
      </c>
      <c r="EE102" s="163">
        <f t="shared" si="86"/>
        <v>0</v>
      </c>
      <c r="EF102" s="164"/>
      <c r="EG102" s="181">
        <f t="shared" si="87"/>
        <v>0</v>
      </c>
      <c r="EH102" s="182">
        <f t="shared" si="88"/>
        <v>0</v>
      </c>
      <c r="EI102" s="182">
        <f t="shared" si="89"/>
        <v>0</v>
      </c>
      <c r="EJ102" s="182">
        <f t="shared" si="90"/>
        <v>0</v>
      </c>
      <c r="EK102" s="183">
        <f t="shared" si="91"/>
        <v>0</v>
      </c>
      <c r="EL102" s="184" t="e">
        <f t="shared" si="92"/>
        <v>#DIV/0!</v>
      </c>
      <c r="EM102" s="185">
        <f t="shared" si="93"/>
        <v>0</v>
      </c>
      <c r="EN102" s="164"/>
      <c r="EO102" s="181">
        <f t="shared" si="94"/>
        <v>0</v>
      </c>
      <c r="EP102" s="183">
        <f t="shared" si="95"/>
        <v>0</v>
      </c>
      <c r="EQ102" s="184" t="e">
        <f t="shared" si="96"/>
        <v>#DIV/0!</v>
      </c>
      <c r="ER102" s="185">
        <f t="shared" si="97"/>
        <v>0</v>
      </c>
      <c r="ES102" s="164"/>
      <c r="ET102" s="164"/>
      <c r="EU102" s="186">
        <f t="shared" si="98"/>
        <v>0</v>
      </c>
      <c r="EV102" s="186">
        <f t="shared" si="99"/>
        <v>0</v>
      </c>
      <c r="EW102" s="186">
        <f t="shared" si="100"/>
        <v>0</v>
      </c>
      <c r="EX102" s="186">
        <f t="shared" si="101"/>
        <v>0</v>
      </c>
      <c r="EY102" s="131"/>
      <c r="EZ102" s="187">
        <f t="shared" si="102"/>
        <v>0</v>
      </c>
      <c r="FA102" s="188" t="e">
        <f t="shared" si="103"/>
        <v>#DIV/0!</v>
      </c>
      <c r="FB102" s="189"/>
      <c r="FC102" s="131"/>
      <c r="FD102" s="131"/>
      <c r="FE102" s="131"/>
      <c r="FF102" s="131"/>
      <c r="FG102" s="131"/>
    </row>
    <row r="103" spans="1:164" s="169" customFormat="1" ht="16" hidden="1" outlineLevel="1" thickBot="1" x14ac:dyDescent="0.4">
      <c r="B103" s="358"/>
      <c r="C103" s="355"/>
      <c r="D103" s="243"/>
      <c r="E103" s="244"/>
      <c r="F103" s="135"/>
      <c r="G103" s="192"/>
      <c r="H103" s="245"/>
      <c r="I103" s="138">
        <f t="shared" si="56"/>
        <v>0</v>
      </c>
      <c r="J103" s="139"/>
      <c r="K103" s="208">
        <f t="shared" si="107"/>
        <v>0</v>
      </c>
      <c r="L103" s="141"/>
      <c r="M103" s="209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09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1"/>
      <c r="AN103" s="212">
        <f t="shared" si="58"/>
        <v>0</v>
      </c>
      <c r="AO103" s="146"/>
      <c r="AP103" s="147">
        <f t="shared" si="59"/>
        <v>0</v>
      </c>
      <c r="AQ103" s="148"/>
      <c r="AR103" s="213"/>
      <c r="AS103" s="213"/>
      <c r="AT103" s="135"/>
      <c r="AU103" s="214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215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4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7"/>
      <c r="CD103" s="214"/>
      <c r="CE103" s="209"/>
      <c r="CF103" s="210"/>
      <c r="CG103" s="210"/>
      <c r="CH103" s="210"/>
      <c r="CI103" s="210"/>
      <c r="CJ103" s="210"/>
      <c r="CK103" s="210"/>
      <c r="CL103" s="210"/>
      <c r="CM103" s="210"/>
      <c r="CN103" s="211"/>
      <c r="CO103" s="215"/>
      <c r="CP103" s="215"/>
      <c r="CQ103" s="216"/>
      <c r="CR103" s="217"/>
      <c r="CS103" s="218">
        <f t="shared" si="113"/>
        <v>0</v>
      </c>
      <c r="CT103" s="146"/>
      <c r="CU103" s="147">
        <f t="shared" si="61"/>
        <v>0</v>
      </c>
      <c r="CV103" s="156"/>
      <c r="CW103" s="157" t="e">
        <f t="shared" si="62"/>
        <v>#DIV/0!</v>
      </c>
      <c r="CX103" s="157" t="e">
        <f t="shared" si="63"/>
        <v>#DIV/0!</v>
      </c>
      <c r="CY103" s="157" t="e">
        <f t="shared" si="114"/>
        <v>#DIV/0!</v>
      </c>
      <c r="CZ103" s="157" t="e">
        <f t="shared" si="65"/>
        <v>#DIV/0!</v>
      </c>
      <c r="DA103" s="157" t="e">
        <f t="shared" si="66"/>
        <v>#DIV/0!</v>
      </c>
      <c r="DB103" s="158" t="e">
        <f t="shared" si="67"/>
        <v>#DIV/0!</v>
      </c>
      <c r="DC103" s="131"/>
      <c r="DD103" s="159">
        <f t="shared" si="68"/>
        <v>0</v>
      </c>
      <c r="DE103" s="160">
        <f t="shared" si="69"/>
        <v>0</v>
      </c>
      <c r="DF103" s="161">
        <f t="shared" si="70"/>
        <v>0</v>
      </c>
      <c r="DG103" s="162" t="e">
        <f t="shared" si="71"/>
        <v>#DIV/0!</v>
      </c>
      <c r="DH103" s="163">
        <f t="shared" si="72"/>
        <v>0</v>
      </c>
      <c r="DI103" s="164"/>
      <c r="DJ103" s="165">
        <f t="shared" si="55"/>
        <v>0</v>
      </c>
      <c r="DK103" s="166">
        <f t="shared" si="55"/>
        <v>0</v>
      </c>
      <c r="DL103" s="167" t="e">
        <f t="shared" si="73"/>
        <v>#DIV/0!</v>
      </c>
      <c r="DM103" s="168" t="e">
        <f t="shared" si="74"/>
        <v>#DIV/0!</v>
      </c>
      <c r="DN103" s="163" t="e">
        <f t="shared" si="75"/>
        <v>#DIV/0!</v>
      </c>
      <c r="DP103" s="170"/>
      <c r="DQ103" s="171"/>
      <c r="DR103" s="172">
        <f t="shared" si="76"/>
        <v>0</v>
      </c>
      <c r="DS103" s="173" t="e">
        <f t="shared" si="77"/>
        <v>#DIV/0!</v>
      </c>
      <c r="DT103" s="163" t="e">
        <f t="shared" si="78"/>
        <v>#DIV/0!</v>
      </c>
      <c r="DU103" s="174"/>
      <c r="DV103" s="175" t="e">
        <f t="shared" si="79"/>
        <v>#DIV/0!</v>
      </c>
      <c r="DW103" s="163">
        <f t="shared" si="80"/>
        <v>0</v>
      </c>
      <c r="DX103" s="164"/>
      <c r="DY103" s="176">
        <f t="shared" si="81"/>
        <v>0</v>
      </c>
      <c r="DZ103" s="177">
        <f t="shared" si="82"/>
        <v>0</v>
      </c>
      <c r="EA103" s="178">
        <f t="shared" si="83"/>
        <v>0</v>
      </c>
      <c r="EB103" s="179">
        <f t="shared" si="84"/>
        <v>0</v>
      </c>
      <c r="EC103" s="180"/>
      <c r="ED103" s="175" t="e">
        <f t="shared" si="85"/>
        <v>#DIV/0!</v>
      </c>
      <c r="EE103" s="163">
        <f t="shared" si="86"/>
        <v>0</v>
      </c>
      <c r="EF103" s="164"/>
      <c r="EG103" s="181">
        <f t="shared" si="87"/>
        <v>0</v>
      </c>
      <c r="EH103" s="182">
        <f t="shared" si="88"/>
        <v>0</v>
      </c>
      <c r="EI103" s="182">
        <f t="shared" si="89"/>
        <v>0</v>
      </c>
      <c r="EJ103" s="182">
        <f t="shared" si="90"/>
        <v>0</v>
      </c>
      <c r="EK103" s="183">
        <f t="shared" si="91"/>
        <v>0</v>
      </c>
      <c r="EL103" s="184" t="e">
        <f t="shared" si="92"/>
        <v>#DIV/0!</v>
      </c>
      <c r="EM103" s="185">
        <f t="shared" si="93"/>
        <v>0</v>
      </c>
      <c r="EN103" s="164"/>
      <c r="EO103" s="181">
        <f t="shared" si="94"/>
        <v>0</v>
      </c>
      <c r="EP103" s="183">
        <f t="shared" si="95"/>
        <v>0</v>
      </c>
      <c r="EQ103" s="184" t="e">
        <f t="shared" si="96"/>
        <v>#DIV/0!</v>
      </c>
      <c r="ER103" s="185">
        <f t="shared" si="97"/>
        <v>0</v>
      </c>
      <c r="ES103" s="164"/>
      <c r="ET103" s="164"/>
      <c r="EU103" s="186">
        <f t="shared" si="98"/>
        <v>0</v>
      </c>
      <c r="EV103" s="186">
        <f t="shared" si="99"/>
        <v>0</v>
      </c>
      <c r="EW103" s="186">
        <f t="shared" si="100"/>
        <v>0</v>
      </c>
      <c r="EX103" s="186">
        <f t="shared" si="101"/>
        <v>0</v>
      </c>
      <c r="EY103" s="131"/>
      <c r="EZ103" s="187">
        <f t="shared" si="102"/>
        <v>0</v>
      </c>
      <c r="FA103" s="188" t="e">
        <f t="shared" si="103"/>
        <v>#DIV/0!</v>
      </c>
      <c r="FB103" s="189"/>
      <c r="FC103" s="131"/>
      <c r="FD103" s="131"/>
      <c r="FE103" s="131"/>
      <c r="FF103" s="131"/>
      <c r="FG103" s="131"/>
    </row>
    <row r="104" spans="1:164" s="169" customFormat="1" ht="16" hidden="1" outlineLevel="1" thickBot="1" x14ac:dyDescent="0.4">
      <c r="B104" s="356">
        <v>44865</v>
      </c>
      <c r="C104" s="353"/>
      <c r="D104" s="133"/>
      <c r="E104" s="134"/>
      <c r="F104" s="135"/>
      <c r="G104" s="136"/>
      <c r="H104" s="137"/>
      <c r="I104" s="138">
        <f t="shared" si="56"/>
        <v>0</v>
      </c>
      <c r="J104" s="139"/>
      <c r="K104" s="140">
        <f>E104*60</f>
        <v>0</v>
      </c>
      <c r="L104" s="141"/>
      <c r="M104" s="142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2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4"/>
      <c r="AN104" s="145">
        <f t="shared" si="58"/>
        <v>0</v>
      </c>
      <c r="AO104" s="146"/>
      <c r="AP104" s="147">
        <f t="shared" si="59"/>
        <v>0</v>
      </c>
      <c r="AQ104" s="148"/>
      <c r="AR104" s="149"/>
      <c r="AS104" s="149"/>
      <c r="AT104" s="135"/>
      <c r="AU104" s="150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0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4"/>
      <c r="CD104" s="150"/>
      <c r="CE104" s="142"/>
      <c r="CF104" s="143"/>
      <c r="CG104" s="143"/>
      <c r="CH104" s="143"/>
      <c r="CI104" s="143"/>
      <c r="CJ104" s="143"/>
      <c r="CK104" s="143"/>
      <c r="CL104" s="143"/>
      <c r="CM104" s="143"/>
      <c r="CN104" s="144"/>
      <c r="CO104" s="151"/>
      <c r="CP104" s="151"/>
      <c r="CQ104" s="152"/>
      <c r="CR104" s="154"/>
      <c r="CS104" s="155">
        <f t="shared" si="113"/>
        <v>0</v>
      </c>
      <c r="CT104" s="146"/>
      <c r="CU104" s="147">
        <f t="shared" si="61"/>
        <v>0</v>
      </c>
      <c r="CV104" s="156"/>
      <c r="CW104" s="157" t="e">
        <f t="shared" si="62"/>
        <v>#DIV/0!</v>
      </c>
      <c r="CX104" s="157" t="e">
        <f t="shared" si="63"/>
        <v>#DIV/0!</v>
      </c>
      <c r="CY104" s="157" t="e">
        <f t="shared" si="114"/>
        <v>#DIV/0!</v>
      </c>
      <c r="CZ104" s="157" t="e">
        <f t="shared" si="65"/>
        <v>#DIV/0!</v>
      </c>
      <c r="DA104" s="157" t="e">
        <f t="shared" si="66"/>
        <v>#DIV/0!</v>
      </c>
      <c r="DB104" s="158" t="e">
        <f t="shared" si="67"/>
        <v>#DIV/0!</v>
      </c>
      <c r="DC104" s="131"/>
      <c r="DD104" s="159">
        <f t="shared" si="68"/>
        <v>0</v>
      </c>
      <c r="DE104" s="160">
        <f t="shared" si="69"/>
        <v>0</v>
      </c>
      <c r="DF104" s="161">
        <f t="shared" si="70"/>
        <v>0</v>
      </c>
      <c r="DG104" s="162" t="e">
        <f t="shared" si="71"/>
        <v>#DIV/0!</v>
      </c>
      <c r="DH104" s="163">
        <f t="shared" si="72"/>
        <v>0</v>
      </c>
      <c r="DI104" s="164"/>
      <c r="DJ104" s="165">
        <f t="shared" ref="DJ104:DK106" si="115">H104</f>
        <v>0</v>
      </c>
      <c r="DK104" s="166">
        <f t="shared" si="115"/>
        <v>0</v>
      </c>
      <c r="DL104" s="167" t="e">
        <f t="shared" si="73"/>
        <v>#DIV/0!</v>
      </c>
      <c r="DM104" s="168" t="e">
        <f t="shared" si="74"/>
        <v>#DIV/0!</v>
      </c>
      <c r="DN104" s="163" t="e">
        <f t="shared" si="75"/>
        <v>#DIV/0!</v>
      </c>
      <c r="DP104" s="170"/>
      <c r="DQ104" s="171"/>
      <c r="DR104" s="172">
        <f t="shared" si="76"/>
        <v>0</v>
      </c>
      <c r="DS104" s="173" t="e">
        <f t="shared" si="77"/>
        <v>#DIV/0!</v>
      </c>
      <c r="DT104" s="163" t="e">
        <f t="shared" si="78"/>
        <v>#DIV/0!</v>
      </c>
      <c r="DU104" s="174"/>
      <c r="DV104" s="175" t="e">
        <f t="shared" si="79"/>
        <v>#DIV/0!</v>
      </c>
      <c r="DW104" s="163">
        <f t="shared" si="80"/>
        <v>0</v>
      </c>
      <c r="DX104" s="164"/>
      <c r="DY104" s="176">
        <f t="shared" si="81"/>
        <v>0</v>
      </c>
      <c r="DZ104" s="177">
        <f t="shared" si="82"/>
        <v>0</v>
      </c>
      <c r="EA104" s="178">
        <f t="shared" si="83"/>
        <v>0</v>
      </c>
      <c r="EB104" s="179">
        <f t="shared" si="84"/>
        <v>0</v>
      </c>
      <c r="EC104" s="180"/>
      <c r="ED104" s="175" t="e">
        <f t="shared" si="85"/>
        <v>#DIV/0!</v>
      </c>
      <c r="EE104" s="163">
        <f t="shared" si="86"/>
        <v>0</v>
      </c>
      <c r="EF104" s="164"/>
      <c r="EG104" s="181">
        <f t="shared" si="87"/>
        <v>0</v>
      </c>
      <c r="EH104" s="182">
        <f t="shared" si="88"/>
        <v>0</v>
      </c>
      <c r="EI104" s="182">
        <f t="shared" si="89"/>
        <v>0</v>
      </c>
      <c r="EJ104" s="182">
        <f t="shared" si="90"/>
        <v>0</v>
      </c>
      <c r="EK104" s="183">
        <f t="shared" si="91"/>
        <v>0</v>
      </c>
      <c r="EL104" s="184" t="e">
        <f t="shared" si="92"/>
        <v>#DIV/0!</v>
      </c>
      <c r="EM104" s="185">
        <f t="shared" si="93"/>
        <v>0</v>
      </c>
      <c r="EN104" s="164"/>
      <c r="EO104" s="181">
        <f t="shared" si="94"/>
        <v>0</v>
      </c>
      <c r="EP104" s="183">
        <f t="shared" si="95"/>
        <v>0</v>
      </c>
      <c r="EQ104" s="184" t="e">
        <f t="shared" si="96"/>
        <v>#DIV/0!</v>
      </c>
      <c r="ER104" s="185">
        <f t="shared" si="97"/>
        <v>0</v>
      </c>
      <c r="ES104" s="164"/>
      <c r="ET104" s="164"/>
      <c r="EU104" s="186">
        <f t="shared" si="98"/>
        <v>0</v>
      </c>
      <c r="EV104" s="186">
        <f t="shared" si="99"/>
        <v>0</v>
      </c>
      <c r="EW104" s="186">
        <f t="shared" si="100"/>
        <v>0</v>
      </c>
      <c r="EX104" s="186">
        <f t="shared" si="101"/>
        <v>0</v>
      </c>
      <c r="EY104" s="131"/>
      <c r="EZ104" s="187">
        <f t="shared" si="102"/>
        <v>0</v>
      </c>
      <c r="FA104" s="188" t="e">
        <f t="shared" si="103"/>
        <v>#DIV/0!</v>
      </c>
      <c r="FB104" s="189"/>
      <c r="FC104" s="131"/>
      <c r="FD104" s="131"/>
      <c r="FE104" s="131"/>
      <c r="FF104" s="131"/>
      <c r="FG104" s="131"/>
    </row>
    <row r="105" spans="1:164" s="169" customFormat="1" ht="16" hidden="1" outlineLevel="1" thickBot="1" x14ac:dyDescent="0.4">
      <c r="B105" s="357"/>
      <c r="C105" s="354"/>
      <c r="D105" s="240"/>
      <c r="E105" s="241"/>
      <c r="F105" s="135"/>
      <c r="G105" s="192"/>
      <c r="H105" s="242"/>
      <c r="I105" s="138">
        <f t="shared" si="56"/>
        <v>0</v>
      </c>
      <c r="J105" s="139"/>
      <c r="K105" s="193">
        <f t="shared" ref="K105:K106" si="116">E105*60</f>
        <v>0</v>
      </c>
      <c r="L105" s="141"/>
      <c r="M105" s="194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4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6"/>
      <c r="AN105" s="197">
        <f t="shared" si="58"/>
        <v>0</v>
      </c>
      <c r="AO105" s="146"/>
      <c r="AP105" s="147">
        <f t="shared" si="59"/>
        <v>0</v>
      </c>
      <c r="AQ105" s="148"/>
      <c r="AR105" s="198"/>
      <c r="AS105" s="198"/>
      <c r="AT105" s="135"/>
      <c r="AU105" s="199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1"/>
      <c r="BG105" s="201"/>
      <c r="BH105" s="201"/>
      <c r="BI105" s="201"/>
      <c r="BJ105" s="201"/>
      <c r="BK105" s="201"/>
      <c r="BL105" s="201"/>
      <c r="BM105" s="201"/>
      <c r="BN105" s="201"/>
      <c r="BO105" s="201"/>
      <c r="BP105" s="201"/>
      <c r="BQ105" s="201"/>
      <c r="BR105" s="199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2"/>
      <c r="CD105" s="199"/>
      <c r="CE105" s="194"/>
      <c r="CF105" s="195"/>
      <c r="CG105" s="195"/>
      <c r="CH105" s="195"/>
      <c r="CI105" s="195"/>
      <c r="CJ105" s="195"/>
      <c r="CK105" s="195"/>
      <c r="CL105" s="195"/>
      <c r="CM105" s="195"/>
      <c r="CN105" s="196"/>
      <c r="CO105" s="200"/>
      <c r="CP105" s="200"/>
      <c r="CQ105" s="201"/>
      <c r="CR105" s="202"/>
      <c r="CS105" s="203">
        <f t="shared" si="113"/>
        <v>0</v>
      </c>
      <c r="CT105" s="146"/>
      <c r="CU105" s="147">
        <f t="shared" si="61"/>
        <v>0</v>
      </c>
      <c r="CV105" s="156"/>
      <c r="CW105" s="157" t="e">
        <f t="shared" si="62"/>
        <v>#DIV/0!</v>
      </c>
      <c r="CX105" s="157" t="e">
        <f t="shared" si="63"/>
        <v>#DIV/0!</v>
      </c>
      <c r="CY105" s="157" t="e">
        <f t="shared" si="114"/>
        <v>#DIV/0!</v>
      </c>
      <c r="CZ105" s="157" t="e">
        <f t="shared" si="65"/>
        <v>#DIV/0!</v>
      </c>
      <c r="DA105" s="157" t="e">
        <f t="shared" si="66"/>
        <v>#DIV/0!</v>
      </c>
      <c r="DB105" s="158" t="e">
        <f t="shared" si="67"/>
        <v>#DIV/0!</v>
      </c>
      <c r="DC105" s="131"/>
      <c r="DD105" s="159">
        <f t="shared" si="68"/>
        <v>0</v>
      </c>
      <c r="DE105" s="160">
        <f t="shared" si="69"/>
        <v>0</v>
      </c>
      <c r="DF105" s="161">
        <f t="shared" si="70"/>
        <v>0</v>
      </c>
      <c r="DG105" s="162" t="e">
        <f t="shared" si="71"/>
        <v>#DIV/0!</v>
      </c>
      <c r="DH105" s="163">
        <f t="shared" si="72"/>
        <v>0</v>
      </c>
      <c r="DI105" s="164"/>
      <c r="DJ105" s="165">
        <f t="shared" si="115"/>
        <v>0</v>
      </c>
      <c r="DK105" s="166">
        <f t="shared" si="115"/>
        <v>0</v>
      </c>
      <c r="DL105" s="167" t="e">
        <f t="shared" si="73"/>
        <v>#DIV/0!</v>
      </c>
      <c r="DM105" s="168" t="e">
        <f t="shared" si="74"/>
        <v>#DIV/0!</v>
      </c>
      <c r="DN105" s="163" t="e">
        <f t="shared" si="75"/>
        <v>#DIV/0!</v>
      </c>
      <c r="DP105" s="170"/>
      <c r="DQ105" s="171"/>
      <c r="DR105" s="172">
        <f t="shared" si="76"/>
        <v>0</v>
      </c>
      <c r="DS105" s="173" t="e">
        <f t="shared" si="77"/>
        <v>#DIV/0!</v>
      </c>
      <c r="DT105" s="163" t="e">
        <f t="shared" si="78"/>
        <v>#DIV/0!</v>
      </c>
      <c r="DU105" s="174"/>
      <c r="DV105" s="175" t="e">
        <f t="shared" si="79"/>
        <v>#DIV/0!</v>
      </c>
      <c r="DW105" s="163">
        <f t="shared" si="80"/>
        <v>0</v>
      </c>
      <c r="DX105" s="164"/>
      <c r="DY105" s="176">
        <f t="shared" si="81"/>
        <v>0</v>
      </c>
      <c r="DZ105" s="177">
        <f t="shared" si="82"/>
        <v>0</v>
      </c>
      <c r="EA105" s="178">
        <f t="shared" si="83"/>
        <v>0</v>
      </c>
      <c r="EB105" s="179">
        <f t="shared" si="84"/>
        <v>0</v>
      </c>
      <c r="EC105" s="180"/>
      <c r="ED105" s="175" t="e">
        <f t="shared" si="85"/>
        <v>#DIV/0!</v>
      </c>
      <c r="EE105" s="163">
        <f t="shared" si="86"/>
        <v>0</v>
      </c>
      <c r="EF105" s="164"/>
      <c r="EG105" s="181">
        <f t="shared" si="87"/>
        <v>0</v>
      </c>
      <c r="EH105" s="182">
        <f t="shared" si="88"/>
        <v>0</v>
      </c>
      <c r="EI105" s="182">
        <f t="shared" si="89"/>
        <v>0</v>
      </c>
      <c r="EJ105" s="182">
        <f t="shared" si="90"/>
        <v>0</v>
      </c>
      <c r="EK105" s="183">
        <f t="shared" si="91"/>
        <v>0</v>
      </c>
      <c r="EL105" s="184" t="e">
        <f t="shared" si="92"/>
        <v>#DIV/0!</v>
      </c>
      <c r="EM105" s="185">
        <f t="shared" si="93"/>
        <v>0</v>
      </c>
      <c r="EN105" s="164"/>
      <c r="EO105" s="181">
        <f t="shared" si="94"/>
        <v>0</v>
      </c>
      <c r="EP105" s="183">
        <f t="shared" si="95"/>
        <v>0</v>
      </c>
      <c r="EQ105" s="184" t="e">
        <f t="shared" si="96"/>
        <v>#DIV/0!</v>
      </c>
      <c r="ER105" s="185">
        <f t="shared" si="97"/>
        <v>0</v>
      </c>
      <c r="ES105" s="164"/>
      <c r="ET105" s="164"/>
      <c r="EU105" s="186">
        <f t="shared" si="98"/>
        <v>0</v>
      </c>
      <c r="EV105" s="186">
        <f t="shared" si="99"/>
        <v>0</v>
      </c>
      <c r="EW105" s="186">
        <f t="shared" si="100"/>
        <v>0</v>
      </c>
      <c r="EX105" s="186">
        <f t="shared" si="101"/>
        <v>0</v>
      </c>
      <c r="EY105" s="131"/>
      <c r="EZ105" s="187">
        <f t="shared" si="102"/>
        <v>0</v>
      </c>
      <c r="FA105" s="188" t="e">
        <f t="shared" si="103"/>
        <v>#DIV/0!</v>
      </c>
      <c r="FB105" s="189"/>
      <c r="FC105" s="131"/>
      <c r="FD105" s="131"/>
      <c r="FE105" s="131"/>
      <c r="FF105" s="131"/>
      <c r="FG105" s="131"/>
    </row>
    <row r="106" spans="1:164" s="169" customFormat="1" ht="16" hidden="1" outlineLevel="1" thickBot="1" x14ac:dyDescent="0.4">
      <c r="B106" s="358"/>
      <c r="C106" s="355"/>
      <c r="D106" s="243"/>
      <c r="E106" s="244"/>
      <c r="F106" s="135"/>
      <c r="G106" s="192"/>
      <c r="H106" s="245"/>
      <c r="I106" s="138">
        <f t="shared" si="56"/>
        <v>0</v>
      </c>
      <c r="J106" s="139"/>
      <c r="K106" s="208">
        <f t="shared" si="116"/>
        <v>0</v>
      </c>
      <c r="L106" s="141"/>
      <c r="M106" s="209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09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1"/>
      <c r="AN106" s="212">
        <f t="shared" si="58"/>
        <v>0</v>
      </c>
      <c r="AO106" s="146"/>
      <c r="AP106" s="147">
        <f t="shared" si="59"/>
        <v>0</v>
      </c>
      <c r="AQ106" s="148"/>
      <c r="AR106" s="213"/>
      <c r="AS106" s="213"/>
      <c r="AT106" s="135"/>
      <c r="AU106" s="214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6"/>
      <c r="BG106" s="216"/>
      <c r="BH106" s="216"/>
      <c r="BI106" s="216"/>
      <c r="BJ106" s="216"/>
      <c r="BK106" s="216"/>
      <c r="BL106" s="216"/>
      <c r="BM106" s="216"/>
      <c r="BN106" s="216"/>
      <c r="BO106" s="216"/>
      <c r="BP106" s="216"/>
      <c r="BQ106" s="216"/>
      <c r="BR106" s="214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7"/>
      <c r="CD106" s="214"/>
      <c r="CE106" s="209"/>
      <c r="CF106" s="210"/>
      <c r="CG106" s="210"/>
      <c r="CH106" s="210"/>
      <c r="CI106" s="210"/>
      <c r="CJ106" s="210"/>
      <c r="CK106" s="210"/>
      <c r="CL106" s="210"/>
      <c r="CM106" s="210"/>
      <c r="CN106" s="211"/>
      <c r="CO106" s="215"/>
      <c r="CP106" s="215"/>
      <c r="CQ106" s="216"/>
      <c r="CR106" s="217"/>
      <c r="CS106" s="218">
        <f t="shared" si="113"/>
        <v>0</v>
      </c>
      <c r="CT106" s="146"/>
      <c r="CU106" s="147">
        <f t="shared" si="61"/>
        <v>0</v>
      </c>
      <c r="CV106" s="156"/>
      <c r="CW106" s="157" t="e">
        <f t="shared" si="62"/>
        <v>#DIV/0!</v>
      </c>
      <c r="CX106" s="157" t="e">
        <f t="shared" si="63"/>
        <v>#DIV/0!</v>
      </c>
      <c r="CY106" s="157" t="e">
        <f t="shared" si="114"/>
        <v>#DIV/0!</v>
      </c>
      <c r="CZ106" s="157" t="e">
        <f t="shared" si="65"/>
        <v>#DIV/0!</v>
      </c>
      <c r="DA106" s="157" t="e">
        <f t="shared" si="66"/>
        <v>#DIV/0!</v>
      </c>
      <c r="DB106" s="158" t="e">
        <f t="shared" si="67"/>
        <v>#DIV/0!</v>
      </c>
      <c r="DC106" s="131"/>
      <c r="DD106" s="159">
        <f t="shared" si="68"/>
        <v>0</v>
      </c>
      <c r="DE106" s="160">
        <f t="shared" si="69"/>
        <v>0</v>
      </c>
      <c r="DF106" s="161">
        <f t="shared" si="70"/>
        <v>0</v>
      </c>
      <c r="DG106" s="162" t="e">
        <f t="shared" si="71"/>
        <v>#DIV/0!</v>
      </c>
      <c r="DH106" s="163">
        <f t="shared" si="72"/>
        <v>0</v>
      </c>
      <c r="DI106" s="164"/>
      <c r="DJ106" s="165">
        <f t="shared" si="115"/>
        <v>0</v>
      </c>
      <c r="DK106" s="166">
        <f t="shared" si="115"/>
        <v>0</v>
      </c>
      <c r="DL106" s="167" t="e">
        <f t="shared" si="73"/>
        <v>#DIV/0!</v>
      </c>
      <c r="DM106" s="168" t="e">
        <f t="shared" si="74"/>
        <v>#DIV/0!</v>
      </c>
      <c r="DN106" s="163" t="e">
        <f t="shared" si="75"/>
        <v>#DIV/0!</v>
      </c>
      <c r="DP106" s="170"/>
      <c r="DQ106" s="171"/>
      <c r="DR106" s="172">
        <f t="shared" si="76"/>
        <v>0</v>
      </c>
      <c r="DS106" s="173" t="e">
        <f t="shared" si="77"/>
        <v>#DIV/0!</v>
      </c>
      <c r="DT106" s="163" t="e">
        <f t="shared" si="78"/>
        <v>#DIV/0!</v>
      </c>
      <c r="DU106" s="174"/>
      <c r="DV106" s="175" t="e">
        <f t="shared" si="79"/>
        <v>#DIV/0!</v>
      </c>
      <c r="DW106" s="163">
        <f t="shared" si="80"/>
        <v>0</v>
      </c>
      <c r="DX106" s="164"/>
      <c r="DY106" s="176">
        <f t="shared" si="81"/>
        <v>0</v>
      </c>
      <c r="DZ106" s="177">
        <f t="shared" si="82"/>
        <v>0</v>
      </c>
      <c r="EA106" s="178">
        <f t="shared" si="83"/>
        <v>0</v>
      </c>
      <c r="EB106" s="179">
        <f t="shared" si="84"/>
        <v>0</v>
      </c>
      <c r="EC106" s="180"/>
      <c r="ED106" s="175" t="e">
        <f t="shared" si="85"/>
        <v>#DIV/0!</v>
      </c>
      <c r="EE106" s="163">
        <f t="shared" si="86"/>
        <v>0</v>
      </c>
      <c r="EF106" s="164"/>
      <c r="EG106" s="181">
        <f t="shared" si="87"/>
        <v>0</v>
      </c>
      <c r="EH106" s="182">
        <f t="shared" si="88"/>
        <v>0</v>
      </c>
      <c r="EI106" s="182">
        <f t="shared" si="89"/>
        <v>0</v>
      </c>
      <c r="EJ106" s="182">
        <f t="shared" si="90"/>
        <v>0</v>
      </c>
      <c r="EK106" s="183">
        <f t="shared" si="91"/>
        <v>0</v>
      </c>
      <c r="EL106" s="184" t="e">
        <f t="shared" si="92"/>
        <v>#DIV/0!</v>
      </c>
      <c r="EM106" s="185">
        <f t="shared" si="93"/>
        <v>0</v>
      </c>
      <c r="EN106" s="164"/>
      <c r="EO106" s="181">
        <f t="shared" si="94"/>
        <v>0</v>
      </c>
      <c r="EP106" s="183">
        <f t="shared" si="95"/>
        <v>0</v>
      </c>
      <c r="EQ106" s="184" t="e">
        <f t="shared" si="96"/>
        <v>#DIV/0!</v>
      </c>
      <c r="ER106" s="185">
        <f t="shared" si="97"/>
        <v>0</v>
      </c>
      <c r="ES106" s="164"/>
      <c r="ET106" s="164"/>
      <c r="EU106" s="186">
        <f t="shared" si="98"/>
        <v>0</v>
      </c>
      <c r="EV106" s="186">
        <f t="shared" si="99"/>
        <v>0</v>
      </c>
      <c r="EW106" s="186">
        <f t="shared" si="100"/>
        <v>0</v>
      </c>
      <c r="EX106" s="186">
        <f t="shared" si="101"/>
        <v>0</v>
      </c>
      <c r="EY106" s="131"/>
      <c r="EZ106" s="187">
        <f t="shared" si="102"/>
        <v>0</v>
      </c>
      <c r="FA106" s="188" t="e">
        <f t="shared" si="103"/>
        <v>#DIV/0!</v>
      </c>
      <c r="FB106" s="189"/>
      <c r="FC106" s="131"/>
      <c r="FD106" s="131"/>
      <c r="FE106" s="131"/>
      <c r="FF106" s="131"/>
      <c r="FG106" s="131"/>
    </row>
    <row r="107" spans="1:164" s="220" customFormat="1" ht="69" customHeight="1" thickBot="1" x14ac:dyDescent="0.35">
      <c r="B107" s="329"/>
      <c r="C107" s="132"/>
      <c r="D107" s="131"/>
      <c r="E107" s="246">
        <f>SUM(E5:E106)</f>
        <v>0</v>
      </c>
      <c r="F107" s="247"/>
      <c r="G107" s="248">
        <f>SUM(G5:G103)</f>
        <v>0</v>
      </c>
      <c r="H107" s="249"/>
      <c r="I107" s="250"/>
      <c r="J107" s="251"/>
      <c r="K107" s="252">
        <f>SUMIF(K5:K106,"&gt;0")</f>
        <v>0</v>
      </c>
      <c r="L107" s="253">
        <f>SUM(L5:L103)</f>
        <v>0</v>
      </c>
      <c r="M107" s="254">
        <f t="shared" ref="M107:AN107" si="117">SUM(M5:M106)</f>
        <v>0</v>
      </c>
      <c r="N107" s="254">
        <f t="shared" si="117"/>
        <v>0</v>
      </c>
      <c r="O107" s="254">
        <f t="shared" si="117"/>
        <v>0</v>
      </c>
      <c r="P107" s="254">
        <f t="shared" si="117"/>
        <v>0</v>
      </c>
      <c r="Q107" s="254">
        <f t="shared" si="117"/>
        <v>0</v>
      </c>
      <c r="R107" s="254">
        <f t="shared" si="117"/>
        <v>480</v>
      </c>
      <c r="S107" s="254">
        <f t="shared" si="117"/>
        <v>0</v>
      </c>
      <c r="T107" s="254">
        <f t="shared" si="117"/>
        <v>0</v>
      </c>
      <c r="U107" s="254">
        <f t="shared" si="117"/>
        <v>0</v>
      </c>
      <c r="V107" s="254">
        <f t="shared" si="117"/>
        <v>0</v>
      </c>
      <c r="W107" s="254">
        <f t="shared" si="117"/>
        <v>0</v>
      </c>
      <c r="X107" s="254">
        <f t="shared" si="117"/>
        <v>0</v>
      </c>
      <c r="Y107" s="254">
        <f t="shared" si="117"/>
        <v>0</v>
      </c>
      <c r="Z107" s="254">
        <f t="shared" si="117"/>
        <v>0</v>
      </c>
      <c r="AA107" s="254">
        <f t="shared" si="117"/>
        <v>0</v>
      </c>
      <c r="AB107" s="254">
        <f t="shared" si="117"/>
        <v>0</v>
      </c>
      <c r="AC107" s="254">
        <f t="shared" si="117"/>
        <v>0</v>
      </c>
      <c r="AD107" s="254">
        <f t="shared" si="117"/>
        <v>0</v>
      </c>
      <c r="AE107" s="254">
        <f t="shared" si="117"/>
        <v>0</v>
      </c>
      <c r="AF107" s="254">
        <f t="shared" si="117"/>
        <v>0</v>
      </c>
      <c r="AG107" s="254">
        <f t="shared" si="117"/>
        <v>0</v>
      </c>
      <c r="AH107" s="254">
        <f t="shared" si="117"/>
        <v>0</v>
      </c>
      <c r="AI107" s="254">
        <f t="shared" si="117"/>
        <v>0</v>
      </c>
      <c r="AJ107" s="254">
        <f t="shared" si="117"/>
        <v>0</v>
      </c>
      <c r="AK107" s="254">
        <f t="shared" si="117"/>
        <v>0</v>
      </c>
      <c r="AL107" s="254">
        <f t="shared" si="117"/>
        <v>0</v>
      </c>
      <c r="AM107" s="255">
        <f t="shared" si="117"/>
        <v>0</v>
      </c>
      <c r="AN107" s="252">
        <f t="shared" si="117"/>
        <v>480</v>
      </c>
      <c r="AO107" s="256"/>
      <c r="AP107" s="333">
        <f>K107-(SUM(M107:AM107))</f>
        <v>-480</v>
      </c>
      <c r="AQ107" s="257"/>
      <c r="AR107" s="258">
        <f>SUMIF(AR5:AR106,"&gt;0")</f>
        <v>0</v>
      </c>
      <c r="AS107" s="259"/>
      <c r="AT107" s="257"/>
      <c r="AU107" s="260">
        <f t="shared" ref="AU107:BZ107" si="118">SUM(AU5:AU106)</f>
        <v>0</v>
      </c>
      <c r="AV107" s="260">
        <f t="shared" si="118"/>
        <v>0</v>
      </c>
      <c r="AW107" s="260">
        <f t="shared" si="118"/>
        <v>0</v>
      </c>
      <c r="AX107" s="260">
        <f t="shared" si="118"/>
        <v>0</v>
      </c>
      <c r="AY107" s="260">
        <f t="shared" si="118"/>
        <v>0</v>
      </c>
      <c r="AZ107" s="260">
        <f t="shared" si="118"/>
        <v>0</v>
      </c>
      <c r="BA107" s="260">
        <f t="shared" si="118"/>
        <v>0</v>
      </c>
      <c r="BB107" s="260">
        <f t="shared" si="118"/>
        <v>0</v>
      </c>
      <c r="BC107" s="260">
        <f t="shared" si="118"/>
        <v>0</v>
      </c>
      <c r="BD107" s="260">
        <f t="shared" si="118"/>
        <v>0</v>
      </c>
      <c r="BE107" s="260">
        <f t="shared" si="118"/>
        <v>0</v>
      </c>
      <c r="BF107" s="260">
        <f t="shared" si="118"/>
        <v>0</v>
      </c>
      <c r="BG107" s="260">
        <f t="shared" si="118"/>
        <v>0</v>
      </c>
      <c r="BH107" s="260">
        <f t="shared" si="118"/>
        <v>0</v>
      </c>
      <c r="BI107" s="260">
        <f t="shared" si="118"/>
        <v>0</v>
      </c>
      <c r="BJ107" s="260">
        <f t="shared" si="118"/>
        <v>0</v>
      </c>
      <c r="BK107" s="260">
        <f t="shared" si="118"/>
        <v>0</v>
      </c>
      <c r="BL107" s="260">
        <f t="shared" si="118"/>
        <v>0</v>
      </c>
      <c r="BM107" s="260">
        <f t="shared" si="118"/>
        <v>0</v>
      </c>
      <c r="BN107" s="260">
        <f t="shared" si="118"/>
        <v>0</v>
      </c>
      <c r="BO107" s="260">
        <f t="shared" si="118"/>
        <v>0</v>
      </c>
      <c r="BP107" s="260">
        <f t="shared" si="118"/>
        <v>0</v>
      </c>
      <c r="BQ107" s="260">
        <f t="shared" si="118"/>
        <v>0</v>
      </c>
      <c r="BR107" s="260">
        <f t="shared" si="118"/>
        <v>0</v>
      </c>
      <c r="BS107" s="260">
        <f t="shared" si="118"/>
        <v>0</v>
      </c>
      <c r="BT107" s="260">
        <f t="shared" si="118"/>
        <v>0</v>
      </c>
      <c r="BU107" s="260">
        <f t="shared" si="118"/>
        <v>0</v>
      </c>
      <c r="BV107" s="260">
        <f t="shared" si="118"/>
        <v>0</v>
      </c>
      <c r="BW107" s="260">
        <f t="shared" si="118"/>
        <v>0</v>
      </c>
      <c r="BX107" s="260">
        <f t="shared" si="118"/>
        <v>0</v>
      </c>
      <c r="BY107" s="260">
        <f t="shared" si="118"/>
        <v>0</v>
      </c>
      <c r="BZ107" s="260">
        <f t="shared" si="118"/>
        <v>0</v>
      </c>
      <c r="CA107" s="260">
        <f t="shared" ref="CA107:CR107" si="119">SUM(CA5:CA106)</f>
        <v>0</v>
      </c>
      <c r="CB107" s="260">
        <f t="shared" si="119"/>
        <v>0</v>
      </c>
      <c r="CC107" s="260">
        <f t="shared" si="119"/>
        <v>0</v>
      </c>
      <c r="CD107" s="260">
        <f t="shared" si="119"/>
        <v>0</v>
      </c>
      <c r="CE107" s="254">
        <f t="shared" si="119"/>
        <v>0</v>
      </c>
      <c r="CF107" s="254">
        <f t="shared" si="119"/>
        <v>0</v>
      </c>
      <c r="CG107" s="254">
        <f t="shared" si="119"/>
        <v>0</v>
      </c>
      <c r="CH107" s="254">
        <f t="shared" si="119"/>
        <v>0</v>
      </c>
      <c r="CI107" s="254">
        <f t="shared" si="119"/>
        <v>0</v>
      </c>
      <c r="CJ107" s="254">
        <f t="shared" si="119"/>
        <v>0</v>
      </c>
      <c r="CK107" s="254">
        <f t="shared" si="119"/>
        <v>0</v>
      </c>
      <c r="CL107" s="254">
        <f t="shared" si="119"/>
        <v>0</v>
      </c>
      <c r="CM107" s="254">
        <f t="shared" si="119"/>
        <v>0</v>
      </c>
      <c r="CN107" s="255">
        <f t="shared" si="119"/>
        <v>0</v>
      </c>
      <c r="CO107" s="260">
        <f t="shared" si="119"/>
        <v>0</v>
      </c>
      <c r="CP107" s="260">
        <f t="shared" si="119"/>
        <v>0</v>
      </c>
      <c r="CQ107" s="260">
        <f t="shared" si="119"/>
        <v>0</v>
      </c>
      <c r="CR107" s="260">
        <f t="shared" si="119"/>
        <v>0</v>
      </c>
      <c r="CS107" s="261">
        <f>SUMIF(CS5:CS106,"&gt;0")</f>
        <v>0</v>
      </c>
      <c r="CT107" s="262"/>
      <c r="CU107" s="263">
        <f>SUMIF(CU5:CU106,"&gt;0")</f>
        <v>0</v>
      </c>
      <c r="CV107" s="264"/>
      <c r="CW107" s="265" t="e">
        <f>(SUM(M107:Z107))/K107</f>
        <v>#DIV/0!</v>
      </c>
      <c r="CX107" s="265" t="e">
        <f t="shared" si="63"/>
        <v>#DIV/0!</v>
      </c>
      <c r="CY107" s="265" t="e">
        <f t="shared" si="64"/>
        <v>#DIV/0!</v>
      </c>
      <c r="CZ107" s="265" t="e">
        <f t="shared" si="65"/>
        <v>#DIV/0!</v>
      </c>
      <c r="DA107" s="265" t="e">
        <f t="shared" si="66"/>
        <v>#DIV/0!</v>
      </c>
      <c r="DB107" s="266" t="e">
        <f t="shared" si="67"/>
        <v>#DIV/0!</v>
      </c>
      <c r="DC107" s="267"/>
      <c r="DD107" s="268">
        <f>SUMIF(DD5:DD106,"&gt;0")</f>
        <v>0</v>
      </c>
      <c r="DE107" s="268">
        <f>SUMIF(DE5:DE106,"&gt;0")</f>
        <v>0</v>
      </c>
      <c r="DF107" s="269">
        <f t="shared" si="70"/>
        <v>0</v>
      </c>
      <c r="DG107" s="270" t="e">
        <f>(SUMIF(DG5:DG106,"&gt;0"))/DH107</f>
        <v>#DIV/0!</v>
      </c>
      <c r="DH107" s="271">
        <f>COUNTIF(DH5:DH106,1)</f>
        <v>0</v>
      </c>
      <c r="DI107" s="272"/>
      <c r="DJ107" s="273"/>
      <c r="DK107" s="274">
        <f>SUMIF(DK5:DK106,"&gt;0")</f>
        <v>0</v>
      </c>
      <c r="DL107" s="268">
        <f>SUMIF(DL5:DL106,"&gt;0")</f>
        <v>0</v>
      </c>
      <c r="DM107" s="270" t="e">
        <f>(SUMIF(DM5:DM106,"&gt;0"))/DN107</f>
        <v>#DIV/0!</v>
      </c>
      <c r="DN107" s="331">
        <f>COUNTIF(DN5:DN106,1)</f>
        <v>0</v>
      </c>
      <c r="DO107" s="275"/>
      <c r="DP107" s="276">
        <f>SUMIF(DP5:DP106,"&gt;0")</f>
        <v>0</v>
      </c>
      <c r="DQ107" s="277">
        <f>SUMIF(DQ5:DQ106,"&gt;0")</f>
        <v>0</v>
      </c>
      <c r="DR107" s="278">
        <f t="shared" si="76"/>
        <v>0</v>
      </c>
      <c r="DS107" s="270" t="e">
        <f>(SUMIF(DS5:DS106,"&gt;0"))/DT107</f>
        <v>#DIV/0!</v>
      </c>
      <c r="DT107" s="331">
        <f>COUNTIF(DT5:DT106,1)</f>
        <v>0</v>
      </c>
      <c r="DU107" s="279"/>
      <c r="DV107" s="280" t="e">
        <f>(SUMIF(DV5:DV106,"&gt;0"))/DW107</f>
        <v>#DIV/0!</v>
      </c>
      <c r="DW107" s="331">
        <f>COUNTIF(DW5:DW106,1)</f>
        <v>0</v>
      </c>
      <c r="DX107" s="279"/>
      <c r="DY107" s="277">
        <f t="shared" si="81"/>
        <v>0</v>
      </c>
      <c r="DZ107" s="281">
        <v>2.0299999999999998</v>
      </c>
      <c r="EA107" s="282">
        <f>SUMIF(EA5:EA103,"&gt;0")</f>
        <v>0</v>
      </c>
      <c r="EB107" s="277">
        <f>SUMIF(EB5:EB106,"&gt;0")</f>
        <v>0</v>
      </c>
      <c r="EC107" s="283"/>
      <c r="ED107" s="280" t="e">
        <f>(SUMIF(ED5:ED106,"&gt;0"))/EE107</f>
        <v>#DIV/0!</v>
      </c>
      <c r="EE107" s="331">
        <f>COUNTIF(EE5:EE106,1)</f>
        <v>0</v>
      </c>
      <c r="EF107" s="272"/>
      <c r="EG107" s="284">
        <f>SUMIF(EG5:EG106,"&gt;0")</f>
        <v>0</v>
      </c>
      <c r="EH107" s="284">
        <f>SUMIF(EH5:EH106,"&gt;0")</f>
        <v>0</v>
      </c>
      <c r="EI107" s="284">
        <f>SUMIF(EI5:EI106,"&gt;0")</f>
        <v>480</v>
      </c>
      <c r="EJ107" s="285"/>
      <c r="EK107" s="284">
        <f>SUMIF(EK5:EK106,"&gt;0")</f>
        <v>0</v>
      </c>
      <c r="EL107" s="280" t="e">
        <f>(SUMIF(EL5:EL106,"&gt;0"))/EM107</f>
        <v>#DIV/0!</v>
      </c>
      <c r="EM107" s="271">
        <f>COUNTIF(EM5:EM106,1)</f>
        <v>0</v>
      </c>
      <c r="EN107" s="272"/>
      <c r="EO107" s="284">
        <f>SUMIF(EO5:EO106,"&gt;0")</f>
        <v>0</v>
      </c>
      <c r="EP107" s="284">
        <f>SUMIF(EP5:EP106,"&gt;0")</f>
        <v>0</v>
      </c>
      <c r="EQ107" s="280" t="e">
        <f>(SUMIF(EQ5:EQ106,"&gt;0"))/ER107</f>
        <v>#DIV/0!</v>
      </c>
      <c r="ER107" s="271">
        <f>COUNTIF(ER5:ER106,1)</f>
        <v>0</v>
      </c>
      <c r="ES107" s="272"/>
      <c r="ET107" s="272"/>
      <c r="EU107" s="286">
        <f t="shared" si="98"/>
        <v>0</v>
      </c>
      <c r="EV107" s="286">
        <f>SUMIF(EV5:EV106,"&gt;0")</f>
        <v>0</v>
      </c>
      <c r="EW107" s="286">
        <f>SUMIF(EW5:EW106,"&gt;0")</f>
        <v>0</v>
      </c>
      <c r="EX107" s="286">
        <f>SUMIF(EX5:EX106,"&gt;0")</f>
        <v>0</v>
      </c>
      <c r="EY107" s="287"/>
      <c r="EZ107" s="286">
        <f>SUMIF(EZ5:EZ106,"&gt;0")</f>
        <v>0</v>
      </c>
      <c r="FA107" s="288">
        <f>SUMIF(FA5:FA106,"&gt;0")</f>
        <v>0</v>
      </c>
      <c r="FB107" s="332"/>
      <c r="FC107" s="267"/>
      <c r="FD107" s="131"/>
      <c r="FE107" s="219"/>
      <c r="FF107" s="219"/>
      <c r="FG107" s="219"/>
    </row>
    <row r="108" spans="1:164" s="302" customFormat="1" ht="54" customHeight="1" thickBot="1" x14ac:dyDescent="0.3">
      <c r="A108" s="289"/>
      <c r="B108" s="329"/>
      <c r="C108" s="132"/>
      <c r="D108" s="131"/>
      <c r="E108" s="421" t="s">
        <v>73</v>
      </c>
      <c r="F108" s="422"/>
      <c r="G108" s="422"/>
      <c r="H108" s="422"/>
      <c r="I108" s="422"/>
      <c r="J108" s="422"/>
      <c r="K108" s="423"/>
      <c r="L108" s="290"/>
      <c r="M108" s="291">
        <f t="shared" ref="M108:AM108" si="120">M107/($AN107+$CS107)</f>
        <v>0</v>
      </c>
      <c r="N108" s="291">
        <f t="shared" si="120"/>
        <v>0</v>
      </c>
      <c r="O108" s="291">
        <f t="shared" si="120"/>
        <v>0</v>
      </c>
      <c r="P108" s="291">
        <f t="shared" si="120"/>
        <v>0</v>
      </c>
      <c r="Q108" s="291">
        <f t="shared" si="120"/>
        <v>0</v>
      </c>
      <c r="R108" s="291">
        <f t="shared" si="120"/>
        <v>1</v>
      </c>
      <c r="S108" s="291">
        <f t="shared" si="120"/>
        <v>0</v>
      </c>
      <c r="T108" s="291">
        <f t="shared" si="120"/>
        <v>0</v>
      </c>
      <c r="U108" s="291">
        <f t="shared" si="120"/>
        <v>0</v>
      </c>
      <c r="V108" s="291">
        <f t="shared" si="120"/>
        <v>0</v>
      </c>
      <c r="W108" s="291">
        <f t="shared" si="120"/>
        <v>0</v>
      </c>
      <c r="X108" s="291">
        <f t="shared" si="120"/>
        <v>0</v>
      </c>
      <c r="Y108" s="291">
        <f t="shared" si="120"/>
        <v>0</v>
      </c>
      <c r="Z108" s="291">
        <f t="shared" si="120"/>
        <v>0</v>
      </c>
      <c r="AA108" s="291">
        <f t="shared" si="120"/>
        <v>0</v>
      </c>
      <c r="AB108" s="291">
        <f t="shared" si="120"/>
        <v>0</v>
      </c>
      <c r="AC108" s="291">
        <f t="shared" si="120"/>
        <v>0</v>
      </c>
      <c r="AD108" s="291">
        <f t="shared" si="120"/>
        <v>0</v>
      </c>
      <c r="AE108" s="291">
        <f t="shared" si="120"/>
        <v>0</v>
      </c>
      <c r="AF108" s="291">
        <f t="shared" si="120"/>
        <v>0</v>
      </c>
      <c r="AG108" s="291">
        <f t="shared" si="120"/>
        <v>0</v>
      </c>
      <c r="AH108" s="291">
        <f t="shared" si="120"/>
        <v>0</v>
      </c>
      <c r="AI108" s="291">
        <f t="shared" si="120"/>
        <v>0</v>
      </c>
      <c r="AJ108" s="291">
        <f t="shared" si="120"/>
        <v>0</v>
      </c>
      <c r="AK108" s="291">
        <f t="shared" si="120"/>
        <v>0</v>
      </c>
      <c r="AL108" s="291">
        <f t="shared" si="120"/>
        <v>0</v>
      </c>
      <c r="AM108" s="291">
        <f t="shared" si="120"/>
        <v>0</v>
      </c>
      <c r="AN108" s="292"/>
      <c r="AO108" s="292"/>
      <c r="AP108" s="293"/>
      <c r="AQ108" s="293"/>
      <c r="AR108" s="292"/>
      <c r="AS108" s="292"/>
      <c r="AT108" s="293"/>
      <c r="AU108" s="291">
        <f t="shared" ref="AU108:CR108" si="121">AU107/($AN107+$CS107)</f>
        <v>0</v>
      </c>
      <c r="AV108" s="291">
        <f t="shared" si="121"/>
        <v>0</v>
      </c>
      <c r="AW108" s="291">
        <f t="shared" si="121"/>
        <v>0</v>
      </c>
      <c r="AX108" s="291">
        <f t="shared" si="121"/>
        <v>0</v>
      </c>
      <c r="AY108" s="291">
        <f t="shared" si="121"/>
        <v>0</v>
      </c>
      <c r="AZ108" s="291">
        <f t="shared" si="121"/>
        <v>0</v>
      </c>
      <c r="BA108" s="291">
        <f t="shared" si="121"/>
        <v>0</v>
      </c>
      <c r="BB108" s="291">
        <f t="shared" si="121"/>
        <v>0</v>
      </c>
      <c r="BC108" s="291">
        <f t="shared" si="121"/>
        <v>0</v>
      </c>
      <c r="BD108" s="291">
        <f t="shared" si="121"/>
        <v>0</v>
      </c>
      <c r="BE108" s="291">
        <f t="shared" si="121"/>
        <v>0</v>
      </c>
      <c r="BF108" s="291">
        <f t="shared" si="121"/>
        <v>0</v>
      </c>
      <c r="BG108" s="291">
        <f t="shared" si="121"/>
        <v>0</v>
      </c>
      <c r="BH108" s="291">
        <f t="shared" si="121"/>
        <v>0</v>
      </c>
      <c r="BI108" s="291">
        <f t="shared" si="121"/>
        <v>0</v>
      </c>
      <c r="BJ108" s="291">
        <f t="shared" si="121"/>
        <v>0</v>
      </c>
      <c r="BK108" s="291">
        <f t="shared" si="121"/>
        <v>0</v>
      </c>
      <c r="BL108" s="291">
        <f t="shared" si="121"/>
        <v>0</v>
      </c>
      <c r="BM108" s="291">
        <f t="shared" si="121"/>
        <v>0</v>
      </c>
      <c r="BN108" s="291">
        <f t="shared" si="121"/>
        <v>0</v>
      </c>
      <c r="BO108" s="291">
        <f t="shared" si="121"/>
        <v>0</v>
      </c>
      <c r="BP108" s="291">
        <f t="shared" si="121"/>
        <v>0</v>
      </c>
      <c r="BQ108" s="291">
        <f t="shared" si="121"/>
        <v>0</v>
      </c>
      <c r="BR108" s="291">
        <f t="shared" si="121"/>
        <v>0</v>
      </c>
      <c r="BS108" s="291">
        <f t="shared" si="121"/>
        <v>0</v>
      </c>
      <c r="BT108" s="291">
        <f t="shared" si="121"/>
        <v>0</v>
      </c>
      <c r="BU108" s="291">
        <f t="shared" si="121"/>
        <v>0</v>
      </c>
      <c r="BV108" s="291">
        <f t="shared" si="121"/>
        <v>0</v>
      </c>
      <c r="BW108" s="291">
        <f t="shared" si="121"/>
        <v>0</v>
      </c>
      <c r="BX108" s="291">
        <f t="shared" si="121"/>
        <v>0</v>
      </c>
      <c r="BY108" s="291">
        <f t="shared" si="121"/>
        <v>0</v>
      </c>
      <c r="BZ108" s="291">
        <f t="shared" si="121"/>
        <v>0</v>
      </c>
      <c r="CA108" s="291">
        <f t="shared" si="121"/>
        <v>0</v>
      </c>
      <c r="CB108" s="291">
        <f t="shared" si="121"/>
        <v>0</v>
      </c>
      <c r="CC108" s="291">
        <f t="shared" si="121"/>
        <v>0</v>
      </c>
      <c r="CD108" s="291">
        <f t="shared" si="121"/>
        <v>0</v>
      </c>
      <c r="CE108" s="291">
        <f t="shared" si="121"/>
        <v>0</v>
      </c>
      <c r="CF108" s="291">
        <f t="shared" si="121"/>
        <v>0</v>
      </c>
      <c r="CG108" s="291">
        <f t="shared" si="121"/>
        <v>0</v>
      </c>
      <c r="CH108" s="291">
        <f t="shared" si="121"/>
        <v>0</v>
      </c>
      <c r="CI108" s="291">
        <f t="shared" si="121"/>
        <v>0</v>
      </c>
      <c r="CJ108" s="291">
        <f t="shared" si="121"/>
        <v>0</v>
      </c>
      <c r="CK108" s="291">
        <f t="shared" si="121"/>
        <v>0</v>
      </c>
      <c r="CL108" s="291">
        <f t="shared" si="121"/>
        <v>0</v>
      </c>
      <c r="CM108" s="291">
        <f t="shared" si="121"/>
        <v>0</v>
      </c>
      <c r="CN108" s="291">
        <f t="shared" si="121"/>
        <v>0</v>
      </c>
      <c r="CO108" s="291">
        <f t="shared" si="121"/>
        <v>0</v>
      </c>
      <c r="CP108" s="291">
        <f t="shared" si="121"/>
        <v>0</v>
      </c>
      <c r="CQ108" s="291">
        <f t="shared" si="121"/>
        <v>0</v>
      </c>
      <c r="CR108" s="291">
        <f t="shared" si="121"/>
        <v>0</v>
      </c>
      <c r="CS108" s="292"/>
      <c r="CT108" s="292"/>
      <c r="CU108" s="292"/>
      <c r="CV108" s="292"/>
      <c r="CW108" s="294"/>
      <c r="CX108" s="295"/>
      <c r="CY108" s="296"/>
      <c r="CZ108" s="296"/>
      <c r="DA108" s="296"/>
      <c r="DB108" s="272"/>
      <c r="DC108" s="292"/>
      <c r="DD108" s="272"/>
      <c r="DE108" s="272"/>
      <c r="DF108" s="272"/>
      <c r="DG108" s="297"/>
      <c r="DH108" s="298"/>
      <c r="DI108" s="272"/>
      <c r="DJ108" s="272"/>
      <c r="DK108" s="272"/>
      <c r="DL108" s="272"/>
      <c r="DM108" s="297"/>
      <c r="DN108" s="298"/>
      <c r="DO108" s="272"/>
      <c r="DP108" s="272"/>
      <c r="DQ108" s="272"/>
      <c r="DR108" s="272"/>
      <c r="DS108" s="297"/>
      <c r="DT108" s="298"/>
      <c r="DU108" s="272"/>
      <c r="DV108" s="272"/>
      <c r="DW108" s="298"/>
      <c r="DX108" s="272"/>
      <c r="DY108" s="272"/>
      <c r="DZ108" s="272"/>
      <c r="EA108" s="272"/>
      <c r="EB108" s="272"/>
      <c r="EC108" s="272"/>
      <c r="ED108" s="272"/>
      <c r="EE108" s="298"/>
      <c r="EF108" s="272"/>
      <c r="EG108" s="272"/>
      <c r="EH108" s="272"/>
      <c r="EI108" s="272"/>
      <c r="EJ108" s="272"/>
      <c r="EK108" s="272"/>
      <c r="EL108" s="272"/>
      <c r="EM108" s="298"/>
      <c r="EN108" s="272"/>
      <c r="EO108" s="272"/>
      <c r="EP108" s="272"/>
      <c r="EQ108" s="272"/>
      <c r="ER108" s="298"/>
      <c r="ES108" s="272"/>
      <c r="ET108" s="272"/>
      <c r="EU108" s="272"/>
      <c r="EV108" s="272"/>
      <c r="EW108" s="272"/>
      <c r="EX108" s="272"/>
      <c r="EY108" s="272"/>
      <c r="EZ108" s="272"/>
      <c r="FA108" s="299"/>
      <c r="FB108" s="300"/>
      <c r="FC108" s="272"/>
      <c r="FD108" s="272"/>
      <c r="FE108" s="301"/>
      <c r="FF108" s="301"/>
      <c r="FG108" s="301"/>
      <c r="FH108" s="289"/>
    </row>
    <row r="109" spans="1:164" s="302" customFormat="1" ht="54" customHeight="1" thickBot="1" x14ac:dyDescent="0.3">
      <c r="A109" s="289"/>
      <c r="B109" s="329"/>
      <c r="C109" s="132"/>
      <c r="D109" s="131"/>
      <c r="E109" s="424" t="s">
        <v>74</v>
      </c>
      <c r="F109" s="425"/>
      <c r="G109" s="425"/>
      <c r="H109" s="425"/>
      <c r="I109" s="425"/>
      <c r="J109" s="425"/>
      <c r="K109" s="426"/>
      <c r="L109" s="303"/>
      <c r="M109" s="304" t="e">
        <f t="shared" ref="M109:AM109" si="122">M107/$K107</f>
        <v>#DIV/0!</v>
      </c>
      <c r="N109" s="304" t="e">
        <f t="shared" si="122"/>
        <v>#DIV/0!</v>
      </c>
      <c r="O109" s="304" t="e">
        <f t="shared" si="122"/>
        <v>#DIV/0!</v>
      </c>
      <c r="P109" s="304" t="e">
        <f t="shared" si="122"/>
        <v>#DIV/0!</v>
      </c>
      <c r="Q109" s="304" t="e">
        <f t="shared" si="122"/>
        <v>#DIV/0!</v>
      </c>
      <c r="R109" s="304" t="e">
        <f t="shared" si="122"/>
        <v>#DIV/0!</v>
      </c>
      <c r="S109" s="304" t="e">
        <f t="shared" si="122"/>
        <v>#DIV/0!</v>
      </c>
      <c r="T109" s="304" t="e">
        <f t="shared" si="122"/>
        <v>#DIV/0!</v>
      </c>
      <c r="U109" s="304" t="e">
        <f t="shared" si="122"/>
        <v>#DIV/0!</v>
      </c>
      <c r="V109" s="304" t="e">
        <f t="shared" si="122"/>
        <v>#DIV/0!</v>
      </c>
      <c r="W109" s="304" t="e">
        <f t="shared" si="122"/>
        <v>#DIV/0!</v>
      </c>
      <c r="X109" s="304" t="e">
        <f t="shared" si="122"/>
        <v>#DIV/0!</v>
      </c>
      <c r="Y109" s="304" t="e">
        <f t="shared" si="122"/>
        <v>#DIV/0!</v>
      </c>
      <c r="Z109" s="304" t="e">
        <f t="shared" si="122"/>
        <v>#DIV/0!</v>
      </c>
      <c r="AA109" s="304" t="e">
        <f t="shared" si="122"/>
        <v>#DIV/0!</v>
      </c>
      <c r="AB109" s="304" t="e">
        <f t="shared" si="122"/>
        <v>#DIV/0!</v>
      </c>
      <c r="AC109" s="304" t="e">
        <f t="shared" si="122"/>
        <v>#DIV/0!</v>
      </c>
      <c r="AD109" s="304" t="e">
        <f t="shared" si="122"/>
        <v>#DIV/0!</v>
      </c>
      <c r="AE109" s="304" t="e">
        <f t="shared" si="122"/>
        <v>#DIV/0!</v>
      </c>
      <c r="AF109" s="304" t="e">
        <f t="shared" si="122"/>
        <v>#DIV/0!</v>
      </c>
      <c r="AG109" s="304" t="e">
        <f t="shared" si="122"/>
        <v>#DIV/0!</v>
      </c>
      <c r="AH109" s="304" t="e">
        <f>AH107/$K107</f>
        <v>#DIV/0!</v>
      </c>
      <c r="AI109" s="304" t="e">
        <f>AI107/$K107</f>
        <v>#DIV/0!</v>
      </c>
      <c r="AJ109" s="304" t="e">
        <f>AJ107/$K107</f>
        <v>#DIV/0!</v>
      </c>
      <c r="AK109" s="304" t="e">
        <f t="shared" si="122"/>
        <v>#DIV/0!</v>
      </c>
      <c r="AL109" s="304" t="e">
        <f t="shared" si="122"/>
        <v>#DIV/0!</v>
      </c>
      <c r="AM109" s="304" t="e">
        <f t="shared" si="122"/>
        <v>#DIV/0!</v>
      </c>
      <c r="AN109" s="292"/>
      <c r="AO109" s="292"/>
      <c r="AP109" s="293"/>
      <c r="AQ109" s="293"/>
      <c r="AR109" s="292"/>
      <c r="AS109" s="292"/>
      <c r="AT109" s="293"/>
      <c r="AU109" s="305" t="e">
        <f t="shared" ref="AU109:CR109" si="123">AU107/$K107</f>
        <v>#DIV/0!</v>
      </c>
      <c r="AV109" s="305" t="e">
        <f t="shared" si="123"/>
        <v>#DIV/0!</v>
      </c>
      <c r="AW109" s="305" t="e">
        <f t="shared" si="123"/>
        <v>#DIV/0!</v>
      </c>
      <c r="AX109" s="305" t="e">
        <f t="shared" si="123"/>
        <v>#DIV/0!</v>
      </c>
      <c r="AY109" s="305" t="e">
        <f t="shared" si="123"/>
        <v>#DIV/0!</v>
      </c>
      <c r="AZ109" s="305" t="e">
        <f t="shared" si="123"/>
        <v>#DIV/0!</v>
      </c>
      <c r="BA109" s="305" t="e">
        <f t="shared" si="123"/>
        <v>#DIV/0!</v>
      </c>
      <c r="BB109" s="305" t="e">
        <f t="shared" si="123"/>
        <v>#DIV/0!</v>
      </c>
      <c r="BC109" s="305" t="e">
        <f t="shared" si="123"/>
        <v>#DIV/0!</v>
      </c>
      <c r="BD109" s="305" t="e">
        <f t="shared" si="123"/>
        <v>#DIV/0!</v>
      </c>
      <c r="BE109" s="305" t="e">
        <f t="shared" si="123"/>
        <v>#DIV/0!</v>
      </c>
      <c r="BF109" s="305" t="e">
        <f t="shared" si="123"/>
        <v>#DIV/0!</v>
      </c>
      <c r="BG109" s="305" t="e">
        <f t="shared" si="123"/>
        <v>#DIV/0!</v>
      </c>
      <c r="BH109" s="305" t="e">
        <f t="shared" si="123"/>
        <v>#DIV/0!</v>
      </c>
      <c r="BI109" s="305" t="e">
        <f t="shared" si="123"/>
        <v>#DIV/0!</v>
      </c>
      <c r="BJ109" s="305" t="e">
        <f t="shared" si="123"/>
        <v>#DIV/0!</v>
      </c>
      <c r="BK109" s="305" t="e">
        <f t="shared" si="123"/>
        <v>#DIV/0!</v>
      </c>
      <c r="BL109" s="305" t="e">
        <f t="shared" si="123"/>
        <v>#DIV/0!</v>
      </c>
      <c r="BM109" s="305" t="e">
        <f t="shared" si="123"/>
        <v>#DIV/0!</v>
      </c>
      <c r="BN109" s="305" t="e">
        <f t="shared" si="123"/>
        <v>#DIV/0!</v>
      </c>
      <c r="BO109" s="305" t="e">
        <f t="shared" si="123"/>
        <v>#DIV/0!</v>
      </c>
      <c r="BP109" s="305" t="e">
        <f t="shared" si="123"/>
        <v>#DIV/0!</v>
      </c>
      <c r="BQ109" s="305" t="e">
        <f t="shared" si="123"/>
        <v>#DIV/0!</v>
      </c>
      <c r="BR109" s="305" t="e">
        <f t="shared" si="123"/>
        <v>#DIV/0!</v>
      </c>
      <c r="BS109" s="305" t="e">
        <f t="shared" si="123"/>
        <v>#DIV/0!</v>
      </c>
      <c r="BT109" s="305" t="e">
        <f t="shared" si="123"/>
        <v>#DIV/0!</v>
      </c>
      <c r="BU109" s="305" t="e">
        <f t="shared" si="123"/>
        <v>#DIV/0!</v>
      </c>
      <c r="BV109" s="305" t="e">
        <f t="shared" si="123"/>
        <v>#DIV/0!</v>
      </c>
      <c r="BW109" s="305" t="e">
        <f t="shared" si="123"/>
        <v>#DIV/0!</v>
      </c>
      <c r="BX109" s="305" t="e">
        <f t="shared" si="123"/>
        <v>#DIV/0!</v>
      </c>
      <c r="BY109" s="305" t="e">
        <f t="shared" si="123"/>
        <v>#DIV/0!</v>
      </c>
      <c r="BZ109" s="305" t="e">
        <f t="shared" si="123"/>
        <v>#DIV/0!</v>
      </c>
      <c r="CA109" s="305" t="e">
        <f t="shared" si="123"/>
        <v>#DIV/0!</v>
      </c>
      <c r="CB109" s="305" t="e">
        <f t="shared" si="123"/>
        <v>#DIV/0!</v>
      </c>
      <c r="CC109" s="305" t="e">
        <f t="shared" si="123"/>
        <v>#DIV/0!</v>
      </c>
      <c r="CD109" s="305" t="e">
        <f t="shared" si="123"/>
        <v>#DIV/0!</v>
      </c>
      <c r="CE109" s="304" t="e">
        <f t="shared" si="123"/>
        <v>#DIV/0!</v>
      </c>
      <c r="CF109" s="304" t="e">
        <f t="shared" si="123"/>
        <v>#DIV/0!</v>
      </c>
      <c r="CG109" s="304" t="e">
        <f t="shared" si="123"/>
        <v>#DIV/0!</v>
      </c>
      <c r="CH109" s="304" t="e">
        <f t="shared" si="123"/>
        <v>#DIV/0!</v>
      </c>
      <c r="CI109" s="304" t="e">
        <f t="shared" si="123"/>
        <v>#DIV/0!</v>
      </c>
      <c r="CJ109" s="304" t="e">
        <f t="shared" si="123"/>
        <v>#DIV/0!</v>
      </c>
      <c r="CK109" s="304" t="e">
        <f t="shared" si="123"/>
        <v>#DIV/0!</v>
      </c>
      <c r="CL109" s="304" t="e">
        <f t="shared" si="123"/>
        <v>#DIV/0!</v>
      </c>
      <c r="CM109" s="304" t="e">
        <f t="shared" si="123"/>
        <v>#DIV/0!</v>
      </c>
      <c r="CN109" s="304" t="e">
        <f t="shared" si="123"/>
        <v>#DIV/0!</v>
      </c>
      <c r="CO109" s="305" t="e">
        <f t="shared" si="123"/>
        <v>#DIV/0!</v>
      </c>
      <c r="CP109" s="305" t="e">
        <f t="shared" si="123"/>
        <v>#DIV/0!</v>
      </c>
      <c r="CQ109" s="305" t="e">
        <f t="shared" si="123"/>
        <v>#DIV/0!</v>
      </c>
      <c r="CR109" s="305" t="e">
        <f t="shared" si="123"/>
        <v>#DIV/0!</v>
      </c>
      <c r="CS109" s="292"/>
      <c r="CT109" s="292"/>
      <c r="CU109" s="292"/>
      <c r="CV109" s="292"/>
      <c r="CW109" s="295"/>
      <c r="CX109" s="295"/>
      <c r="CY109" s="296"/>
      <c r="CZ109" s="296"/>
      <c r="DA109" s="296"/>
      <c r="DB109" s="272"/>
      <c r="DC109" s="292"/>
      <c r="DD109" s="272"/>
      <c r="DE109" s="272"/>
      <c r="DF109" s="272"/>
      <c r="DG109" s="297"/>
      <c r="DH109" s="298"/>
      <c r="DI109" s="272"/>
      <c r="DJ109" s="272"/>
      <c r="DK109" s="272"/>
      <c r="DL109" s="272"/>
      <c r="DM109" s="297"/>
      <c r="DN109" s="298"/>
      <c r="DO109" s="272"/>
      <c r="DP109" s="272"/>
      <c r="DQ109" s="272"/>
      <c r="DR109" s="272"/>
      <c r="DS109" s="297"/>
      <c r="DT109" s="298"/>
      <c r="DU109" s="272"/>
      <c r="DV109" s="272"/>
      <c r="DW109" s="298"/>
      <c r="DX109" s="272"/>
      <c r="DY109" s="272"/>
      <c r="DZ109" s="272"/>
      <c r="EA109" s="272"/>
      <c r="EB109" s="272"/>
      <c r="EC109" s="272"/>
      <c r="ED109" s="272"/>
      <c r="EE109" s="298"/>
      <c r="EF109" s="272"/>
      <c r="EG109" s="272"/>
      <c r="EH109" s="272"/>
      <c r="EI109" s="272"/>
      <c r="EJ109" s="272"/>
      <c r="EK109" s="272"/>
      <c r="EL109" s="272"/>
      <c r="EM109" s="298"/>
      <c r="EN109" s="272"/>
      <c r="EO109" s="272"/>
      <c r="EP109" s="272"/>
      <c r="EQ109" s="272"/>
      <c r="ER109" s="298"/>
      <c r="ES109" s="272"/>
      <c r="ET109" s="272"/>
      <c r="EU109" s="272"/>
      <c r="EV109" s="272"/>
      <c r="EW109" s="272"/>
      <c r="EX109" s="272"/>
      <c r="EY109" s="272"/>
      <c r="EZ109" s="272"/>
      <c r="FA109" s="299"/>
      <c r="FB109" s="300"/>
      <c r="FC109" s="272"/>
      <c r="FD109" s="272"/>
      <c r="FE109" s="301"/>
      <c r="FF109" s="301"/>
      <c r="FG109" s="301"/>
      <c r="FH109" s="289"/>
    </row>
    <row r="110" spans="1:164" s="15" customFormat="1" ht="54" customHeight="1" thickBot="1" x14ac:dyDescent="0.3">
      <c r="B110" s="329"/>
      <c r="C110" s="132"/>
      <c r="D110" s="131"/>
      <c r="E110" s="427" t="s">
        <v>75</v>
      </c>
      <c r="F110" s="428"/>
      <c r="G110" s="428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/>
      <c r="R110" s="428"/>
      <c r="S110" s="428"/>
      <c r="T110" s="428"/>
      <c r="U110" s="428"/>
      <c r="V110" s="428"/>
      <c r="W110" s="428"/>
      <c r="X110" s="428"/>
      <c r="Y110" s="428"/>
      <c r="Z110" s="428"/>
      <c r="AA110" s="428"/>
      <c r="AB110" s="428"/>
      <c r="AC110" s="428"/>
      <c r="AD110" s="428"/>
      <c r="AE110" s="428"/>
      <c r="AF110" s="428"/>
      <c r="AG110" s="428"/>
      <c r="AH110" s="428"/>
      <c r="AI110" s="428"/>
      <c r="AJ110" s="428"/>
      <c r="AK110" s="428"/>
      <c r="AL110" s="428"/>
      <c r="AM110" s="428"/>
      <c r="AN110" s="428"/>
      <c r="AO110" s="428"/>
      <c r="AP110" s="428"/>
      <c r="AQ110" s="428"/>
      <c r="AR110" s="428"/>
      <c r="AS110" s="428"/>
      <c r="AT110" s="429"/>
      <c r="AU110" s="306">
        <f>AU107/$AP107</f>
        <v>0</v>
      </c>
      <c r="AV110" s="306">
        <f t="shared" ref="AV110:CR110" si="124">AV107/$AP107</f>
        <v>0</v>
      </c>
      <c r="AW110" s="306">
        <f t="shared" si="124"/>
        <v>0</v>
      </c>
      <c r="AX110" s="306">
        <f t="shared" si="124"/>
        <v>0</v>
      </c>
      <c r="AY110" s="306">
        <f t="shared" si="124"/>
        <v>0</v>
      </c>
      <c r="AZ110" s="306">
        <f t="shared" si="124"/>
        <v>0</v>
      </c>
      <c r="BA110" s="306">
        <f t="shared" si="124"/>
        <v>0</v>
      </c>
      <c r="BB110" s="306">
        <f t="shared" si="124"/>
        <v>0</v>
      </c>
      <c r="BC110" s="306">
        <f t="shared" si="124"/>
        <v>0</v>
      </c>
      <c r="BD110" s="306">
        <f t="shared" si="124"/>
        <v>0</v>
      </c>
      <c r="BE110" s="306">
        <f t="shared" si="124"/>
        <v>0</v>
      </c>
      <c r="BF110" s="306">
        <f t="shared" si="124"/>
        <v>0</v>
      </c>
      <c r="BG110" s="306">
        <f t="shared" si="124"/>
        <v>0</v>
      </c>
      <c r="BH110" s="306">
        <f t="shared" si="124"/>
        <v>0</v>
      </c>
      <c r="BI110" s="306">
        <f t="shared" si="124"/>
        <v>0</v>
      </c>
      <c r="BJ110" s="306">
        <f t="shared" si="124"/>
        <v>0</v>
      </c>
      <c r="BK110" s="306">
        <f t="shared" si="124"/>
        <v>0</v>
      </c>
      <c r="BL110" s="306">
        <f t="shared" si="124"/>
        <v>0</v>
      </c>
      <c r="BM110" s="306">
        <f t="shared" si="124"/>
        <v>0</v>
      </c>
      <c r="BN110" s="306">
        <f t="shared" si="124"/>
        <v>0</v>
      </c>
      <c r="BO110" s="306">
        <f t="shared" si="124"/>
        <v>0</v>
      </c>
      <c r="BP110" s="306">
        <f t="shared" si="124"/>
        <v>0</v>
      </c>
      <c r="BQ110" s="306">
        <f t="shared" si="124"/>
        <v>0</v>
      </c>
      <c r="BR110" s="306">
        <f t="shared" si="124"/>
        <v>0</v>
      </c>
      <c r="BS110" s="306">
        <f t="shared" si="124"/>
        <v>0</v>
      </c>
      <c r="BT110" s="306">
        <f t="shared" si="124"/>
        <v>0</v>
      </c>
      <c r="BU110" s="306">
        <f t="shared" si="124"/>
        <v>0</v>
      </c>
      <c r="BV110" s="306">
        <f t="shared" si="124"/>
        <v>0</v>
      </c>
      <c r="BW110" s="306">
        <f t="shared" si="124"/>
        <v>0</v>
      </c>
      <c r="BX110" s="306">
        <f t="shared" si="124"/>
        <v>0</v>
      </c>
      <c r="BY110" s="306">
        <f t="shared" si="124"/>
        <v>0</v>
      </c>
      <c r="BZ110" s="306">
        <f t="shared" si="124"/>
        <v>0</v>
      </c>
      <c r="CA110" s="306">
        <f t="shared" si="124"/>
        <v>0</v>
      </c>
      <c r="CB110" s="306">
        <f t="shared" si="124"/>
        <v>0</v>
      </c>
      <c r="CC110" s="306">
        <f t="shared" si="124"/>
        <v>0</v>
      </c>
      <c r="CD110" s="306">
        <f t="shared" si="124"/>
        <v>0</v>
      </c>
      <c r="CE110" s="306">
        <f t="shared" si="124"/>
        <v>0</v>
      </c>
      <c r="CF110" s="306">
        <f t="shared" si="124"/>
        <v>0</v>
      </c>
      <c r="CG110" s="306">
        <f t="shared" si="124"/>
        <v>0</v>
      </c>
      <c r="CH110" s="306">
        <f t="shared" si="124"/>
        <v>0</v>
      </c>
      <c r="CI110" s="306">
        <f t="shared" si="124"/>
        <v>0</v>
      </c>
      <c r="CJ110" s="306">
        <f t="shared" si="124"/>
        <v>0</v>
      </c>
      <c r="CK110" s="306">
        <f t="shared" si="124"/>
        <v>0</v>
      </c>
      <c r="CL110" s="306">
        <f t="shared" si="124"/>
        <v>0</v>
      </c>
      <c r="CM110" s="306">
        <f t="shared" si="124"/>
        <v>0</v>
      </c>
      <c r="CN110" s="306">
        <f t="shared" si="124"/>
        <v>0</v>
      </c>
      <c r="CO110" s="306">
        <f t="shared" si="124"/>
        <v>0</v>
      </c>
      <c r="CP110" s="306">
        <f t="shared" si="124"/>
        <v>0</v>
      </c>
      <c r="CQ110" s="306">
        <f t="shared" si="124"/>
        <v>0</v>
      </c>
      <c r="CR110" s="306">
        <f t="shared" si="124"/>
        <v>0</v>
      </c>
      <c r="CS110" s="307"/>
      <c r="CT110" s="308"/>
      <c r="CV110" s="309"/>
      <c r="CW110" s="310"/>
      <c r="CX110" s="310"/>
      <c r="CY110" s="311"/>
      <c r="CZ110" s="311"/>
      <c r="DA110" s="311"/>
      <c r="DB110" s="310"/>
      <c r="DF110" s="15" t="s">
        <v>76</v>
      </c>
      <c r="DH110" s="312"/>
      <c r="DL110" s="313"/>
      <c r="DN110" s="312"/>
      <c r="DT110" s="312"/>
      <c r="DV110" s="310"/>
      <c r="DW110" s="312"/>
      <c r="EE110" s="312"/>
      <c r="EM110" s="312"/>
      <c r="ER110" s="312"/>
      <c r="FB110" s="314"/>
    </row>
    <row r="111" spans="1:164" x14ac:dyDescent="0.25">
      <c r="D111" s="131"/>
      <c r="FB111" s="318"/>
    </row>
    <row r="112" spans="1:164" x14ac:dyDescent="0.25">
      <c r="D112" s="131"/>
    </row>
    <row r="113" spans="4:4" x14ac:dyDescent="0.25">
      <c r="D113" s="131"/>
    </row>
    <row r="114" spans="4:4" x14ac:dyDescent="0.25">
      <c r="D114" s="131"/>
    </row>
    <row r="115" spans="4:4" x14ac:dyDescent="0.25">
      <c r="D115" s="131"/>
    </row>
    <row r="116" spans="4:4" x14ac:dyDescent="0.25">
      <c r="D116" s="131"/>
    </row>
    <row r="117" spans="4:4" x14ac:dyDescent="0.25">
      <c r="D117" s="131"/>
    </row>
    <row r="118" spans="4:4" x14ac:dyDescent="0.25">
      <c r="D118" s="131"/>
    </row>
  </sheetData>
  <protectedRanges>
    <protectedRange sqref="FB5:FB22 FB51:FB73 FB24:FB49 FB75:FB111" name="just"/>
    <protectedRange sqref="DP34:DQ49 DP5:DQ6 DQ7:DQ22 DP7:DP33 DQ24:DQ33 DP51:DQ106" name="output_2"/>
    <protectedRange sqref="AR72:CD73 AR71:AX71 BQ71:CD71 CO5:CR73 AR24:CD49 AR5:CD22 AR51:CD70 CO75:CR106 AR75:CD106" name="bd1"/>
    <protectedRange sqref="M99:R100 M102:R103 M15:R16 M57:R58 M60:R61 M63:R64 M66:R67 M69:R70 M72:R73 M75:R76 M78:R79 M81:R82 CE51:CN73 CE5:CN22 CE24:CN49 M105:R106 S5:AM106 CE75:CN106" name="uncontrol"/>
    <protectedRange sqref="F99:H100 F102:H103 F105:H106" name="type"/>
    <protectedRange sqref="M53:R54 M71:R71 M74:R74 O55:R55 M68:R68 M5:R14 M17:R47 M50:R50 M56:R56 M59:R59 M62:R62 M83:R97" name="uncontrol_1_1_7"/>
    <protectedRange sqref="M48:R49 M51:R52" name="uncontrol_2_1"/>
    <protectedRange sqref="FB50" name="just_1_2"/>
    <protectedRange sqref="DP50:DQ50" name="output_1_1"/>
    <protectedRange sqref="AR50:CD50 CO50:CR50" name="bd1_1_1"/>
    <protectedRange sqref="CE50:CN50" name="uncontrol_3_1"/>
    <protectedRange sqref="FB23" name="just_3"/>
    <protectedRange sqref="DQ23" name="output_3"/>
    <protectedRange sqref="AR23:CD23 CO23:CR23" name="bd1_3"/>
    <protectedRange sqref="CE23:CN23" name="uncontrol_5"/>
    <protectedRange sqref="E99:E100 E102:E103 E105:E106" name="type_2_1_9"/>
    <protectedRange sqref="AR74:CD74" name="bd1_4"/>
    <protectedRange sqref="FB74" name="just_2_1_1"/>
    <protectedRange sqref="CO74:CR74 AR74:CD74" name="bd1_2_1"/>
    <protectedRange sqref="CE74:CN74" name="uncontrol_4_1_1"/>
    <protectedRange sqref="AY71:BP71" name="bd1_2"/>
    <protectedRange sqref="M55:N55" name="uncontrol_1_1_4_1"/>
    <protectedRange sqref="M77:Q77 M80:Q80 M98:Q98 M101:Q101 M104:Q104" name="uncontrol_1_1_2_2_3"/>
    <protectedRange sqref="R77 R80 R98 R101 R104" name="uncontrol_1_1_1_3"/>
    <protectedRange sqref="F98:G98 F101:G101 F104:G104" name="type_1_1_1_9_8_2_3_1_3"/>
    <protectedRange sqref="H98 H101 H104" name="type_1_1_1_2_7_8_2_3_1_3"/>
    <protectedRange sqref="E98 E101 E104" name="type_2_1_8_8_2_3_1_3"/>
    <protectedRange sqref="M65:R65" name="uncontrol_1_1_3"/>
    <protectedRange sqref="F57:G58 F15:H16 F81:H82 F60:H61 F63:H64 F66:H67 F69:H70 F72:H73 F76:H76 F78:H79" name="type_2"/>
    <protectedRange sqref="F6:H7 F54:G54 F96:H97 F24:H25 F27:H28 F71:G71 F74:G74 F9:H10 F12:H13 F18:H19 F42:H43 F45:H46 F84:H85 F83:G83 F21:H22 F30:H31 F39:H40 F36:H37 F68:G68 F95:G95 F33:G34 F93:H94 F92:G92 F90:H91 F89:G89 F87:H88 F86:G86" name="type_1_1_1_10_1"/>
    <protectedRange sqref="F49:H49 F51:H52 F48:G48" name="type_1_1_2"/>
    <protectedRange sqref="H71 H74 H83 H68 H95 H33:H34 H48 H54:H55 H57:H58 H77 H80 H92 H89 H86" name="type_1_1_1_2_8_1"/>
    <protectedRange sqref="E57:E58 E6:E7 E30:E31 E36:E37 E33:E34 E39:E40 E42:E43 E45:E46 E48:E49 E51:E52 E54 E60:E61 E63:E64 E66:E74 E78:E79 E9:E10 E12:E13 E15:E16 E18:E19 E21:E22 E24:E25 E27:E28 E76 E81:E97" name="type_2_1_9_1"/>
    <protectedRange sqref="F55:G55" name="type_1_1_1_4_1_1"/>
    <protectedRange sqref="E55" name="type_2_1_4_1_1"/>
    <protectedRange sqref="F32:G32" name="type_1_1_1_9_3_2"/>
    <protectedRange sqref="H32" name="type_1_1_1_2_7_3"/>
    <protectedRange sqref="E32" name="type_2_1_8_3_2"/>
    <protectedRange sqref="F38:G38 F41:G41 F44:G44" name="type_1_1_1_9_8_3_1"/>
    <protectedRange sqref="H38 H41 H44" name="type_1_1_1_2_7_8_3_1"/>
    <protectedRange sqref="E38 E41 E44" name="type_2_1_8_8_3_1"/>
    <protectedRange sqref="F47:G47 F50:G50 F53:G53 F56:G56 F59:G59 F62:G62 F65:G65" name="type_1_1_1_9_8_2_2_2"/>
    <protectedRange sqref="H47 H50 H53 H56 H59 H62 H65" name="type_1_1_1_2_7_8_2_2_2"/>
    <protectedRange sqref="E47 E50 E53 E56 E59 E62 E65" name="type_2_1_8_8_2_2_2"/>
    <protectedRange sqref="F77:G77 F80:G80" name="type_1_1_1_9_8_2_3_1_4"/>
    <protectedRange sqref="E77 E80" name="type_2_1_8_8_2_3_1_4"/>
    <protectedRange sqref="F5:G5" name="type_1_1_1_11"/>
    <protectedRange sqref="H5" name="type_1_1_1_2_10"/>
    <protectedRange sqref="E5" name="type_2_1_10"/>
    <protectedRange sqref="F8:G8" name="type_1_1_1_1_1"/>
    <protectedRange sqref="H8" name="type_1_1_1_2_1_1"/>
    <protectedRange sqref="E8" name="type_2_1_1_1"/>
    <protectedRange sqref="F11:G11" name="type_1_1_1_3_1"/>
    <protectedRange sqref="H11" name="type_1_1_1_2_2_1"/>
    <protectedRange sqref="E11" name="type_2_1_2_1"/>
    <protectedRange sqref="F14:G14" name="type_1_1_1_4_2"/>
    <protectedRange sqref="H14" name="type_1_1_1_2_3_1"/>
    <protectedRange sqref="E14" name="type_2_1_3_1"/>
    <protectedRange sqref="F17:G17" name="type_1_1_1_5_1"/>
    <protectedRange sqref="H17" name="type_1_1_1_2_4_1"/>
    <protectedRange sqref="E17" name="type_2_1_4_2"/>
    <protectedRange sqref="F20:G20" name="type_1_1_1_6_1"/>
    <protectedRange sqref="H20" name="type_1_1_1_2_5_1"/>
    <protectedRange sqref="E20" name="type_2_1_5_1"/>
    <protectedRange sqref="F23:G23" name="type_1_1_1_7_1"/>
    <protectedRange sqref="H23" name="type_1_1_1_2_6_1"/>
    <protectedRange sqref="E23" name="type_2_1_6_1"/>
    <protectedRange sqref="F26:G26" name="type_1_1_1_8_1"/>
    <protectedRange sqref="H26" name="type_1_1_1_2_7_1"/>
    <protectedRange sqref="E26" name="type_2_1_7_1"/>
    <protectedRange sqref="F29:G29" name="type_1_1_1_9_1"/>
    <protectedRange sqref="H29" name="type_1_1_1_2_9_1"/>
    <protectedRange sqref="E29" name="type_2_1_8_1"/>
    <protectedRange sqref="F35:G35" name="type_1_1_1_9_1_1"/>
    <protectedRange sqref="H35" name="type_1_1_1_2_9_1_1"/>
    <protectedRange sqref="E35" name="type_2_1_8_1_1"/>
    <protectedRange sqref="F75:H75" name="type_2_2"/>
    <protectedRange sqref="E75" name="type_2_1_9_1_1"/>
  </protectedRanges>
  <mergeCells count="104">
    <mergeCell ref="B104:B106"/>
    <mergeCell ref="C104:C106"/>
    <mergeCell ref="E108:K108"/>
    <mergeCell ref="E109:K109"/>
    <mergeCell ref="E110:AT110"/>
    <mergeCell ref="B95:B97"/>
    <mergeCell ref="C95:C97"/>
    <mergeCell ref="B98:B100"/>
    <mergeCell ref="C98:C100"/>
    <mergeCell ref="B101:B103"/>
    <mergeCell ref="C101:C103"/>
    <mergeCell ref="B86:B88"/>
    <mergeCell ref="C86:C88"/>
    <mergeCell ref="B89:B91"/>
    <mergeCell ref="C89:C91"/>
    <mergeCell ref="B92:B94"/>
    <mergeCell ref="C92:C94"/>
    <mergeCell ref="B77:B79"/>
    <mergeCell ref="C77:C79"/>
    <mergeCell ref="B80:B82"/>
    <mergeCell ref="C80:C82"/>
    <mergeCell ref="B83:B85"/>
    <mergeCell ref="C83:C85"/>
    <mergeCell ref="B68:B70"/>
    <mergeCell ref="C68:C70"/>
    <mergeCell ref="B71:B73"/>
    <mergeCell ref="C71:C73"/>
    <mergeCell ref="B74:B76"/>
    <mergeCell ref="C74:C76"/>
    <mergeCell ref="B59:B61"/>
    <mergeCell ref="C59:C61"/>
    <mergeCell ref="B62:B64"/>
    <mergeCell ref="C62:C64"/>
    <mergeCell ref="B65:B67"/>
    <mergeCell ref="C65:C67"/>
    <mergeCell ref="B50:B52"/>
    <mergeCell ref="C50:C52"/>
    <mergeCell ref="B53:B55"/>
    <mergeCell ref="C53:C55"/>
    <mergeCell ref="B56:B58"/>
    <mergeCell ref="C56:C58"/>
    <mergeCell ref="B41:B43"/>
    <mergeCell ref="C41:C43"/>
    <mergeCell ref="B44:B46"/>
    <mergeCell ref="C44:C46"/>
    <mergeCell ref="B47:B49"/>
    <mergeCell ref="C47:C49"/>
    <mergeCell ref="B32:B34"/>
    <mergeCell ref="C32:C34"/>
    <mergeCell ref="B35:B37"/>
    <mergeCell ref="C35:C37"/>
    <mergeCell ref="B38:B40"/>
    <mergeCell ref="C38:C40"/>
    <mergeCell ref="B23:B25"/>
    <mergeCell ref="C23:C25"/>
    <mergeCell ref="B26:B28"/>
    <mergeCell ref="C26:C28"/>
    <mergeCell ref="B29:B31"/>
    <mergeCell ref="C29:C31"/>
    <mergeCell ref="B14:B16"/>
    <mergeCell ref="C14:C16"/>
    <mergeCell ref="B17:B19"/>
    <mergeCell ref="C17:C19"/>
    <mergeCell ref="B20:B22"/>
    <mergeCell ref="C20:C22"/>
    <mergeCell ref="EQ2:EQ3"/>
    <mergeCell ref="B5:B7"/>
    <mergeCell ref="C5:C7"/>
    <mergeCell ref="B8:B10"/>
    <mergeCell ref="C8:C10"/>
    <mergeCell ref="B11:B13"/>
    <mergeCell ref="C11:C13"/>
    <mergeCell ref="ED2:ED3"/>
    <mergeCell ref="EG2:EG3"/>
    <mergeCell ref="EH2:EK2"/>
    <mergeCell ref="EL2:EL3"/>
    <mergeCell ref="EO2:EO3"/>
    <mergeCell ref="EP2:EP3"/>
    <mergeCell ref="DD2:DG2"/>
    <mergeCell ref="DJ2:DM2"/>
    <mergeCell ref="DP2:DS2"/>
    <mergeCell ref="DV2:DV3"/>
    <mergeCell ref="DY2:DY3"/>
    <mergeCell ref="EB2:EB3"/>
    <mergeCell ref="EG1:EL1"/>
    <mergeCell ref="EO1:EQ1"/>
    <mergeCell ref="K2:K3"/>
    <mergeCell ref="M2:Z2"/>
    <mergeCell ref="AA2:AM2"/>
    <mergeCell ref="AN2:AN3"/>
    <mergeCell ref="AP2:AP3"/>
    <mergeCell ref="AR2:AR3"/>
    <mergeCell ref="AS2:AS3"/>
    <mergeCell ref="AU2:BQ2"/>
    <mergeCell ref="K1:AP1"/>
    <mergeCell ref="AR1:AS1"/>
    <mergeCell ref="AU1:CU1"/>
    <mergeCell ref="CW1:DB2"/>
    <mergeCell ref="DD1:DV1"/>
    <mergeCell ref="DY1:ED1"/>
    <mergeCell ref="BR2:CC2"/>
    <mergeCell ref="CD2:CR2"/>
    <mergeCell ref="CS2:CS3"/>
    <mergeCell ref="CU2:CU3"/>
  </mergeCells>
  <conditionalFormatting sqref="C1:C3 C98 C101 C104">
    <cfRule type="cellIs" dxfId="17" priority="4" stopIfTrue="1" operator="equal">
      <formula>"SUN"</formula>
    </cfRule>
  </conditionalFormatting>
  <conditionalFormatting sqref="C5 C8 C11 C14 C17 C20 C23 C26 C29 C32 C35 C38 C41 C44 C47 C50 C53 C56 C59 C62 C65 C68 C71 C74 C77 C80 C83 C86 C89 C92">
    <cfRule type="cellIs" dxfId="16" priority="1" stopIfTrue="1" operator="equal">
      <formula>"SUN"</formula>
    </cfRule>
  </conditionalFormatting>
  <conditionalFormatting sqref="C95">
    <cfRule type="cellIs" dxfId="15" priority="2" stopIfTrue="1" operator="equal">
      <formula>"SUN"</formula>
    </cfRule>
  </conditionalFormatting>
  <conditionalFormatting sqref="DV107 ED107 EL107 EQ107">
    <cfRule type="cellIs" dxfId="14" priority="5" stopIfTrue="1" operator="lessThan">
      <formula>0.75</formula>
    </cfRule>
  </conditionalFormatting>
  <conditionalFormatting sqref="DX3 EL108:EL109 EQ108:EQ109">
    <cfRule type="cellIs" dxfId="13" priority="6" stopIfTrue="1" operator="lessThan">
      <formula>0.75</formula>
    </cfRule>
  </conditionalFormatting>
  <conditionalFormatting sqref="EF3:EF107 EN3:EN107 EL4:EL106 EQ4:EQ106 ES4:ES109 DV5:DV106 ED5:ED106 DX5:DX107">
    <cfRule type="cellIs" dxfId="12" priority="3" stopIfTrue="1" operator="lessThan">
      <formula>0.75</formula>
    </cfRule>
  </conditionalFormatting>
  <pageMargins left="0.7" right="0.7" top="0.75" bottom="0.75" header="0.3" footer="0.3"/>
  <pageSetup paperSize="9" orientation="portrait" horizontalDpi="120" verticalDpi="7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92FE-4495-43D6-A9DD-028AB0C73956}">
  <sheetPr>
    <tabColor rgb="FFFFFF00"/>
  </sheetPr>
  <dimension ref="A1:FP118"/>
  <sheetViews>
    <sheetView zoomScale="80" zoomScaleNormal="80" workbookViewId="0">
      <pane xSplit="12" ySplit="4" topLeftCell="DG97" activePane="bottomRight" state="frozen"/>
      <selection activeCell="R20" sqref="R20"/>
      <selection pane="topRight" activeCell="R20" sqref="R20"/>
      <selection pane="bottomLeft" activeCell="R20" sqref="R20"/>
      <selection pane="bottomRight" activeCell="AG4" sqref="AG4"/>
    </sheetView>
  </sheetViews>
  <sheetFormatPr defaultColWidth="9.1796875" defaultRowHeight="12.5" outlineLevelRow="1" outlineLevelCol="1" x14ac:dyDescent="0.25"/>
  <cols>
    <col min="1" max="1" width="1.26953125" style="132" customWidth="1"/>
    <col min="2" max="2" width="16.7265625" style="329" customWidth="1"/>
    <col min="3" max="3" width="9.54296875" style="132" customWidth="1"/>
    <col min="4" max="4" width="14.81640625" style="132" customWidth="1"/>
    <col min="5" max="5" width="7.26953125" style="132" customWidth="1"/>
    <col min="6" max="6" width="1.1796875" style="132" customWidth="1"/>
    <col min="7" max="7" width="0" style="132" hidden="1" customWidth="1"/>
    <col min="8" max="8" width="23.1796875" style="132" customWidth="1"/>
    <col min="9" max="9" width="14" style="132" bestFit="1" customWidth="1"/>
    <col min="10" max="10" width="1.1796875" style="132" customWidth="1"/>
    <col min="11" max="11" width="12.54296875" style="132" customWidth="1"/>
    <col min="12" max="12" width="1.1796875" style="132" customWidth="1"/>
    <col min="13" max="39" width="6.54296875" style="132" customWidth="1" outlineLevel="1"/>
    <col min="40" max="40" width="14.453125" style="132" customWidth="1"/>
    <col min="41" max="41" width="4.7265625" style="132" customWidth="1"/>
    <col min="42" max="42" width="17.7265625" style="132" customWidth="1"/>
    <col min="43" max="43" width="2.81640625" style="132" customWidth="1"/>
    <col min="44" max="45" width="17.81640625" style="132" customWidth="1"/>
    <col min="46" max="46" width="2.81640625" style="132" customWidth="1"/>
    <col min="47" max="69" width="4.6328125" style="132" customWidth="1" outlineLevel="1"/>
    <col min="70" max="70" width="3.54296875" style="132" customWidth="1" outlineLevel="1"/>
    <col min="71" max="71" width="5.81640625" style="132" customWidth="1" outlineLevel="1"/>
    <col min="72" max="76" width="3.54296875" style="132" customWidth="1" outlineLevel="1"/>
    <col min="77" max="77" width="3.7265625" style="132" customWidth="1" outlineLevel="1"/>
    <col min="78" max="78" width="4" style="132" customWidth="1" outlineLevel="1"/>
    <col min="79" max="81" width="3.54296875" style="132" customWidth="1" outlineLevel="1"/>
    <col min="82" max="82" width="4" style="132" customWidth="1" outlineLevel="1"/>
    <col min="83" max="96" width="4.6328125" style="132" customWidth="1" outlineLevel="1"/>
    <col min="97" max="97" width="10.7265625" style="132" customWidth="1"/>
    <col min="98" max="98" width="0.81640625" style="132" customWidth="1"/>
    <col min="99" max="99" width="21.54296875" style="132" customWidth="1"/>
    <col min="100" max="100" width="1.81640625" style="132" customWidth="1"/>
    <col min="101" max="106" width="23.1796875" style="315" customWidth="1"/>
    <col min="107" max="107" width="3.26953125" style="132" customWidth="1"/>
    <col min="108" max="108" width="12.54296875" style="132" customWidth="1" outlineLevel="1"/>
    <col min="109" max="109" width="13" style="132" customWidth="1" outlineLevel="1"/>
    <col min="110" max="110" width="28.453125" style="132" customWidth="1" outlineLevel="1"/>
    <col min="111" max="111" width="24.1796875" style="132" customWidth="1"/>
    <col min="112" max="112" width="5.81640625" style="316" bestFit="1" customWidth="1"/>
    <col min="113" max="113" width="9.1796875" style="132" customWidth="1"/>
    <col min="114" max="115" width="12.26953125" style="132" bestFit="1" customWidth="1" outlineLevel="1"/>
    <col min="116" max="116" width="26.54296875" style="317" customWidth="1" outlineLevel="1"/>
    <col min="117" max="117" width="16.453125" style="132" customWidth="1"/>
    <col min="118" max="118" width="11.54296875" style="316" customWidth="1"/>
    <col min="119" max="119" width="7.81640625" style="132" customWidth="1"/>
    <col min="120" max="120" width="11" style="132" customWidth="1" outlineLevel="1"/>
    <col min="121" max="121" width="11.7265625" style="132" customWidth="1" outlineLevel="1"/>
    <col min="122" max="122" width="11.54296875" style="132" customWidth="1" outlineLevel="1"/>
    <col min="123" max="123" width="13.81640625" style="132" customWidth="1"/>
    <col min="124" max="124" width="10.1796875" style="316" customWidth="1"/>
    <col min="125" max="125" width="9.1796875" style="132"/>
    <col min="126" max="126" width="19.26953125" style="315" customWidth="1"/>
    <col min="127" max="127" width="9.54296875" style="316" customWidth="1"/>
    <col min="128" max="128" width="4.81640625" style="132" customWidth="1" collapsed="1"/>
    <col min="129" max="129" width="17.81640625" style="132" customWidth="1" outlineLevel="1"/>
    <col min="130" max="130" width="16.453125" style="132" hidden="1" customWidth="1" outlineLevel="1"/>
    <col min="131" max="131" width="16.81640625" style="132" hidden="1" customWidth="1" outlineLevel="1"/>
    <col min="132" max="132" width="19.54296875" style="132" customWidth="1" outlineLevel="1"/>
    <col min="133" max="133" width="0.7265625" style="132" customWidth="1" outlineLevel="1"/>
    <col min="134" max="134" width="23.453125" style="132" customWidth="1"/>
    <col min="135" max="135" width="7.54296875" style="316" customWidth="1"/>
    <col min="136" max="136" width="8.453125" style="132" customWidth="1"/>
    <col min="137" max="137" width="12.1796875" style="132" customWidth="1" outlineLevel="1"/>
    <col min="138" max="138" width="13.7265625" style="132" customWidth="1" outlineLevel="1"/>
    <col min="139" max="139" width="11.81640625" style="132" customWidth="1" outlineLevel="1"/>
    <col min="140" max="140" width="13.54296875" style="132" customWidth="1" outlineLevel="1"/>
    <col min="141" max="141" width="17.26953125" style="132" customWidth="1" outlineLevel="1"/>
    <col min="142" max="142" width="17.7265625" style="132" customWidth="1"/>
    <col min="143" max="143" width="1.54296875" style="316" customWidth="1"/>
    <col min="144" max="144" width="12" style="132" customWidth="1"/>
    <col min="145" max="145" width="18.81640625" style="132" customWidth="1" outlineLevel="1"/>
    <col min="146" max="146" width="22.453125" style="132" customWidth="1" outlineLevel="1"/>
    <col min="147" max="147" width="17.7265625" style="132" customWidth="1"/>
    <col min="148" max="148" width="1.26953125" style="316" customWidth="1"/>
    <col min="149" max="149" width="18.1796875" style="132" customWidth="1"/>
    <col min="150" max="150" width="1.54296875" style="132" customWidth="1"/>
    <col min="151" max="151" width="13.26953125" style="132" customWidth="1"/>
    <col min="152" max="152" width="11.26953125" style="132" customWidth="1"/>
    <col min="153" max="153" width="26.1796875" style="132" customWidth="1"/>
    <col min="154" max="154" width="11.26953125" style="132" customWidth="1"/>
    <col min="155" max="155" width="1.1796875" style="132" customWidth="1"/>
    <col min="156" max="156" width="29.453125" style="132" customWidth="1"/>
    <col min="157" max="157" width="28.26953125" style="132" customWidth="1"/>
    <col min="158" max="158" width="72.7265625" style="132" customWidth="1"/>
    <col min="159" max="159" width="2.26953125" style="132" customWidth="1"/>
    <col min="160" max="16384" width="9.1796875" style="132"/>
  </cols>
  <sheetData>
    <row r="1" spans="2:172" s="1" customFormat="1" ht="30.75" customHeight="1" thickBot="1" x14ac:dyDescent="0.3">
      <c r="B1" s="325"/>
      <c r="D1" s="2"/>
      <c r="E1" s="2"/>
      <c r="F1" s="3"/>
      <c r="G1" s="4"/>
      <c r="H1" s="5"/>
      <c r="I1" s="6"/>
      <c r="J1" s="7"/>
      <c r="K1" s="405" t="s">
        <v>0</v>
      </c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8"/>
      <c r="AR1" s="407" t="s">
        <v>1</v>
      </c>
      <c r="AS1" s="408"/>
      <c r="AT1" s="8"/>
      <c r="AU1" s="409" t="s">
        <v>2</v>
      </c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1"/>
      <c r="CV1" s="9"/>
      <c r="CW1" s="412" t="s">
        <v>3</v>
      </c>
      <c r="CX1" s="412"/>
      <c r="CY1" s="412"/>
      <c r="CZ1" s="412"/>
      <c r="DA1" s="412"/>
      <c r="DB1" s="412"/>
      <c r="DC1" s="10"/>
      <c r="DD1" s="414" t="s">
        <v>4</v>
      </c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5"/>
      <c r="DW1" s="11"/>
      <c r="DX1" s="12"/>
      <c r="DY1" s="374" t="s">
        <v>5</v>
      </c>
      <c r="DZ1" s="375"/>
      <c r="EA1" s="375"/>
      <c r="EB1" s="375"/>
      <c r="EC1" s="375"/>
      <c r="ED1" s="376"/>
      <c r="EE1" s="11"/>
      <c r="EF1" s="12"/>
      <c r="EG1" s="377" t="s">
        <v>6</v>
      </c>
      <c r="EH1" s="378"/>
      <c r="EI1" s="378"/>
      <c r="EJ1" s="378"/>
      <c r="EK1" s="378"/>
      <c r="EL1" s="379"/>
      <c r="EM1" s="11"/>
      <c r="EN1" s="12"/>
      <c r="EO1" s="377" t="s">
        <v>7</v>
      </c>
      <c r="EP1" s="378"/>
      <c r="EQ1" s="379"/>
      <c r="ER1" s="11"/>
      <c r="ES1" s="13"/>
      <c r="ET1" s="13"/>
      <c r="EU1" s="2"/>
      <c r="EV1" s="2"/>
      <c r="EW1" s="2"/>
      <c r="EX1" s="2"/>
      <c r="EY1" s="2"/>
      <c r="EZ1" s="2"/>
      <c r="FA1" s="14"/>
      <c r="FB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</row>
    <row r="2" spans="2:172" s="15" customFormat="1" ht="33" customHeight="1" thickBot="1" x14ac:dyDescent="0.3">
      <c r="B2" s="326"/>
      <c r="D2" s="17"/>
      <c r="E2" s="17"/>
      <c r="F2" s="18"/>
      <c r="G2" s="18"/>
      <c r="H2" s="19"/>
      <c r="I2" s="20"/>
      <c r="J2" s="20"/>
      <c r="K2" s="416" t="s">
        <v>8</v>
      </c>
      <c r="L2" s="21"/>
      <c r="M2" s="418" t="s">
        <v>9</v>
      </c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1"/>
      <c r="AA2" s="380" t="s">
        <v>10</v>
      </c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1"/>
      <c r="AN2" s="382" t="s">
        <v>11</v>
      </c>
      <c r="AO2" s="22"/>
      <c r="AP2" s="419" t="s">
        <v>12</v>
      </c>
      <c r="AQ2" s="18"/>
      <c r="AR2" s="372" t="s">
        <v>13</v>
      </c>
      <c r="AS2" s="372" t="s">
        <v>14</v>
      </c>
      <c r="AT2" s="18"/>
      <c r="AU2" s="385" t="s">
        <v>15</v>
      </c>
      <c r="AV2" s="386"/>
      <c r="AW2" s="386"/>
      <c r="AX2" s="386"/>
      <c r="AY2" s="386"/>
      <c r="AZ2" s="386"/>
      <c r="BA2" s="386"/>
      <c r="BB2" s="386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8" t="s">
        <v>16</v>
      </c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90"/>
      <c r="CD2" s="385" t="s">
        <v>17</v>
      </c>
      <c r="CE2" s="391"/>
      <c r="CF2" s="391"/>
      <c r="CG2" s="391"/>
      <c r="CH2" s="391"/>
      <c r="CI2" s="391"/>
      <c r="CJ2" s="391"/>
      <c r="CK2" s="391"/>
      <c r="CL2" s="391"/>
      <c r="CM2" s="391"/>
      <c r="CN2" s="391"/>
      <c r="CO2" s="391"/>
      <c r="CP2" s="391"/>
      <c r="CQ2" s="391"/>
      <c r="CR2" s="392"/>
      <c r="CS2" s="393" t="s">
        <v>18</v>
      </c>
      <c r="CT2" s="22"/>
      <c r="CU2" s="395" t="s">
        <v>19</v>
      </c>
      <c r="CV2" s="23"/>
      <c r="CW2" s="413"/>
      <c r="CX2" s="413"/>
      <c r="CY2" s="413"/>
      <c r="CZ2" s="413"/>
      <c r="DA2" s="413"/>
      <c r="DB2" s="413"/>
      <c r="DC2" s="24"/>
      <c r="DD2" s="397" t="s">
        <v>20</v>
      </c>
      <c r="DE2" s="398"/>
      <c r="DF2" s="398"/>
      <c r="DG2" s="399"/>
      <c r="DH2" s="25"/>
      <c r="DI2" s="26"/>
      <c r="DJ2" s="397" t="s">
        <v>21</v>
      </c>
      <c r="DK2" s="398"/>
      <c r="DL2" s="398"/>
      <c r="DM2" s="399"/>
      <c r="DN2" s="25"/>
      <c r="DO2" s="26"/>
      <c r="DP2" s="400" t="s">
        <v>22</v>
      </c>
      <c r="DQ2" s="401"/>
      <c r="DR2" s="401"/>
      <c r="DS2" s="402"/>
      <c r="DT2" s="25"/>
      <c r="DU2" s="27"/>
      <c r="DV2" s="362" t="s">
        <v>23</v>
      </c>
      <c r="DW2" s="25"/>
      <c r="DX2" s="26"/>
      <c r="DY2" s="366" t="s">
        <v>24</v>
      </c>
      <c r="DZ2" s="28" t="s">
        <v>25</v>
      </c>
      <c r="EA2" s="29"/>
      <c r="EB2" s="368" t="s">
        <v>26</v>
      </c>
      <c r="EC2" s="30"/>
      <c r="ED2" s="403" t="s">
        <v>27</v>
      </c>
      <c r="EE2" s="25"/>
      <c r="EF2" s="31"/>
      <c r="EG2" s="370" t="s">
        <v>24</v>
      </c>
      <c r="EH2" s="359" t="s">
        <v>28</v>
      </c>
      <c r="EI2" s="360"/>
      <c r="EJ2" s="360"/>
      <c r="EK2" s="361"/>
      <c r="EL2" s="362" t="s">
        <v>29</v>
      </c>
      <c r="EM2" s="32"/>
      <c r="EN2" s="31"/>
      <c r="EO2" s="370" t="s">
        <v>24</v>
      </c>
      <c r="EP2" s="364" t="s">
        <v>30</v>
      </c>
      <c r="EQ2" s="362" t="s">
        <v>31</v>
      </c>
      <c r="ER2" s="32"/>
      <c r="ES2" s="16"/>
      <c r="ET2" s="33"/>
      <c r="EU2" s="34"/>
      <c r="EV2" s="34"/>
      <c r="EW2" s="35" t="s">
        <v>32</v>
      </c>
      <c r="EX2" s="36"/>
      <c r="EY2" s="37"/>
      <c r="EZ2" s="38" t="s">
        <v>33</v>
      </c>
      <c r="FA2" s="39" t="s">
        <v>34</v>
      </c>
      <c r="FB2" s="40"/>
      <c r="FC2" s="41"/>
    </row>
    <row r="3" spans="2:172" s="41" customFormat="1" ht="207.75" customHeight="1" thickBot="1" x14ac:dyDescent="0.3">
      <c r="B3" s="327" t="s">
        <v>35</v>
      </c>
      <c r="C3" s="319" t="s">
        <v>36</v>
      </c>
      <c r="D3" s="42" t="s">
        <v>37</v>
      </c>
      <c r="E3" s="43" t="s">
        <v>38</v>
      </c>
      <c r="F3" s="44"/>
      <c r="G3" s="45" t="s">
        <v>39</v>
      </c>
      <c r="H3" s="46" t="s">
        <v>40</v>
      </c>
      <c r="I3" s="47" t="s">
        <v>41</v>
      </c>
      <c r="J3" s="48"/>
      <c r="K3" s="417"/>
      <c r="L3" s="49"/>
      <c r="M3" s="334" t="s">
        <v>84</v>
      </c>
      <c r="N3" s="335" t="s">
        <v>85</v>
      </c>
      <c r="O3" s="335" t="s">
        <v>86</v>
      </c>
      <c r="P3" s="336" t="s">
        <v>87</v>
      </c>
      <c r="Q3" s="337" t="s">
        <v>88</v>
      </c>
      <c r="R3" s="335" t="s">
        <v>89</v>
      </c>
      <c r="S3" s="335" t="s">
        <v>90</v>
      </c>
      <c r="T3" s="335" t="s">
        <v>91</v>
      </c>
      <c r="U3" s="335" t="s">
        <v>92</v>
      </c>
      <c r="V3" s="335" t="s">
        <v>93</v>
      </c>
      <c r="W3" s="335" t="s">
        <v>94</v>
      </c>
      <c r="X3" s="335" t="s">
        <v>95</v>
      </c>
      <c r="Y3" s="335" t="s">
        <v>96</v>
      </c>
      <c r="Z3" s="344" t="s">
        <v>97</v>
      </c>
      <c r="AA3" s="340" t="s">
        <v>83</v>
      </c>
      <c r="AB3" s="341" t="s">
        <v>115</v>
      </c>
      <c r="AC3" s="342" t="s">
        <v>116</v>
      </c>
      <c r="AD3" s="342" t="s">
        <v>117</v>
      </c>
      <c r="AE3" s="341" t="s">
        <v>118</v>
      </c>
      <c r="AF3" s="341" t="s">
        <v>119</v>
      </c>
      <c r="AG3" s="341" t="s">
        <v>134</v>
      </c>
      <c r="AH3" s="341"/>
      <c r="AI3" s="341"/>
      <c r="AJ3" s="341"/>
      <c r="AK3" s="341"/>
      <c r="AL3" s="341"/>
      <c r="AM3" s="343"/>
      <c r="AN3" s="383"/>
      <c r="AO3" s="52"/>
      <c r="AP3" s="420"/>
      <c r="AQ3" s="53"/>
      <c r="AR3" s="373"/>
      <c r="AS3" s="384"/>
      <c r="AT3" s="53"/>
      <c r="AU3" s="51" t="s">
        <v>98</v>
      </c>
      <c r="AV3" s="51" t="s">
        <v>99</v>
      </c>
      <c r="AW3" s="51" t="s">
        <v>100</v>
      </c>
      <c r="AX3" s="51" t="s">
        <v>101</v>
      </c>
      <c r="AY3" s="51" t="s">
        <v>102</v>
      </c>
      <c r="AZ3" s="51" t="s">
        <v>103</v>
      </c>
      <c r="BA3" s="51" t="s">
        <v>104</v>
      </c>
      <c r="BB3" s="51" t="s">
        <v>113</v>
      </c>
      <c r="BC3" s="51" t="s">
        <v>105</v>
      </c>
      <c r="BD3" s="51" t="s">
        <v>106</v>
      </c>
      <c r="BE3" s="51" t="s">
        <v>107</v>
      </c>
      <c r="BF3" s="51" t="s">
        <v>108</v>
      </c>
      <c r="BG3" s="51" t="s">
        <v>109</v>
      </c>
      <c r="BH3" s="51" t="s">
        <v>110</v>
      </c>
      <c r="BI3" s="51" t="s">
        <v>111</v>
      </c>
      <c r="BJ3" s="51" t="s">
        <v>112</v>
      </c>
      <c r="BK3" s="51" t="s">
        <v>114</v>
      </c>
      <c r="BL3" s="51"/>
      <c r="BM3" s="54"/>
      <c r="BN3" s="54"/>
      <c r="BO3" s="54"/>
      <c r="BP3" s="330"/>
      <c r="BQ3" s="55"/>
      <c r="BR3" s="56" t="s">
        <v>43</v>
      </c>
      <c r="BS3" s="54" t="s">
        <v>44</v>
      </c>
      <c r="BT3" s="54"/>
      <c r="BU3" s="54"/>
      <c r="BV3" s="54"/>
      <c r="BW3" s="54"/>
      <c r="BX3" s="54"/>
      <c r="BY3" s="54"/>
      <c r="BZ3" s="54" t="s">
        <v>42</v>
      </c>
      <c r="CA3" s="54" t="s">
        <v>42</v>
      </c>
      <c r="CB3" s="54" t="s">
        <v>42</v>
      </c>
      <c r="CC3" s="54"/>
      <c r="CD3" s="50" t="s">
        <v>131</v>
      </c>
      <c r="CE3" s="50" t="s">
        <v>132</v>
      </c>
      <c r="CF3" s="345" t="s">
        <v>130</v>
      </c>
      <c r="CG3" s="345" t="s">
        <v>120</v>
      </c>
      <c r="CH3" s="50" t="s">
        <v>121</v>
      </c>
      <c r="CI3" s="50" t="s">
        <v>123</v>
      </c>
      <c r="CJ3" s="50" t="s">
        <v>124</v>
      </c>
      <c r="CK3" s="50" t="s">
        <v>122</v>
      </c>
      <c r="CL3" s="50" t="s">
        <v>125</v>
      </c>
      <c r="CM3" s="50" t="s">
        <v>126</v>
      </c>
      <c r="CN3" s="50" t="s">
        <v>127</v>
      </c>
      <c r="CO3" s="50" t="s">
        <v>128</v>
      </c>
      <c r="CP3" s="352" t="s">
        <v>129</v>
      </c>
      <c r="CQ3" s="352" t="s">
        <v>133</v>
      </c>
      <c r="CR3" s="55" t="s">
        <v>42</v>
      </c>
      <c r="CS3" s="394"/>
      <c r="CT3" s="52"/>
      <c r="CU3" s="396"/>
      <c r="CV3" s="57"/>
      <c r="CW3" s="58" t="s">
        <v>45</v>
      </c>
      <c r="CX3" s="59" t="s">
        <v>46</v>
      </c>
      <c r="CY3" s="60" t="s">
        <v>47</v>
      </c>
      <c r="CZ3" s="61" t="s">
        <v>48</v>
      </c>
      <c r="DA3" s="60" t="s">
        <v>49</v>
      </c>
      <c r="DB3" s="62" t="s">
        <v>50</v>
      </c>
      <c r="DC3" s="63"/>
      <c r="DD3" s="64" t="s">
        <v>51</v>
      </c>
      <c r="DE3" s="65" t="s">
        <v>52</v>
      </c>
      <c r="DF3" s="66" t="s">
        <v>53</v>
      </c>
      <c r="DG3" s="67" t="s">
        <v>54</v>
      </c>
      <c r="DH3" s="68"/>
      <c r="DI3" s="69"/>
      <c r="DJ3" s="64" t="s">
        <v>40</v>
      </c>
      <c r="DK3" s="70" t="s">
        <v>41</v>
      </c>
      <c r="DL3" s="66" t="s">
        <v>55</v>
      </c>
      <c r="DM3" s="67" t="s">
        <v>56</v>
      </c>
      <c r="DN3" s="68"/>
      <c r="DO3" s="71"/>
      <c r="DP3" s="65" t="s">
        <v>24</v>
      </c>
      <c r="DQ3" s="65" t="s">
        <v>57</v>
      </c>
      <c r="DR3" s="64" t="s">
        <v>58</v>
      </c>
      <c r="DS3" s="72" t="s">
        <v>59</v>
      </c>
      <c r="DT3" s="68"/>
      <c r="DU3" s="73"/>
      <c r="DV3" s="363"/>
      <c r="DW3" s="68"/>
      <c r="DX3" s="74"/>
      <c r="DY3" s="367"/>
      <c r="DZ3" s="75" t="s">
        <v>60</v>
      </c>
      <c r="EA3" s="76" t="s">
        <v>61</v>
      </c>
      <c r="EB3" s="369"/>
      <c r="EC3" s="77"/>
      <c r="ED3" s="404"/>
      <c r="EE3" s="68"/>
      <c r="EF3" s="78"/>
      <c r="EG3" s="371"/>
      <c r="EH3" s="79" t="s">
        <v>62</v>
      </c>
      <c r="EI3" s="79" t="s">
        <v>63</v>
      </c>
      <c r="EJ3" s="80" t="s">
        <v>64</v>
      </c>
      <c r="EK3" s="81" t="s">
        <v>65</v>
      </c>
      <c r="EL3" s="363"/>
      <c r="EM3" s="82"/>
      <c r="EN3" s="78"/>
      <c r="EO3" s="371"/>
      <c r="EP3" s="365"/>
      <c r="EQ3" s="363"/>
      <c r="ER3" s="82"/>
      <c r="ES3" s="83"/>
      <c r="ET3" s="84"/>
      <c r="EU3" s="85" t="s">
        <v>66</v>
      </c>
      <c r="EV3" s="85" t="s">
        <v>67</v>
      </c>
      <c r="EW3" s="85" t="s">
        <v>68</v>
      </c>
      <c r="EX3" s="85" t="s">
        <v>69</v>
      </c>
      <c r="EZ3" s="85" t="s">
        <v>70</v>
      </c>
      <c r="FA3" s="86" t="s">
        <v>71</v>
      </c>
      <c r="FB3" s="87" t="s">
        <v>72</v>
      </c>
      <c r="FC3" s="88"/>
      <c r="FD3" s="88"/>
    </row>
    <row r="4" spans="2:172" s="41" customFormat="1" ht="4.5" customHeight="1" thickBot="1" x14ac:dyDescent="0.3">
      <c r="B4" s="328"/>
      <c r="C4" s="320"/>
      <c r="D4" s="63"/>
      <c r="E4" s="63"/>
      <c r="F4" s="63"/>
      <c r="G4" s="63"/>
      <c r="H4" s="89"/>
      <c r="I4" s="90"/>
      <c r="J4" s="63"/>
      <c r="K4" s="91"/>
      <c r="L4" s="91"/>
      <c r="M4" s="338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92"/>
      <c r="AB4" s="92"/>
      <c r="AC4" s="92"/>
      <c r="AD4" s="92"/>
      <c r="AE4" s="92"/>
      <c r="AF4" s="92"/>
      <c r="AG4" s="93"/>
      <c r="AH4" s="92"/>
      <c r="AI4" s="92"/>
      <c r="AJ4" s="93"/>
      <c r="AK4" s="93"/>
      <c r="AL4" s="93"/>
      <c r="AM4" s="94"/>
      <c r="AN4" s="95"/>
      <c r="AO4" s="96"/>
      <c r="AP4" s="96"/>
      <c r="AQ4" s="63"/>
      <c r="AR4" s="97"/>
      <c r="AS4" s="98"/>
      <c r="AT4" s="63"/>
      <c r="AU4" s="99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2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4"/>
      <c r="CE4" s="92"/>
      <c r="CF4" s="92"/>
      <c r="CG4" s="92"/>
      <c r="CH4" s="92"/>
      <c r="CI4" s="92"/>
      <c r="CJ4" s="92"/>
      <c r="CK4" s="93"/>
      <c r="CL4" s="93"/>
      <c r="CM4" s="93"/>
      <c r="CN4" s="94"/>
      <c r="CO4" s="103"/>
      <c r="CP4" s="103"/>
      <c r="CQ4" s="105"/>
      <c r="CR4" s="106"/>
      <c r="CS4" s="107"/>
      <c r="CT4" s="96"/>
      <c r="CU4" s="108"/>
      <c r="CV4" s="109"/>
      <c r="CW4" s="110"/>
      <c r="CX4" s="110"/>
      <c r="CY4" s="111"/>
      <c r="CZ4" s="112"/>
      <c r="DA4" s="113"/>
      <c r="DB4" s="112"/>
      <c r="DC4" s="114"/>
      <c r="DD4" s="89"/>
      <c r="DE4" s="89"/>
      <c r="DF4" s="63"/>
      <c r="DG4" s="115"/>
      <c r="DH4" s="116"/>
      <c r="DI4" s="112"/>
      <c r="DJ4" s="89"/>
      <c r="DK4" s="63"/>
      <c r="DL4" s="117"/>
      <c r="DM4" s="115"/>
      <c r="DN4" s="116"/>
      <c r="DO4" s="63"/>
      <c r="DP4" s="63"/>
      <c r="DQ4" s="63"/>
      <c r="DR4" s="63"/>
      <c r="DS4" s="118"/>
      <c r="DT4" s="116"/>
      <c r="DU4" s="112"/>
      <c r="DV4" s="119"/>
      <c r="DW4" s="116"/>
      <c r="DX4" s="112"/>
      <c r="DY4" s="120"/>
      <c r="DZ4" s="63"/>
      <c r="EA4" s="63"/>
      <c r="EB4" s="63"/>
      <c r="EC4" s="63"/>
      <c r="ED4" s="121"/>
      <c r="EE4" s="116"/>
      <c r="EF4" s="122"/>
      <c r="EG4" s="123"/>
      <c r="EH4" s="124"/>
      <c r="EI4" s="124"/>
      <c r="EJ4" s="124"/>
      <c r="EK4" s="124"/>
      <c r="EL4" s="125"/>
      <c r="EM4" s="126"/>
      <c r="EN4" s="122"/>
      <c r="EO4" s="123"/>
      <c r="EP4" s="124"/>
      <c r="EQ4" s="125"/>
      <c r="ER4" s="126"/>
      <c r="ES4" s="112"/>
      <c r="ET4" s="112"/>
      <c r="EU4" s="127"/>
      <c r="EV4" s="127"/>
      <c r="EW4" s="127"/>
      <c r="EX4" s="127"/>
      <c r="EY4" s="63"/>
      <c r="EZ4" s="128"/>
      <c r="FA4" s="129"/>
      <c r="FB4" s="130"/>
      <c r="FC4" s="131"/>
      <c r="FD4" s="131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</row>
    <row r="5" spans="2:172" ht="16" outlineLevel="1" thickBot="1" x14ac:dyDescent="0.4">
      <c r="B5" s="356"/>
      <c r="C5" s="353"/>
      <c r="D5" s="133"/>
      <c r="E5" s="134"/>
      <c r="F5" s="135"/>
      <c r="G5" s="136"/>
      <c r="H5" s="137"/>
      <c r="I5" s="138">
        <f t="shared" ref="I5:I67" si="0">IF(E5&gt;0.0001,0,0)</f>
        <v>0</v>
      </c>
      <c r="J5" s="139"/>
      <c r="K5" s="140">
        <f t="shared" ref="K5:K13" si="1">E5*60</f>
        <v>0</v>
      </c>
      <c r="L5" s="141"/>
      <c r="M5" s="142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2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4"/>
      <c r="AN5" s="145">
        <f t="shared" ref="AN5:AN68" si="2">SUM(M5:AM5)</f>
        <v>0</v>
      </c>
      <c r="AO5" s="146"/>
      <c r="AP5" s="147">
        <f t="shared" ref="AP5:AP68" si="3">K5-AN5</f>
        <v>0</v>
      </c>
      <c r="AQ5" s="148"/>
      <c r="AR5" s="149"/>
      <c r="AS5" s="149"/>
      <c r="AT5" s="135"/>
      <c r="AU5" s="150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0"/>
      <c r="BS5" s="151"/>
      <c r="BT5" s="153"/>
      <c r="BU5" s="151"/>
      <c r="BV5" s="151"/>
      <c r="BW5" s="151"/>
      <c r="BX5" s="151"/>
      <c r="BY5" s="151"/>
      <c r="BZ5" s="151"/>
      <c r="CA5" s="151"/>
      <c r="CB5" s="151"/>
      <c r="CC5" s="154"/>
      <c r="CD5" s="150"/>
      <c r="CE5" s="142"/>
      <c r="CF5" s="143"/>
      <c r="CG5" s="143"/>
      <c r="CH5" s="143"/>
      <c r="CI5" s="143"/>
      <c r="CJ5" s="143"/>
      <c r="CK5" s="143"/>
      <c r="CL5" s="143"/>
      <c r="CM5" s="143"/>
      <c r="CN5" s="143"/>
      <c r="CO5" s="346"/>
      <c r="CP5" s="151"/>
      <c r="CQ5" s="152"/>
      <c r="CR5" s="154"/>
      <c r="CS5" s="155">
        <f>SUM(AU5:CR5)</f>
        <v>0</v>
      </c>
      <c r="CT5" s="146"/>
      <c r="CU5" s="147">
        <f t="shared" ref="CU5:CU68" si="4">AP5-CS5</f>
        <v>0</v>
      </c>
      <c r="CV5" s="156"/>
      <c r="CW5" s="157" t="e">
        <f t="shared" ref="CW5:CW68" si="5">(SUM(M5:Z5))/K5</f>
        <v>#DIV/0!</v>
      </c>
      <c r="CX5" s="157" t="e">
        <f t="shared" ref="CX5:CX68" si="6">(SUM(AA5:AM5))/K5</f>
        <v>#DIV/0!</v>
      </c>
      <c r="CY5" s="157" t="e">
        <f t="shared" ref="CY5:CY68" si="7">(SUM(AU5:BQ5))/$K5</f>
        <v>#DIV/0!</v>
      </c>
      <c r="CZ5" s="157" t="e">
        <f t="shared" ref="CZ5:CZ68" si="8">(SUM(BR5:CC5))/K5</f>
        <v>#DIV/0!</v>
      </c>
      <c r="DA5" s="157" t="e">
        <f t="shared" ref="DA5:DA68" si="9">(SUM(CD5:CR5))/K5</f>
        <v>#DIV/0!</v>
      </c>
      <c r="DB5" s="158" t="e">
        <f t="shared" ref="DB5:DB68" si="10">CU5/K5</f>
        <v>#DIV/0!</v>
      </c>
      <c r="DC5" s="131"/>
      <c r="DD5" s="159">
        <f t="shared" ref="DD5:DD68" si="11">AP5</f>
        <v>0</v>
      </c>
      <c r="DE5" s="160">
        <f t="shared" ref="DE5:DE68" si="12">CS5</f>
        <v>0</v>
      </c>
      <c r="DF5" s="161">
        <f t="shared" ref="DF5:DF68" si="13">$DD5-DE5</f>
        <v>0</v>
      </c>
      <c r="DG5" s="162" t="e">
        <f t="shared" ref="DG5:DG68" si="14">DF5/$DD5</f>
        <v>#DIV/0!</v>
      </c>
      <c r="DH5" s="163">
        <f t="shared" ref="DH5:DH68" si="15">IF(AP5&gt;0.01,1,0)</f>
        <v>0</v>
      </c>
      <c r="DI5" s="164"/>
      <c r="DJ5" s="165">
        <f t="shared" ref="DJ5:DK37" si="16">H5</f>
        <v>0</v>
      </c>
      <c r="DK5" s="166">
        <f t="shared" si="16"/>
        <v>0</v>
      </c>
      <c r="DL5" s="167" t="e">
        <f t="shared" ref="DL5:DL68" si="17">DR5/DF5</f>
        <v>#DIV/0!</v>
      </c>
      <c r="DM5" s="168" t="e">
        <f t="shared" ref="DM5:DM68" si="18">DL5/DK5</f>
        <v>#DIV/0!</v>
      </c>
      <c r="DN5" s="163" t="e">
        <f t="shared" ref="DN5:DN68" si="19">IF(DM5&gt;0.01,1,0)</f>
        <v>#DIV/0!</v>
      </c>
      <c r="DO5" s="169"/>
      <c r="DP5" s="170"/>
      <c r="DQ5" s="171"/>
      <c r="DR5" s="172">
        <f t="shared" ref="DR5:DR68" si="20">DP5+DQ5</f>
        <v>0</v>
      </c>
      <c r="DS5" s="173" t="e">
        <f t="shared" ref="DS5:DS68" si="21">IF(DL5=0,0,DP5/DR5)</f>
        <v>#DIV/0!</v>
      </c>
      <c r="DT5" s="163" t="e">
        <f t="shared" ref="DT5:DT68" si="22">IF(DS5&gt;0.01,1,0)</f>
        <v>#DIV/0!</v>
      </c>
      <c r="DU5" s="174"/>
      <c r="DV5" s="175" t="e">
        <f t="shared" ref="DV5:DV68" si="23">DG5*DM5*DS5</f>
        <v>#DIV/0!</v>
      </c>
      <c r="DW5" s="163">
        <f t="shared" ref="DW5:DW68" si="24">IF($AP5&gt;0.01,1,0)</f>
        <v>0</v>
      </c>
      <c r="DX5" s="164"/>
      <c r="DY5" s="176">
        <f t="shared" ref="DY5:DY68" si="25">DP5</f>
        <v>0</v>
      </c>
      <c r="DZ5" s="177">
        <f t="shared" ref="DZ5:DZ68" si="26">DK5</f>
        <v>0</v>
      </c>
      <c r="EA5" s="178">
        <f t="shared" ref="EA5:EA68" si="27">+AP5</f>
        <v>0</v>
      </c>
      <c r="EB5" s="179">
        <f t="shared" ref="EB5:EB68" si="28">DZ5*EA5</f>
        <v>0</v>
      </c>
      <c r="EC5" s="180"/>
      <c r="ED5" s="175" t="e">
        <f t="shared" ref="ED5:ED68" si="29">DY5/EB5</f>
        <v>#DIV/0!</v>
      </c>
      <c r="EE5" s="163">
        <f t="shared" ref="EE5:EE68" si="30">IF($AP5&gt;0.01,1,0)</f>
        <v>0</v>
      </c>
      <c r="EF5" s="164"/>
      <c r="EG5" s="181">
        <f t="shared" ref="EG5:EG68" si="31">DP5</f>
        <v>0</v>
      </c>
      <c r="EH5" s="182">
        <f t="shared" ref="EH5:EH68" si="32">K5</f>
        <v>0</v>
      </c>
      <c r="EI5" s="182">
        <f t="shared" ref="EI5:EI68" si="33">SUM(M5:Z5)</f>
        <v>0</v>
      </c>
      <c r="EJ5" s="182">
        <f t="shared" ref="EJ5:EJ68" si="34">I5</f>
        <v>0</v>
      </c>
      <c r="EK5" s="183">
        <f t="shared" ref="EK5:EK68" si="35">(EH5-EI5)*EJ5</f>
        <v>0</v>
      </c>
      <c r="EL5" s="184" t="e">
        <f t="shared" ref="EL5:EL68" si="36">EG5/EK5</f>
        <v>#DIV/0!</v>
      </c>
      <c r="EM5" s="185">
        <f t="shared" ref="EM5:EM68" si="37">IF(EK5&gt;0.01,1,0)</f>
        <v>0</v>
      </c>
      <c r="EN5" s="164"/>
      <c r="EO5" s="181">
        <f t="shared" ref="EO5:EO68" si="38">EG5</f>
        <v>0</v>
      </c>
      <c r="EP5" s="183">
        <f t="shared" ref="EP5:EP68" si="39">EJ5</f>
        <v>0</v>
      </c>
      <c r="EQ5" s="184" t="e">
        <f t="shared" ref="EQ5:EQ68" si="40">EO5/(EP5*K5)</f>
        <v>#DIV/0!</v>
      </c>
      <c r="ER5" s="185">
        <f t="shared" ref="ER5:ER68" si="41">IF($K5&gt;0.01,1,0)</f>
        <v>0</v>
      </c>
      <c r="ES5" s="164"/>
      <c r="ET5" s="164"/>
      <c r="EU5" s="186">
        <f t="shared" ref="EU5:EU68" si="42">DK5</f>
        <v>0</v>
      </c>
      <c r="EV5" s="186">
        <f t="shared" ref="EV5:EV68" si="43">CU5</f>
        <v>0</v>
      </c>
      <c r="EW5" s="186">
        <f t="shared" ref="EW5:EW68" si="44">I5*CU5</f>
        <v>0</v>
      </c>
      <c r="EX5" s="186">
        <f t="shared" ref="EX5:EX68" si="45">DR5</f>
        <v>0</v>
      </c>
      <c r="EY5" s="131"/>
      <c r="EZ5" s="187">
        <f t="shared" ref="EZ5:EZ68" si="46">EW5-EX5</f>
        <v>0</v>
      </c>
      <c r="FA5" s="188" t="e">
        <f t="shared" ref="FA5:FA68" si="47">+IF(EZ5/I5&lt;0,0,(EZ5/I5))</f>
        <v>#DIV/0!</v>
      </c>
      <c r="FB5" s="189"/>
      <c r="FC5" s="131"/>
      <c r="FD5" s="131"/>
      <c r="FE5" s="131"/>
      <c r="FF5" s="131"/>
      <c r="FG5" s="131"/>
    </row>
    <row r="6" spans="2:172" ht="16" outlineLevel="1" thickBot="1" x14ac:dyDescent="0.4">
      <c r="B6" s="357"/>
      <c r="C6" s="354"/>
      <c r="D6" s="190"/>
      <c r="E6" s="191"/>
      <c r="F6" s="135"/>
      <c r="G6" s="192"/>
      <c r="H6" s="137"/>
      <c r="I6" s="138">
        <f t="shared" si="0"/>
        <v>0</v>
      </c>
      <c r="J6" s="139"/>
      <c r="K6" s="193">
        <f t="shared" si="1"/>
        <v>0</v>
      </c>
      <c r="L6" s="141"/>
      <c r="M6" s="194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4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6"/>
      <c r="AN6" s="197">
        <f t="shared" si="2"/>
        <v>0</v>
      </c>
      <c r="AO6" s="146"/>
      <c r="AP6" s="147">
        <f t="shared" si="3"/>
        <v>0</v>
      </c>
      <c r="AQ6" s="148"/>
      <c r="AR6" s="198"/>
      <c r="AS6" s="198"/>
      <c r="AT6" s="135"/>
      <c r="AU6" s="199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199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2"/>
      <c r="CD6" s="199"/>
      <c r="CE6" s="194"/>
      <c r="CF6" s="195"/>
      <c r="CG6" s="195"/>
      <c r="CH6" s="195"/>
      <c r="CI6" s="195"/>
      <c r="CJ6" s="195"/>
      <c r="CK6" s="195"/>
      <c r="CL6" s="195"/>
      <c r="CM6" s="195"/>
      <c r="CN6" s="195"/>
      <c r="CO6" s="347"/>
      <c r="CP6" s="200"/>
      <c r="CQ6" s="201"/>
      <c r="CR6" s="202"/>
      <c r="CS6" s="203">
        <f t="shared" ref="CS6:CS68" si="48">SUM(AU6:CR6)</f>
        <v>0</v>
      </c>
      <c r="CT6" s="146"/>
      <c r="CU6" s="147">
        <f t="shared" si="4"/>
        <v>0</v>
      </c>
      <c r="CV6" s="156"/>
      <c r="CW6" s="157" t="e">
        <f t="shared" si="5"/>
        <v>#DIV/0!</v>
      </c>
      <c r="CX6" s="157" t="e">
        <f t="shared" si="6"/>
        <v>#DIV/0!</v>
      </c>
      <c r="CY6" s="157" t="e">
        <f t="shared" si="7"/>
        <v>#DIV/0!</v>
      </c>
      <c r="CZ6" s="157" t="e">
        <f t="shared" si="8"/>
        <v>#DIV/0!</v>
      </c>
      <c r="DA6" s="157" t="e">
        <f t="shared" si="9"/>
        <v>#DIV/0!</v>
      </c>
      <c r="DB6" s="158" t="e">
        <f t="shared" si="10"/>
        <v>#DIV/0!</v>
      </c>
      <c r="DC6" s="131"/>
      <c r="DD6" s="159">
        <f t="shared" si="11"/>
        <v>0</v>
      </c>
      <c r="DE6" s="160">
        <f t="shared" si="12"/>
        <v>0</v>
      </c>
      <c r="DF6" s="161">
        <f t="shared" si="13"/>
        <v>0</v>
      </c>
      <c r="DG6" s="162" t="e">
        <f t="shared" si="14"/>
        <v>#DIV/0!</v>
      </c>
      <c r="DH6" s="163">
        <f t="shared" si="15"/>
        <v>0</v>
      </c>
      <c r="DI6" s="164"/>
      <c r="DJ6" s="165">
        <f t="shared" si="16"/>
        <v>0</v>
      </c>
      <c r="DK6" s="166">
        <f t="shared" si="16"/>
        <v>0</v>
      </c>
      <c r="DL6" s="167" t="e">
        <f t="shared" si="17"/>
        <v>#DIV/0!</v>
      </c>
      <c r="DM6" s="168" t="e">
        <f t="shared" si="18"/>
        <v>#DIV/0!</v>
      </c>
      <c r="DN6" s="163" t="e">
        <f t="shared" si="19"/>
        <v>#DIV/0!</v>
      </c>
      <c r="DO6" s="169"/>
      <c r="DP6" s="170"/>
      <c r="DQ6" s="171"/>
      <c r="DR6" s="172">
        <f t="shared" si="20"/>
        <v>0</v>
      </c>
      <c r="DS6" s="173" t="e">
        <f t="shared" si="21"/>
        <v>#DIV/0!</v>
      </c>
      <c r="DT6" s="163" t="e">
        <f t="shared" si="22"/>
        <v>#DIV/0!</v>
      </c>
      <c r="DU6" s="174"/>
      <c r="DV6" s="175" t="e">
        <f t="shared" si="23"/>
        <v>#DIV/0!</v>
      </c>
      <c r="DW6" s="163">
        <f t="shared" si="24"/>
        <v>0</v>
      </c>
      <c r="DX6" s="164"/>
      <c r="DY6" s="176">
        <f t="shared" si="25"/>
        <v>0</v>
      </c>
      <c r="DZ6" s="177">
        <f t="shared" si="26"/>
        <v>0</v>
      </c>
      <c r="EA6" s="178">
        <f t="shared" si="27"/>
        <v>0</v>
      </c>
      <c r="EB6" s="179">
        <f t="shared" si="28"/>
        <v>0</v>
      </c>
      <c r="EC6" s="180"/>
      <c r="ED6" s="175" t="e">
        <f t="shared" si="29"/>
        <v>#DIV/0!</v>
      </c>
      <c r="EE6" s="163">
        <f t="shared" si="30"/>
        <v>0</v>
      </c>
      <c r="EF6" s="164"/>
      <c r="EG6" s="181">
        <f t="shared" si="31"/>
        <v>0</v>
      </c>
      <c r="EH6" s="182">
        <f t="shared" si="32"/>
        <v>0</v>
      </c>
      <c r="EI6" s="182">
        <f t="shared" si="33"/>
        <v>0</v>
      </c>
      <c r="EJ6" s="182">
        <f t="shared" si="34"/>
        <v>0</v>
      </c>
      <c r="EK6" s="183">
        <f t="shared" si="35"/>
        <v>0</v>
      </c>
      <c r="EL6" s="184" t="e">
        <f t="shared" si="36"/>
        <v>#DIV/0!</v>
      </c>
      <c r="EM6" s="185">
        <f t="shared" si="37"/>
        <v>0</v>
      </c>
      <c r="EN6" s="164"/>
      <c r="EO6" s="181">
        <f t="shared" si="38"/>
        <v>0</v>
      </c>
      <c r="EP6" s="183">
        <f t="shared" si="39"/>
        <v>0</v>
      </c>
      <c r="EQ6" s="184" t="e">
        <f t="shared" si="40"/>
        <v>#DIV/0!</v>
      </c>
      <c r="ER6" s="185">
        <f t="shared" si="41"/>
        <v>0</v>
      </c>
      <c r="ES6" s="164"/>
      <c r="ET6" s="164"/>
      <c r="EU6" s="186">
        <f t="shared" si="42"/>
        <v>0</v>
      </c>
      <c r="EV6" s="186">
        <f t="shared" si="43"/>
        <v>0</v>
      </c>
      <c r="EW6" s="186">
        <f t="shared" si="44"/>
        <v>0</v>
      </c>
      <c r="EX6" s="186">
        <f t="shared" si="45"/>
        <v>0</v>
      </c>
      <c r="EY6" s="131"/>
      <c r="EZ6" s="187">
        <f t="shared" si="46"/>
        <v>0</v>
      </c>
      <c r="FA6" s="188" t="e">
        <f t="shared" si="47"/>
        <v>#DIV/0!</v>
      </c>
      <c r="FB6" s="189"/>
      <c r="FC6" s="131"/>
      <c r="FD6" s="131"/>
      <c r="FE6" s="131"/>
      <c r="FF6" s="131"/>
      <c r="FG6" s="131"/>
    </row>
    <row r="7" spans="2:172" ht="16" outlineLevel="1" thickBot="1" x14ac:dyDescent="0.4">
      <c r="B7" s="358"/>
      <c r="C7" s="355"/>
      <c r="D7" s="204"/>
      <c r="E7" s="205"/>
      <c r="F7" s="135"/>
      <c r="G7" s="206"/>
      <c r="H7" s="207"/>
      <c r="I7" s="138">
        <f t="shared" si="0"/>
        <v>0</v>
      </c>
      <c r="J7" s="139"/>
      <c r="K7" s="208">
        <f t="shared" si="1"/>
        <v>0</v>
      </c>
      <c r="L7" s="141"/>
      <c r="M7" s="209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09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1"/>
      <c r="AN7" s="212">
        <f t="shared" si="2"/>
        <v>0</v>
      </c>
      <c r="AO7" s="146"/>
      <c r="AP7" s="147">
        <f t="shared" si="3"/>
        <v>0</v>
      </c>
      <c r="AQ7" s="148"/>
      <c r="AR7" s="213"/>
      <c r="AS7" s="213"/>
      <c r="AT7" s="135"/>
      <c r="AU7" s="214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6"/>
      <c r="BG7" s="216"/>
      <c r="BH7" s="216"/>
      <c r="BI7" s="216"/>
      <c r="BJ7" s="216"/>
      <c r="BK7" s="216"/>
      <c r="BL7" s="216"/>
      <c r="BM7" s="216"/>
      <c r="BN7" s="216"/>
      <c r="BO7" s="216"/>
      <c r="BP7" s="216"/>
      <c r="BQ7" s="216"/>
      <c r="BR7" s="214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7"/>
      <c r="CD7" s="214"/>
      <c r="CE7" s="209"/>
      <c r="CF7" s="210"/>
      <c r="CG7" s="210"/>
      <c r="CH7" s="210"/>
      <c r="CI7" s="210"/>
      <c r="CJ7" s="210"/>
      <c r="CK7" s="210"/>
      <c r="CL7" s="210"/>
      <c r="CM7" s="210"/>
      <c r="CN7" s="210"/>
      <c r="CO7" s="348"/>
      <c r="CP7" s="215"/>
      <c r="CQ7" s="216"/>
      <c r="CR7" s="217"/>
      <c r="CS7" s="218">
        <f t="shared" si="48"/>
        <v>0</v>
      </c>
      <c r="CT7" s="146"/>
      <c r="CU7" s="147">
        <f t="shared" si="4"/>
        <v>0</v>
      </c>
      <c r="CV7" s="156"/>
      <c r="CW7" s="157" t="e">
        <f t="shared" si="5"/>
        <v>#DIV/0!</v>
      </c>
      <c r="CX7" s="157" t="e">
        <f t="shared" si="6"/>
        <v>#DIV/0!</v>
      </c>
      <c r="CY7" s="157" t="e">
        <f t="shared" si="7"/>
        <v>#DIV/0!</v>
      </c>
      <c r="CZ7" s="157" t="e">
        <f t="shared" si="8"/>
        <v>#DIV/0!</v>
      </c>
      <c r="DA7" s="157" t="e">
        <f t="shared" si="9"/>
        <v>#DIV/0!</v>
      </c>
      <c r="DB7" s="158" t="e">
        <f t="shared" si="10"/>
        <v>#DIV/0!</v>
      </c>
      <c r="DC7" s="131"/>
      <c r="DD7" s="159">
        <f t="shared" si="11"/>
        <v>0</v>
      </c>
      <c r="DE7" s="160">
        <f t="shared" si="12"/>
        <v>0</v>
      </c>
      <c r="DF7" s="161">
        <f t="shared" si="13"/>
        <v>0</v>
      </c>
      <c r="DG7" s="162" t="e">
        <f t="shared" si="14"/>
        <v>#DIV/0!</v>
      </c>
      <c r="DH7" s="163">
        <f t="shared" si="15"/>
        <v>0</v>
      </c>
      <c r="DI7" s="164"/>
      <c r="DJ7" s="165">
        <f t="shared" si="16"/>
        <v>0</v>
      </c>
      <c r="DK7" s="166">
        <f t="shared" si="16"/>
        <v>0</v>
      </c>
      <c r="DL7" s="167" t="e">
        <f t="shared" si="17"/>
        <v>#DIV/0!</v>
      </c>
      <c r="DM7" s="168" t="e">
        <f t="shared" si="18"/>
        <v>#DIV/0!</v>
      </c>
      <c r="DN7" s="163" t="e">
        <f t="shared" si="19"/>
        <v>#DIV/0!</v>
      </c>
      <c r="DO7" s="169"/>
      <c r="DP7" s="170"/>
      <c r="DQ7" s="171"/>
      <c r="DR7" s="172">
        <f t="shared" si="20"/>
        <v>0</v>
      </c>
      <c r="DS7" s="173" t="e">
        <f t="shared" si="21"/>
        <v>#DIV/0!</v>
      </c>
      <c r="DT7" s="163" t="e">
        <f t="shared" si="22"/>
        <v>#DIV/0!</v>
      </c>
      <c r="DU7" s="174"/>
      <c r="DV7" s="175" t="e">
        <f t="shared" si="23"/>
        <v>#DIV/0!</v>
      </c>
      <c r="DW7" s="163">
        <f t="shared" si="24"/>
        <v>0</v>
      </c>
      <c r="DX7" s="164"/>
      <c r="DY7" s="176">
        <f t="shared" si="25"/>
        <v>0</v>
      </c>
      <c r="DZ7" s="177">
        <f t="shared" si="26"/>
        <v>0</v>
      </c>
      <c r="EA7" s="178">
        <f t="shared" si="27"/>
        <v>0</v>
      </c>
      <c r="EB7" s="179">
        <f t="shared" si="28"/>
        <v>0</v>
      </c>
      <c r="EC7" s="180"/>
      <c r="ED7" s="175" t="e">
        <f t="shared" si="29"/>
        <v>#DIV/0!</v>
      </c>
      <c r="EE7" s="163">
        <f t="shared" si="30"/>
        <v>0</v>
      </c>
      <c r="EF7" s="164"/>
      <c r="EG7" s="181">
        <f t="shared" si="31"/>
        <v>0</v>
      </c>
      <c r="EH7" s="182">
        <f t="shared" si="32"/>
        <v>0</v>
      </c>
      <c r="EI7" s="182">
        <f t="shared" si="33"/>
        <v>0</v>
      </c>
      <c r="EJ7" s="182">
        <f t="shared" si="34"/>
        <v>0</v>
      </c>
      <c r="EK7" s="183">
        <f t="shared" si="35"/>
        <v>0</v>
      </c>
      <c r="EL7" s="184" t="e">
        <f t="shared" si="36"/>
        <v>#DIV/0!</v>
      </c>
      <c r="EM7" s="185">
        <f t="shared" si="37"/>
        <v>0</v>
      </c>
      <c r="EN7" s="164"/>
      <c r="EO7" s="181">
        <f t="shared" si="38"/>
        <v>0</v>
      </c>
      <c r="EP7" s="183">
        <f t="shared" si="39"/>
        <v>0</v>
      </c>
      <c r="EQ7" s="184" t="e">
        <f t="shared" si="40"/>
        <v>#DIV/0!</v>
      </c>
      <c r="ER7" s="185">
        <f t="shared" si="41"/>
        <v>0</v>
      </c>
      <c r="ES7" s="164"/>
      <c r="ET7" s="164"/>
      <c r="EU7" s="186">
        <f t="shared" si="42"/>
        <v>0</v>
      </c>
      <c r="EV7" s="186">
        <f t="shared" si="43"/>
        <v>0</v>
      </c>
      <c r="EW7" s="186">
        <f t="shared" si="44"/>
        <v>0</v>
      </c>
      <c r="EX7" s="186">
        <f t="shared" si="45"/>
        <v>0</v>
      </c>
      <c r="EY7" s="131"/>
      <c r="EZ7" s="187">
        <f t="shared" si="46"/>
        <v>0</v>
      </c>
      <c r="FA7" s="188" t="e">
        <f t="shared" si="47"/>
        <v>#DIV/0!</v>
      </c>
      <c r="FB7" s="189"/>
      <c r="FC7" s="131"/>
      <c r="FD7" s="131"/>
      <c r="FE7" s="131"/>
      <c r="FF7" s="131"/>
      <c r="FG7" s="131"/>
    </row>
    <row r="8" spans="2:172" ht="16" outlineLevel="1" thickBot="1" x14ac:dyDescent="0.4">
      <c r="B8" s="356"/>
      <c r="C8" s="353"/>
      <c r="D8" s="133"/>
      <c r="E8" s="134"/>
      <c r="F8" s="135"/>
      <c r="G8" s="136"/>
      <c r="H8" s="137"/>
      <c r="I8" s="138">
        <f t="shared" si="0"/>
        <v>0</v>
      </c>
      <c r="J8" s="139"/>
      <c r="K8" s="140">
        <f t="shared" si="1"/>
        <v>0</v>
      </c>
      <c r="L8" s="141"/>
      <c r="M8" s="142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4"/>
      <c r="AN8" s="145">
        <f t="shared" si="2"/>
        <v>0</v>
      </c>
      <c r="AO8" s="146"/>
      <c r="AP8" s="147">
        <f t="shared" si="3"/>
        <v>0</v>
      </c>
      <c r="AQ8" s="148"/>
      <c r="AR8" s="149"/>
      <c r="AS8" s="149"/>
      <c r="AT8" s="135"/>
      <c r="AU8" s="150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0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4"/>
      <c r="CD8" s="150"/>
      <c r="CE8" s="142"/>
      <c r="CF8" s="143"/>
      <c r="CG8" s="143"/>
      <c r="CH8" s="143"/>
      <c r="CI8" s="143"/>
      <c r="CJ8" s="143"/>
      <c r="CK8" s="143"/>
      <c r="CL8" s="143"/>
      <c r="CM8" s="143"/>
      <c r="CN8" s="143"/>
      <c r="CO8" s="346"/>
      <c r="CP8" s="151"/>
      <c r="CQ8" s="152"/>
      <c r="CR8" s="154"/>
      <c r="CS8" s="155">
        <f t="shared" si="48"/>
        <v>0</v>
      </c>
      <c r="CT8" s="146"/>
      <c r="CU8" s="147">
        <f t="shared" si="4"/>
        <v>0</v>
      </c>
      <c r="CV8" s="156"/>
      <c r="CW8" s="157" t="e">
        <f t="shared" si="5"/>
        <v>#DIV/0!</v>
      </c>
      <c r="CX8" s="157" t="e">
        <f t="shared" si="6"/>
        <v>#DIV/0!</v>
      </c>
      <c r="CY8" s="157" t="e">
        <f t="shared" si="7"/>
        <v>#DIV/0!</v>
      </c>
      <c r="CZ8" s="157" t="e">
        <f t="shared" si="8"/>
        <v>#DIV/0!</v>
      </c>
      <c r="DA8" s="157" t="e">
        <f t="shared" si="9"/>
        <v>#DIV/0!</v>
      </c>
      <c r="DB8" s="158" t="e">
        <f t="shared" si="10"/>
        <v>#DIV/0!</v>
      </c>
      <c r="DC8" s="131"/>
      <c r="DD8" s="159">
        <f t="shared" si="11"/>
        <v>0</v>
      </c>
      <c r="DE8" s="160">
        <f t="shared" si="12"/>
        <v>0</v>
      </c>
      <c r="DF8" s="161">
        <f t="shared" si="13"/>
        <v>0</v>
      </c>
      <c r="DG8" s="162" t="e">
        <f t="shared" si="14"/>
        <v>#DIV/0!</v>
      </c>
      <c r="DH8" s="163">
        <f t="shared" si="15"/>
        <v>0</v>
      </c>
      <c r="DI8" s="164"/>
      <c r="DJ8" s="165">
        <f t="shared" si="16"/>
        <v>0</v>
      </c>
      <c r="DK8" s="166">
        <f t="shared" si="16"/>
        <v>0</v>
      </c>
      <c r="DL8" s="167" t="e">
        <f t="shared" si="17"/>
        <v>#DIV/0!</v>
      </c>
      <c r="DM8" s="168" t="e">
        <f t="shared" si="18"/>
        <v>#DIV/0!</v>
      </c>
      <c r="DN8" s="163" t="e">
        <f t="shared" si="19"/>
        <v>#DIV/0!</v>
      </c>
      <c r="DO8" s="169"/>
      <c r="DP8" s="170"/>
      <c r="DQ8" s="171"/>
      <c r="DR8" s="172">
        <f t="shared" si="20"/>
        <v>0</v>
      </c>
      <c r="DS8" s="173" t="e">
        <f t="shared" si="21"/>
        <v>#DIV/0!</v>
      </c>
      <c r="DT8" s="163" t="e">
        <f t="shared" si="22"/>
        <v>#DIV/0!</v>
      </c>
      <c r="DU8" s="174"/>
      <c r="DV8" s="175" t="e">
        <f t="shared" si="23"/>
        <v>#DIV/0!</v>
      </c>
      <c r="DW8" s="163">
        <f t="shared" si="24"/>
        <v>0</v>
      </c>
      <c r="DX8" s="164"/>
      <c r="DY8" s="176">
        <f t="shared" si="25"/>
        <v>0</v>
      </c>
      <c r="DZ8" s="177">
        <f t="shared" si="26"/>
        <v>0</v>
      </c>
      <c r="EA8" s="178">
        <f t="shared" si="27"/>
        <v>0</v>
      </c>
      <c r="EB8" s="179">
        <f t="shared" si="28"/>
        <v>0</v>
      </c>
      <c r="EC8" s="180"/>
      <c r="ED8" s="175" t="e">
        <f t="shared" si="29"/>
        <v>#DIV/0!</v>
      </c>
      <c r="EE8" s="163">
        <f t="shared" si="30"/>
        <v>0</v>
      </c>
      <c r="EF8" s="164"/>
      <c r="EG8" s="181">
        <f t="shared" si="31"/>
        <v>0</v>
      </c>
      <c r="EH8" s="182">
        <f t="shared" si="32"/>
        <v>0</v>
      </c>
      <c r="EI8" s="182">
        <f t="shared" si="33"/>
        <v>0</v>
      </c>
      <c r="EJ8" s="182">
        <f t="shared" si="34"/>
        <v>0</v>
      </c>
      <c r="EK8" s="183">
        <f t="shared" si="35"/>
        <v>0</v>
      </c>
      <c r="EL8" s="184" t="e">
        <f t="shared" si="36"/>
        <v>#DIV/0!</v>
      </c>
      <c r="EM8" s="185">
        <f t="shared" si="37"/>
        <v>0</v>
      </c>
      <c r="EN8" s="164"/>
      <c r="EO8" s="181">
        <f t="shared" si="38"/>
        <v>0</v>
      </c>
      <c r="EP8" s="183">
        <f t="shared" si="39"/>
        <v>0</v>
      </c>
      <c r="EQ8" s="184" t="e">
        <f t="shared" si="40"/>
        <v>#DIV/0!</v>
      </c>
      <c r="ER8" s="185">
        <f t="shared" si="41"/>
        <v>0</v>
      </c>
      <c r="ES8" s="164"/>
      <c r="ET8" s="164"/>
      <c r="EU8" s="186">
        <f t="shared" si="42"/>
        <v>0</v>
      </c>
      <c r="EV8" s="186">
        <f t="shared" si="43"/>
        <v>0</v>
      </c>
      <c r="EW8" s="186">
        <f t="shared" si="44"/>
        <v>0</v>
      </c>
      <c r="EX8" s="186">
        <f t="shared" si="45"/>
        <v>0</v>
      </c>
      <c r="EY8" s="131"/>
      <c r="EZ8" s="187">
        <f t="shared" si="46"/>
        <v>0</v>
      </c>
      <c r="FA8" s="188" t="e">
        <f t="shared" si="47"/>
        <v>#DIV/0!</v>
      </c>
      <c r="FB8" s="189"/>
      <c r="FC8" s="131"/>
      <c r="FD8" s="131"/>
      <c r="FE8" s="131"/>
      <c r="FF8" s="131"/>
      <c r="FG8" s="131"/>
    </row>
    <row r="9" spans="2:172" ht="16" outlineLevel="1" thickBot="1" x14ac:dyDescent="0.4">
      <c r="B9" s="357"/>
      <c r="C9" s="354"/>
      <c r="D9" s="190"/>
      <c r="E9" s="191"/>
      <c r="F9" s="135"/>
      <c r="G9" s="192"/>
      <c r="H9" s="137"/>
      <c r="I9" s="138">
        <f t="shared" si="0"/>
        <v>0</v>
      </c>
      <c r="J9" s="139"/>
      <c r="K9" s="193">
        <f t="shared" si="1"/>
        <v>0</v>
      </c>
      <c r="L9" s="141"/>
      <c r="M9" s="194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4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6"/>
      <c r="AN9" s="197">
        <f t="shared" si="2"/>
        <v>0</v>
      </c>
      <c r="AO9" s="146"/>
      <c r="AP9" s="147">
        <f t="shared" si="3"/>
        <v>0</v>
      </c>
      <c r="AQ9" s="148"/>
      <c r="AR9" s="198"/>
      <c r="AS9" s="198"/>
      <c r="AT9" s="135"/>
      <c r="AU9" s="199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199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2"/>
      <c r="CD9" s="199"/>
      <c r="CE9" s="194"/>
      <c r="CF9" s="195"/>
      <c r="CG9" s="195"/>
      <c r="CH9" s="195"/>
      <c r="CI9" s="195"/>
      <c r="CJ9" s="195"/>
      <c r="CK9" s="195"/>
      <c r="CL9" s="195"/>
      <c r="CM9" s="195"/>
      <c r="CN9" s="195"/>
      <c r="CO9" s="347"/>
      <c r="CP9" s="200"/>
      <c r="CQ9" s="201"/>
      <c r="CR9" s="202"/>
      <c r="CS9" s="203">
        <f t="shared" si="48"/>
        <v>0</v>
      </c>
      <c r="CT9" s="146"/>
      <c r="CU9" s="147">
        <f t="shared" si="4"/>
        <v>0</v>
      </c>
      <c r="CV9" s="156"/>
      <c r="CW9" s="157" t="e">
        <f t="shared" si="5"/>
        <v>#DIV/0!</v>
      </c>
      <c r="CX9" s="157" t="e">
        <f t="shared" si="6"/>
        <v>#DIV/0!</v>
      </c>
      <c r="CY9" s="157" t="e">
        <f t="shared" si="7"/>
        <v>#DIV/0!</v>
      </c>
      <c r="CZ9" s="157" t="e">
        <f t="shared" si="8"/>
        <v>#DIV/0!</v>
      </c>
      <c r="DA9" s="157" t="e">
        <f t="shared" si="9"/>
        <v>#DIV/0!</v>
      </c>
      <c r="DB9" s="158" t="e">
        <f t="shared" si="10"/>
        <v>#DIV/0!</v>
      </c>
      <c r="DC9" s="131"/>
      <c r="DD9" s="159">
        <f t="shared" si="11"/>
        <v>0</v>
      </c>
      <c r="DE9" s="160">
        <f t="shared" si="12"/>
        <v>0</v>
      </c>
      <c r="DF9" s="161">
        <f t="shared" si="13"/>
        <v>0</v>
      </c>
      <c r="DG9" s="162" t="e">
        <f t="shared" si="14"/>
        <v>#DIV/0!</v>
      </c>
      <c r="DH9" s="163">
        <f t="shared" si="15"/>
        <v>0</v>
      </c>
      <c r="DI9" s="164"/>
      <c r="DJ9" s="165">
        <f t="shared" si="16"/>
        <v>0</v>
      </c>
      <c r="DK9" s="166">
        <f t="shared" si="16"/>
        <v>0</v>
      </c>
      <c r="DL9" s="167" t="e">
        <f t="shared" si="17"/>
        <v>#DIV/0!</v>
      </c>
      <c r="DM9" s="168" t="e">
        <f t="shared" si="18"/>
        <v>#DIV/0!</v>
      </c>
      <c r="DN9" s="163" t="e">
        <f t="shared" si="19"/>
        <v>#DIV/0!</v>
      </c>
      <c r="DO9" s="169"/>
      <c r="DP9" s="170"/>
      <c r="DQ9" s="171"/>
      <c r="DR9" s="172">
        <f t="shared" si="20"/>
        <v>0</v>
      </c>
      <c r="DS9" s="173" t="e">
        <f t="shared" si="21"/>
        <v>#DIV/0!</v>
      </c>
      <c r="DT9" s="163" t="e">
        <f t="shared" si="22"/>
        <v>#DIV/0!</v>
      </c>
      <c r="DU9" s="174"/>
      <c r="DV9" s="175" t="e">
        <f t="shared" si="23"/>
        <v>#DIV/0!</v>
      </c>
      <c r="DW9" s="163">
        <f t="shared" si="24"/>
        <v>0</v>
      </c>
      <c r="DX9" s="164"/>
      <c r="DY9" s="176">
        <f t="shared" si="25"/>
        <v>0</v>
      </c>
      <c r="DZ9" s="177">
        <f t="shared" si="26"/>
        <v>0</v>
      </c>
      <c r="EA9" s="178">
        <f t="shared" si="27"/>
        <v>0</v>
      </c>
      <c r="EB9" s="179">
        <f t="shared" si="28"/>
        <v>0</v>
      </c>
      <c r="EC9" s="180"/>
      <c r="ED9" s="175" t="e">
        <f t="shared" si="29"/>
        <v>#DIV/0!</v>
      </c>
      <c r="EE9" s="163">
        <f t="shared" si="30"/>
        <v>0</v>
      </c>
      <c r="EF9" s="164"/>
      <c r="EG9" s="181">
        <f t="shared" si="31"/>
        <v>0</v>
      </c>
      <c r="EH9" s="182">
        <f t="shared" si="32"/>
        <v>0</v>
      </c>
      <c r="EI9" s="182">
        <f t="shared" si="33"/>
        <v>0</v>
      </c>
      <c r="EJ9" s="182">
        <f t="shared" si="34"/>
        <v>0</v>
      </c>
      <c r="EK9" s="183">
        <f t="shared" si="35"/>
        <v>0</v>
      </c>
      <c r="EL9" s="184" t="e">
        <f t="shared" si="36"/>
        <v>#DIV/0!</v>
      </c>
      <c r="EM9" s="185">
        <f t="shared" si="37"/>
        <v>0</v>
      </c>
      <c r="EN9" s="164"/>
      <c r="EO9" s="181">
        <f t="shared" si="38"/>
        <v>0</v>
      </c>
      <c r="EP9" s="183">
        <f t="shared" si="39"/>
        <v>0</v>
      </c>
      <c r="EQ9" s="184" t="e">
        <f t="shared" si="40"/>
        <v>#DIV/0!</v>
      </c>
      <c r="ER9" s="185">
        <f t="shared" si="41"/>
        <v>0</v>
      </c>
      <c r="ES9" s="164"/>
      <c r="ET9" s="164"/>
      <c r="EU9" s="186">
        <f t="shared" si="42"/>
        <v>0</v>
      </c>
      <c r="EV9" s="186">
        <f t="shared" si="43"/>
        <v>0</v>
      </c>
      <c r="EW9" s="186">
        <f t="shared" si="44"/>
        <v>0</v>
      </c>
      <c r="EX9" s="186">
        <f t="shared" si="45"/>
        <v>0</v>
      </c>
      <c r="EY9" s="131"/>
      <c r="EZ9" s="187">
        <f t="shared" si="46"/>
        <v>0</v>
      </c>
      <c r="FA9" s="188" t="e">
        <f t="shared" si="47"/>
        <v>#DIV/0!</v>
      </c>
      <c r="FB9" s="189"/>
      <c r="FC9" s="131"/>
      <c r="FD9" s="131"/>
      <c r="FE9" s="131"/>
      <c r="FF9" s="131"/>
      <c r="FG9" s="131"/>
    </row>
    <row r="10" spans="2:172" ht="16" outlineLevel="1" thickBot="1" x14ac:dyDescent="0.4">
      <c r="B10" s="358"/>
      <c r="C10" s="355"/>
      <c r="D10" s="204"/>
      <c r="E10" s="205"/>
      <c r="F10" s="135"/>
      <c r="G10" s="206"/>
      <c r="H10" s="207"/>
      <c r="I10" s="138">
        <f t="shared" si="0"/>
        <v>0</v>
      </c>
      <c r="J10" s="139"/>
      <c r="K10" s="208">
        <f t="shared" si="1"/>
        <v>0</v>
      </c>
      <c r="L10" s="141"/>
      <c r="M10" s="209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09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1"/>
      <c r="AN10" s="212">
        <f t="shared" si="2"/>
        <v>0</v>
      </c>
      <c r="AO10" s="146"/>
      <c r="AP10" s="147">
        <f t="shared" si="3"/>
        <v>0</v>
      </c>
      <c r="AQ10" s="148"/>
      <c r="AR10" s="213"/>
      <c r="AS10" s="213"/>
      <c r="AT10" s="135"/>
      <c r="AU10" s="214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6"/>
      <c r="BG10" s="216"/>
      <c r="BH10" s="216"/>
      <c r="BI10" s="216"/>
      <c r="BJ10" s="216"/>
      <c r="BK10" s="216"/>
      <c r="BL10" s="216"/>
      <c r="BM10" s="216"/>
      <c r="BN10" s="216"/>
      <c r="BO10" s="216"/>
      <c r="BP10" s="216"/>
      <c r="BQ10" s="216"/>
      <c r="BR10" s="214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7"/>
      <c r="CD10" s="214"/>
      <c r="CE10" s="209"/>
      <c r="CF10" s="210"/>
      <c r="CG10" s="210"/>
      <c r="CH10" s="210"/>
      <c r="CI10" s="210"/>
      <c r="CJ10" s="210"/>
      <c r="CK10" s="210"/>
      <c r="CL10" s="210"/>
      <c r="CM10" s="210"/>
      <c r="CN10" s="210"/>
      <c r="CO10" s="348"/>
      <c r="CP10" s="215"/>
      <c r="CQ10" s="216"/>
      <c r="CR10" s="217"/>
      <c r="CS10" s="218">
        <f t="shared" si="48"/>
        <v>0</v>
      </c>
      <c r="CT10" s="146"/>
      <c r="CU10" s="147">
        <f t="shared" si="4"/>
        <v>0</v>
      </c>
      <c r="CV10" s="156"/>
      <c r="CW10" s="157" t="e">
        <f t="shared" si="5"/>
        <v>#DIV/0!</v>
      </c>
      <c r="CX10" s="157" t="e">
        <f t="shared" si="6"/>
        <v>#DIV/0!</v>
      </c>
      <c r="CY10" s="157" t="e">
        <f t="shared" si="7"/>
        <v>#DIV/0!</v>
      </c>
      <c r="CZ10" s="157" t="e">
        <f t="shared" si="8"/>
        <v>#DIV/0!</v>
      </c>
      <c r="DA10" s="157" t="e">
        <f t="shared" si="9"/>
        <v>#DIV/0!</v>
      </c>
      <c r="DB10" s="158" t="e">
        <f t="shared" si="10"/>
        <v>#DIV/0!</v>
      </c>
      <c r="DC10" s="131"/>
      <c r="DD10" s="159">
        <f t="shared" si="11"/>
        <v>0</v>
      </c>
      <c r="DE10" s="160">
        <f t="shared" si="12"/>
        <v>0</v>
      </c>
      <c r="DF10" s="161">
        <f t="shared" si="13"/>
        <v>0</v>
      </c>
      <c r="DG10" s="162" t="e">
        <f t="shared" si="14"/>
        <v>#DIV/0!</v>
      </c>
      <c r="DH10" s="163">
        <f t="shared" si="15"/>
        <v>0</v>
      </c>
      <c r="DI10" s="164"/>
      <c r="DJ10" s="165">
        <f t="shared" si="16"/>
        <v>0</v>
      </c>
      <c r="DK10" s="166">
        <f t="shared" si="16"/>
        <v>0</v>
      </c>
      <c r="DL10" s="167" t="e">
        <f t="shared" si="17"/>
        <v>#DIV/0!</v>
      </c>
      <c r="DM10" s="168" t="e">
        <f t="shared" si="18"/>
        <v>#DIV/0!</v>
      </c>
      <c r="DN10" s="163" t="e">
        <f t="shared" si="19"/>
        <v>#DIV/0!</v>
      </c>
      <c r="DO10" s="169"/>
      <c r="DP10" s="170"/>
      <c r="DQ10" s="171"/>
      <c r="DR10" s="172">
        <f t="shared" si="20"/>
        <v>0</v>
      </c>
      <c r="DS10" s="173" t="e">
        <f t="shared" si="21"/>
        <v>#DIV/0!</v>
      </c>
      <c r="DT10" s="163" t="e">
        <f t="shared" si="22"/>
        <v>#DIV/0!</v>
      </c>
      <c r="DU10" s="174"/>
      <c r="DV10" s="175" t="e">
        <f t="shared" si="23"/>
        <v>#DIV/0!</v>
      </c>
      <c r="DW10" s="163">
        <f t="shared" si="24"/>
        <v>0</v>
      </c>
      <c r="DX10" s="164"/>
      <c r="DY10" s="176">
        <f t="shared" si="25"/>
        <v>0</v>
      </c>
      <c r="DZ10" s="177">
        <f t="shared" si="26"/>
        <v>0</v>
      </c>
      <c r="EA10" s="178">
        <f t="shared" si="27"/>
        <v>0</v>
      </c>
      <c r="EB10" s="179">
        <f t="shared" si="28"/>
        <v>0</v>
      </c>
      <c r="EC10" s="180"/>
      <c r="ED10" s="175" t="e">
        <f t="shared" si="29"/>
        <v>#DIV/0!</v>
      </c>
      <c r="EE10" s="163">
        <f t="shared" si="30"/>
        <v>0</v>
      </c>
      <c r="EF10" s="164"/>
      <c r="EG10" s="181">
        <f t="shared" si="31"/>
        <v>0</v>
      </c>
      <c r="EH10" s="182">
        <f t="shared" si="32"/>
        <v>0</v>
      </c>
      <c r="EI10" s="182">
        <f t="shared" si="33"/>
        <v>0</v>
      </c>
      <c r="EJ10" s="182">
        <f t="shared" si="34"/>
        <v>0</v>
      </c>
      <c r="EK10" s="183">
        <f t="shared" si="35"/>
        <v>0</v>
      </c>
      <c r="EL10" s="184" t="e">
        <f t="shared" si="36"/>
        <v>#DIV/0!</v>
      </c>
      <c r="EM10" s="185">
        <f t="shared" si="37"/>
        <v>0</v>
      </c>
      <c r="EN10" s="164"/>
      <c r="EO10" s="181">
        <f t="shared" si="38"/>
        <v>0</v>
      </c>
      <c r="EP10" s="183">
        <f t="shared" si="39"/>
        <v>0</v>
      </c>
      <c r="EQ10" s="184" t="e">
        <f t="shared" si="40"/>
        <v>#DIV/0!</v>
      </c>
      <c r="ER10" s="185">
        <f t="shared" si="41"/>
        <v>0</v>
      </c>
      <c r="ES10" s="164"/>
      <c r="ET10" s="164"/>
      <c r="EU10" s="186">
        <f t="shared" si="42"/>
        <v>0</v>
      </c>
      <c r="EV10" s="186">
        <f t="shared" si="43"/>
        <v>0</v>
      </c>
      <c r="EW10" s="186">
        <f t="shared" si="44"/>
        <v>0</v>
      </c>
      <c r="EX10" s="186">
        <f t="shared" si="45"/>
        <v>0</v>
      </c>
      <c r="EY10" s="131"/>
      <c r="EZ10" s="187">
        <f t="shared" si="46"/>
        <v>0</v>
      </c>
      <c r="FA10" s="188" t="e">
        <f t="shared" si="47"/>
        <v>#DIV/0!</v>
      </c>
      <c r="FB10" s="189"/>
      <c r="FC10" s="131"/>
      <c r="FD10" s="131"/>
      <c r="FE10" s="131"/>
      <c r="FF10" s="131"/>
      <c r="FG10" s="131"/>
    </row>
    <row r="11" spans="2:172" ht="16" outlineLevel="1" thickBot="1" x14ac:dyDescent="0.4">
      <c r="B11" s="356"/>
      <c r="C11" s="353"/>
      <c r="D11" s="133"/>
      <c r="E11" s="134"/>
      <c r="F11" s="135"/>
      <c r="G11" s="136"/>
      <c r="H11" s="137"/>
      <c r="I11" s="138">
        <f>IF(E11&gt;0.0001,9.4,0)</f>
        <v>0</v>
      </c>
      <c r="J11" s="139"/>
      <c r="K11" s="140">
        <f t="shared" si="1"/>
        <v>0</v>
      </c>
      <c r="L11" s="141"/>
      <c r="M11" s="142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2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4"/>
      <c r="AN11" s="145">
        <f t="shared" si="2"/>
        <v>0</v>
      </c>
      <c r="AO11" s="146"/>
      <c r="AP11" s="147">
        <f t="shared" si="3"/>
        <v>0</v>
      </c>
      <c r="AQ11" s="148"/>
      <c r="AR11" s="149"/>
      <c r="AS11" s="149"/>
      <c r="AT11" s="135"/>
      <c r="AU11" s="150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0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4"/>
      <c r="CD11" s="150"/>
      <c r="CE11" s="142"/>
      <c r="CF11" s="143"/>
      <c r="CG11" s="143"/>
      <c r="CH11" s="143"/>
      <c r="CI11" s="143"/>
      <c r="CJ11" s="143"/>
      <c r="CK11" s="143"/>
      <c r="CL11" s="143"/>
      <c r="CM11" s="143"/>
      <c r="CN11" s="143"/>
      <c r="CO11" s="346"/>
      <c r="CP11" s="151"/>
      <c r="CQ11" s="152"/>
      <c r="CR11" s="154"/>
      <c r="CS11" s="155">
        <f t="shared" si="48"/>
        <v>0</v>
      </c>
      <c r="CT11" s="146"/>
      <c r="CU11" s="147">
        <f t="shared" si="4"/>
        <v>0</v>
      </c>
      <c r="CV11" s="156"/>
      <c r="CW11" s="157" t="e">
        <f t="shared" si="5"/>
        <v>#DIV/0!</v>
      </c>
      <c r="CX11" s="157" t="e">
        <f t="shared" si="6"/>
        <v>#DIV/0!</v>
      </c>
      <c r="CY11" s="157" t="e">
        <f t="shared" si="7"/>
        <v>#DIV/0!</v>
      </c>
      <c r="CZ11" s="157" t="e">
        <f t="shared" si="8"/>
        <v>#DIV/0!</v>
      </c>
      <c r="DA11" s="157" t="e">
        <f t="shared" si="9"/>
        <v>#DIV/0!</v>
      </c>
      <c r="DB11" s="158" t="e">
        <f t="shared" si="10"/>
        <v>#DIV/0!</v>
      </c>
      <c r="DC11" s="131"/>
      <c r="DD11" s="159">
        <f t="shared" si="11"/>
        <v>0</v>
      </c>
      <c r="DE11" s="160">
        <f t="shared" si="12"/>
        <v>0</v>
      </c>
      <c r="DF11" s="161">
        <f t="shared" si="13"/>
        <v>0</v>
      </c>
      <c r="DG11" s="162" t="e">
        <f t="shared" si="14"/>
        <v>#DIV/0!</v>
      </c>
      <c r="DH11" s="163">
        <f t="shared" si="15"/>
        <v>0</v>
      </c>
      <c r="DI11" s="164"/>
      <c r="DJ11" s="165">
        <f t="shared" si="16"/>
        <v>0</v>
      </c>
      <c r="DK11" s="166">
        <f t="shared" si="16"/>
        <v>0</v>
      </c>
      <c r="DL11" s="167" t="e">
        <f t="shared" si="17"/>
        <v>#DIV/0!</v>
      </c>
      <c r="DM11" s="168" t="e">
        <f t="shared" si="18"/>
        <v>#DIV/0!</v>
      </c>
      <c r="DN11" s="163" t="e">
        <f t="shared" si="19"/>
        <v>#DIV/0!</v>
      </c>
      <c r="DO11" s="169"/>
      <c r="DP11" s="170"/>
      <c r="DQ11" s="171"/>
      <c r="DR11" s="172">
        <f t="shared" si="20"/>
        <v>0</v>
      </c>
      <c r="DS11" s="173" t="e">
        <f t="shared" si="21"/>
        <v>#DIV/0!</v>
      </c>
      <c r="DT11" s="163" t="e">
        <f t="shared" si="22"/>
        <v>#DIV/0!</v>
      </c>
      <c r="DU11" s="174"/>
      <c r="DV11" s="175" t="e">
        <f t="shared" si="23"/>
        <v>#DIV/0!</v>
      </c>
      <c r="DW11" s="163">
        <f t="shared" si="24"/>
        <v>0</v>
      </c>
      <c r="DX11" s="164"/>
      <c r="DY11" s="176">
        <f t="shared" si="25"/>
        <v>0</v>
      </c>
      <c r="DZ11" s="177">
        <f t="shared" si="26"/>
        <v>0</v>
      </c>
      <c r="EA11" s="178">
        <f t="shared" si="27"/>
        <v>0</v>
      </c>
      <c r="EB11" s="179">
        <f t="shared" si="28"/>
        <v>0</v>
      </c>
      <c r="EC11" s="180"/>
      <c r="ED11" s="175" t="e">
        <f t="shared" si="29"/>
        <v>#DIV/0!</v>
      </c>
      <c r="EE11" s="163">
        <f t="shared" si="30"/>
        <v>0</v>
      </c>
      <c r="EF11" s="164"/>
      <c r="EG11" s="181">
        <f t="shared" si="31"/>
        <v>0</v>
      </c>
      <c r="EH11" s="182">
        <f t="shared" si="32"/>
        <v>0</v>
      </c>
      <c r="EI11" s="182">
        <f t="shared" si="33"/>
        <v>0</v>
      </c>
      <c r="EJ11" s="182">
        <f t="shared" si="34"/>
        <v>0</v>
      </c>
      <c r="EK11" s="183">
        <f t="shared" si="35"/>
        <v>0</v>
      </c>
      <c r="EL11" s="184" t="e">
        <f t="shared" si="36"/>
        <v>#DIV/0!</v>
      </c>
      <c r="EM11" s="185">
        <f t="shared" si="37"/>
        <v>0</v>
      </c>
      <c r="EN11" s="164"/>
      <c r="EO11" s="181">
        <f t="shared" si="38"/>
        <v>0</v>
      </c>
      <c r="EP11" s="183">
        <f t="shared" si="39"/>
        <v>0</v>
      </c>
      <c r="EQ11" s="184" t="e">
        <f t="shared" si="40"/>
        <v>#DIV/0!</v>
      </c>
      <c r="ER11" s="185">
        <f t="shared" si="41"/>
        <v>0</v>
      </c>
      <c r="ES11" s="164"/>
      <c r="ET11" s="164"/>
      <c r="EU11" s="186">
        <f t="shared" si="42"/>
        <v>0</v>
      </c>
      <c r="EV11" s="186">
        <f t="shared" si="43"/>
        <v>0</v>
      </c>
      <c r="EW11" s="186">
        <f t="shared" si="44"/>
        <v>0</v>
      </c>
      <c r="EX11" s="186">
        <f t="shared" si="45"/>
        <v>0</v>
      </c>
      <c r="EY11" s="131"/>
      <c r="EZ11" s="187">
        <f t="shared" si="46"/>
        <v>0</v>
      </c>
      <c r="FA11" s="188" t="e">
        <f t="shared" si="47"/>
        <v>#DIV/0!</v>
      </c>
      <c r="FB11" s="189"/>
      <c r="FC11" s="131"/>
      <c r="FD11" s="131"/>
      <c r="FE11" s="131"/>
      <c r="FF11" s="131"/>
      <c r="FG11" s="131"/>
    </row>
    <row r="12" spans="2:172" ht="16" outlineLevel="1" thickBot="1" x14ac:dyDescent="0.4">
      <c r="B12" s="357"/>
      <c r="C12" s="354"/>
      <c r="D12" s="190"/>
      <c r="E12" s="191"/>
      <c r="F12" s="135"/>
      <c r="G12" s="192"/>
      <c r="H12" s="137"/>
      <c r="I12" s="138">
        <f t="shared" si="0"/>
        <v>0</v>
      </c>
      <c r="J12" s="139"/>
      <c r="K12" s="193">
        <f t="shared" si="1"/>
        <v>0</v>
      </c>
      <c r="L12" s="141"/>
      <c r="M12" s="194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4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6"/>
      <c r="AN12" s="197">
        <f t="shared" si="2"/>
        <v>0</v>
      </c>
      <c r="AO12" s="146"/>
      <c r="AP12" s="147">
        <f t="shared" si="3"/>
        <v>0</v>
      </c>
      <c r="AQ12" s="148"/>
      <c r="AR12" s="198"/>
      <c r="AS12" s="198"/>
      <c r="AT12" s="135"/>
      <c r="AU12" s="199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199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2"/>
      <c r="CD12" s="199"/>
      <c r="CE12" s="194"/>
      <c r="CF12" s="195"/>
      <c r="CG12" s="195"/>
      <c r="CH12" s="195"/>
      <c r="CI12" s="195"/>
      <c r="CJ12" s="195"/>
      <c r="CK12" s="195"/>
      <c r="CL12" s="195"/>
      <c r="CM12" s="195"/>
      <c r="CN12" s="195"/>
      <c r="CO12" s="347"/>
      <c r="CP12" s="200"/>
      <c r="CQ12" s="201"/>
      <c r="CR12" s="202"/>
      <c r="CS12" s="203">
        <f t="shared" si="48"/>
        <v>0</v>
      </c>
      <c r="CT12" s="146"/>
      <c r="CU12" s="147">
        <f t="shared" si="4"/>
        <v>0</v>
      </c>
      <c r="CV12" s="156"/>
      <c r="CW12" s="157" t="e">
        <f t="shared" si="5"/>
        <v>#DIV/0!</v>
      </c>
      <c r="CX12" s="157" t="e">
        <f t="shared" si="6"/>
        <v>#DIV/0!</v>
      </c>
      <c r="CY12" s="157" t="e">
        <f t="shared" si="7"/>
        <v>#DIV/0!</v>
      </c>
      <c r="CZ12" s="157" t="e">
        <f t="shared" si="8"/>
        <v>#DIV/0!</v>
      </c>
      <c r="DA12" s="157" t="e">
        <f t="shared" si="9"/>
        <v>#DIV/0!</v>
      </c>
      <c r="DB12" s="158" t="e">
        <f t="shared" si="10"/>
        <v>#DIV/0!</v>
      </c>
      <c r="DC12" s="131"/>
      <c r="DD12" s="159">
        <f t="shared" si="11"/>
        <v>0</v>
      </c>
      <c r="DE12" s="160">
        <f t="shared" si="12"/>
        <v>0</v>
      </c>
      <c r="DF12" s="161">
        <f t="shared" si="13"/>
        <v>0</v>
      </c>
      <c r="DG12" s="162" t="e">
        <f t="shared" si="14"/>
        <v>#DIV/0!</v>
      </c>
      <c r="DH12" s="163">
        <f t="shared" si="15"/>
        <v>0</v>
      </c>
      <c r="DI12" s="164"/>
      <c r="DJ12" s="165">
        <f t="shared" si="16"/>
        <v>0</v>
      </c>
      <c r="DK12" s="166">
        <f t="shared" si="16"/>
        <v>0</v>
      </c>
      <c r="DL12" s="167" t="e">
        <f t="shared" si="17"/>
        <v>#DIV/0!</v>
      </c>
      <c r="DM12" s="168" t="e">
        <f t="shared" si="18"/>
        <v>#DIV/0!</v>
      </c>
      <c r="DN12" s="163" t="e">
        <f t="shared" si="19"/>
        <v>#DIV/0!</v>
      </c>
      <c r="DO12" s="169"/>
      <c r="DP12" s="170"/>
      <c r="DQ12" s="171"/>
      <c r="DR12" s="172">
        <f t="shared" si="20"/>
        <v>0</v>
      </c>
      <c r="DS12" s="173" t="e">
        <f t="shared" si="21"/>
        <v>#DIV/0!</v>
      </c>
      <c r="DT12" s="163" t="e">
        <f t="shared" si="22"/>
        <v>#DIV/0!</v>
      </c>
      <c r="DU12" s="174"/>
      <c r="DV12" s="175" t="e">
        <f t="shared" si="23"/>
        <v>#DIV/0!</v>
      </c>
      <c r="DW12" s="163">
        <f t="shared" si="24"/>
        <v>0</v>
      </c>
      <c r="DX12" s="164"/>
      <c r="DY12" s="176">
        <f t="shared" si="25"/>
        <v>0</v>
      </c>
      <c r="DZ12" s="177">
        <f t="shared" si="26"/>
        <v>0</v>
      </c>
      <c r="EA12" s="178">
        <f t="shared" si="27"/>
        <v>0</v>
      </c>
      <c r="EB12" s="179">
        <f t="shared" si="28"/>
        <v>0</v>
      </c>
      <c r="EC12" s="180"/>
      <c r="ED12" s="175" t="e">
        <f t="shared" si="29"/>
        <v>#DIV/0!</v>
      </c>
      <c r="EE12" s="163">
        <f t="shared" si="30"/>
        <v>0</v>
      </c>
      <c r="EF12" s="164"/>
      <c r="EG12" s="181">
        <f t="shared" si="31"/>
        <v>0</v>
      </c>
      <c r="EH12" s="182">
        <f t="shared" si="32"/>
        <v>0</v>
      </c>
      <c r="EI12" s="182">
        <f t="shared" si="33"/>
        <v>0</v>
      </c>
      <c r="EJ12" s="182">
        <f t="shared" si="34"/>
        <v>0</v>
      </c>
      <c r="EK12" s="183">
        <f t="shared" si="35"/>
        <v>0</v>
      </c>
      <c r="EL12" s="184" t="e">
        <f t="shared" si="36"/>
        <v>#DIV/0!</v>
      </c>
      <c r="EM12" s="185">
        <f t="shared" si="37"/>
        <v>0</v>
      </c>
      <c r="EN12" s="164"/>
      <c r="EO12" s="181">
        <f t="shared" si="38"/>
        <v>0</v>
      </c>
      <c r="EP12" s="183">
        <f t="shared" si="39"/>
        <v>0</v>
      </c>
      <c r="EQ12" s="184" t="e">
        <f t="shared" si="40"/>
        <v>#DIV/0!</v>
      </c>
      <c r="ER12" s="185">
        <f t="shared" si="41"/>
        <v>0</v>
      </c>
      <c r="ES12" s="164"/>
      <c r="ET12" s="164"/>
      <c r="EU12" s="186">
        <f t="shared" si="42"/>
        <v>0</v>
      </c>
      <c r="EV12" s="186">
        <f t="shared" si="43"/>
        <v>0</v>
      </c>
      <c r="EW12" s="186">
        <f t="shared" si="44"/>
        <v>0</v>
      </c>
      <c r="EX12" s="186">
        <f t="shared" si="45"/>
        <v>0</v>
      </c>
      <c r="EY12" s="131"/>
      <c r="EZ12" s="187">
        <f t="shared" si="46"/>
        <v>0</v>
      </c>
      <c r="FA12" s="188" t="e">
        <f t="shared" si="47"/>
        <v>#DIV/0!</v>
      </c>
      <c r="FB12" s="189"/>
      <c r="FC12" s="131"/>
      <c r="FD12" s="131"/>
      <c r="FE12" s="131"/>
      <c r="FF12" s="131"/>
      <c r="FG12" s="131"/>
    </row>
    <row r="13" spans="2:172" ht="16" outlineLevel="1" thickBot="1" x14ac:dyDescent="0.4">
      <c r="B13" s="358"/>
      <c r="C13" s="355"/>
      <c r="D13" s="204"/>
      <c r="E13" s="205"/>
      <c r="F13" s="135"/>
      <c r="G13" s="206"/>
      <c r="H13" s="207"/>
      <c r="I13" s="138">
        <f t="shared" si="0"/>
        <v>0</v>
      </c>
      <c r="J13" s="139"/>
      <c r="K13" s="208">
        <f t="shared" si="1"/>
        <v>0</v>
      </c>
      <c r="L13" s="141"/>
      <c r="M13" s="209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09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1"/>
      <c r="AN13" s="212">
        <f t="shared" si="2"/>
        <v>0</v>
      </c>
      <c r="AO13" s="146"/>
      <c r="AP13" s="147">
        <f t="shared" si="3"/>
        <v>0</v>
      </c>
      <c r="AQ13" s="148"/>
      <c r="AR13" s="213"/>
      <c r="AS13" s="213"/>
      <c r="AT13" s="135"/>
      <c r="AU13" s="214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4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7"/>
      <c r="CD13" s="214"/>
      <c r="CE13" s="209"/>
      <c r="CF13" s="210"/>
      <c r="CG13" s="210"/>
      <c r="CH13" s="210"/>
      <c r="CI13" s="210"/>
      <c r="CJ13" s="210"/>
      <c r="CK13" s="210"/>
      <c r="CL13" s="210"/>
      <c r="CM13" s="210"/>
      <c r="CN13" s="210"/>
      <c r="CO13" s="348"/>
      <c r="CP13" s="215"/>
      <c r="CQ13" s="216"/>
      <c r="CR13" s="217"/>
      <c r="CS13" s="218">
        <f t="shared" si="48"/>
        <v>0</v>
      </c>
      <c r="CT13" s="146"/>
      <c r="CU13" s="147">
        <f t="shared" si="4"/>
        <v>0</v>
      </c>
      <c r="CV13" s="156"/>
      <c r="CW13" s="157" t="e">
        <f t="shared" si="5"/>
        <v>#DIV/0!</v>
      </c>
      <c r="CX13" s="157" t="e">
        <f t="shared" si="6"/>
        <v>#DIV/0!</v>
      </c>
      <c r="CY13" s="157" t="e">
        <f t="shared" si="7"/>
        <v>#DIV/0!</v>
      </c>
      <c r="CZ13" s="157" t="e">
        <f t="shared" si="8"/>
        <v>#DIV/0!</v>
      </c>
      <c r="DA13" s="157" t="e">
        <f t="shared" si="9"/>
        <v>#DIV/0!</v>
      </c>
      <c r="DB13" s="158" t="e">
        <f t="shared" si="10"/>
        <v>#DIV/0!</v>
      </c>
      <c r="DC13" s="131"/>
      <c r="DD13" s="159">
        <f t="shared" si="11"/>
        <v>0</v>
      </c>
      <c r="DE13" s="160">
        <f t="shared" si="12"/>
        <v>0</v>
      </c>
      <c r="DF13" s="161">
        <f t="shared" si="13"/>
        <v>0</v>
      </c>
      <c r="DG13" s="162" t="e">
        <f t="shared" si="14"/>
        <v>#DIV/0!</v>
      </c>
      <c r="DH13" s="163">
        <f t="shared" si="15"/>
        <v>0</v>
      </c>
      <c r="DI13" s="164"/>
      <c r="DJ13" s="165">
        <f t="shared" si="16"/>
        <v>0</v>
      </c>
      <c r="DK13" s="166">
        <f t="shared" si="16"/>
        <v>0</v>
      </c>
      <c r="DL13" s="167" t="e">
        <f t="shared" si="17"/>
        <v>#DIV/0!</v>
      </c>
      <c r="DM13" s="168" t="e">
        <f t="shared" si="18"/>
        <v>#DIV/0!</v>
      </c>
      <c r="DN13" s="163" t="e">
        <f t="shared" si="19"/>
        <v>#DIV/0!</v>
      </c>
      <c r="DO13" s="169"/>
      <c r="DP13" s="170"/>
      <c r="DQ13" s="171"/>
      <c r="DR13" s="172">
        <f t="shared" si="20"/>
        <v>0</v>
      </c>
      <c r="DS13" s="173" t="e">
        <f t="shared" si="21"/>
        <v>#DIV/0!</v>
      </c>
      <c r="DT13" s="163" t="e">
        <f t="shared" si="22"/>
        <v>#DIV/0!</v>
      </c>
      <c r="DU13" s="174"/>
      <c r="DV13" s="175" t="e">
        <f t="shared" si="23"/>
        <v>#DIV/0!</v>
      </c>
      <c r="DW13" s="163">
        <f t="shared" si="24"/>
        <v>0</v>
      </c>
      <c r="DX13" s="164"/>
      <c r="DY13" s="176">
        <f t="shared" si="25"/>
        <v>0</v>
      </c>
      <c r="DZ13" s="177">
        <f t="shared" si="26"/>
        <v>0</v>
      </c>
      <c r="EA13" s="178">
        <f t="shared" si="27"/>
        <v>0</v>
      </c>
      <c r="EB13" s="179">
        <f t="shared" si="28"/>
        <v>0</v>
      </c>
      <c r="EC13" s="180"/>
      <c r="ED13" s="175" t="e">
        <f t="shared" si="29"/>
        <v>#DIV/0!</v>
      </c>
      <c r="EE13" s="163">
        <f t="shared" si="30"/>
        <v>0</v>
      </c>
      <c r="EF13" s="164"/>
      <c r="EG13" s="181">
        <f t="shared" si="31"/>
        <v>0</v>
      </c>
      <c r="EH13" s="182">
        <f t="shared" si="32"/>
        <v>0</v>
      </c>
      <c r="EI13" s="182">
        <f t="shared" si="33"/>
        <v>0</v>
      </c>
      <c r="EJ13" s="182">
        <f t="shared" si="34"/>
        <v>0</v>
      </c>
      <c r="EK13" s="183">
        <f t="shared" si="35"/>
        <v>0</v>
      </c>
      <c r="EL13" s="184" t="e">
        <f t="shared" si="36"/>
        <v>#DIV/0!</v>
      </c>
      <c r="EM13" s="185">
        <f t="shared" si="37"/>
        <v>0</v>
      </c>
      <c r="EN13" s="164"/>
      <c r="EO13" s="181">
        <f t="shared" si="38"/>
        <v>0</v>
      </c>
      <c r="EP13" s="183">
        <f t="shared" si="39"/>
        <v>0</v>
      </c>
      <c r="EQ13" s="184" t="e">
        <f t="shared" si="40"/>
        <v>#DIV/0!</v>
      </c>
      <c r="ER13" s="185">
        <f t="shared" si="41"/>
        <v>0</v>
      </c>
      <c r="ES13" s="164"/>
      <c r="ET13" s="164"/>
      <c r="EU13" s="186">
        <f t="shared" si="42"/>
        <v>0</v>
      </c>
      <c r="EV13" s="186">
        <f t="shared" si="43"/>
        <v>0</v>
      </c>
      <c r="EW13" s="186">
        <f t="shared" si="44"/>
        <v>0</v>
      </c>
      <c r="EX13" s="186">
        <f t="shared" si="45"/>
        <v>0</v>
      </c>
      <c r="EY13" s="131"/>
      <c r="EZ13" s="187">
        <f t="shared" si="46"/>
        <v>0</v>
      </c>
      <c r="FA13" s="188" t="e">
        <f t="shared" si="47"/>
        <v>#DIV/0!</v>
      </c>
      <c r="FB13" s="189"/>
      <c r="FC13" s="131"/>
      <c r="FD13" s="131"/>
      <c r="FE13" s="131"/>
      <c r="FF13" s="131"/>
      <c r="FG13" s="131"/>
    </row>
    <row r="14" spans="2:172" ht="16" outlineLevel="1" thickBot="1" x14ac:dyDescent="0.4">
      <c r="B14" s="356"/>
      <c r="C14" s="353"/>
      <c r="D14" s="133"/>
      <c r="E14" s="134"/>
      <c r="F14" s="135"/>
      <c r="G14" s="136"/>
      <c r="H14" s="137"/>
      <c r="I14" s="138">
        <f t="shared" si="0"/>
        <v>0</v>
      </c>
      <c r="J14" s="139"/>
      <c r="K14" s="140">
        <f>E14*60</f>
        <v>0</v>
      </c>
      <c r="L14" s="141"/>
      <c r="M14" s="142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2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4"/>
      <c r="AN14" s="145">
        <f t="shared" si="2"/>
        <v>0</v>
      </c>
      <c r="AO14" s="146"/>
      <c r="AP14" s="147">
        <f t="shared" si="3"/>
        <v>0</v>
      </c>
      <c r="AQ14" s="148"/>
      <c r="AR14" s="149"/>
      <c r="AS14" s="149"/>
      <c r="AT14" s="135"/>
      <c r="AU14" s="150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0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4"/>
      <c r="CD14" s="150"/>
      <c r="CE14" s="142"/>
      <c r="CF14" s="143"/>
      <c r="CG14" s="143"/>
      <c r="CH14" s="143"/>
      <c r="CI14" s="143"/>
      <c r="CJ14" s="143"/>
      <c r="CK14" s="143"/>
      <c r="CL14" s="143"/>
      <c r="CM14" s="143"/>
      <c r="CN14" s="143"/>
      <c r="CO14" s="346"/>
      <c r="CP14" s="151"/>
      <c r="CQ14" s="152"/>
      <c r="CR14" s="154"/>
      <c r="CS14" s="155">
        <f t="shared" si="48"/>
        <v>0</v>
      </c>
      <c r="CT14" s="146"/>
      <c r="CU14" s="147">
        <f t="shared" si="4"/>
        <v>0</v>
      </c>
      <c r="CV14" s="156"/>
      <c r="CW14" s="157" t="e">
        <f t="shared" si="5"/>
        <v>#DIV/0!</v>
      </c>
      <c r="CX14" s="157" t="e">
        <f t="shared" si="6"/>
        <v>#DIV/0!</v>
      </c>
      <c r="CY14" s="157" t="e">
        <f t="shared" si="7"/>
        <v>#DIV/0!</v>
      </c>
      <c r="CZ14" s="157" t="e">
        <f t="shared" si="8"/>
        <v>#DIV/0!</v>
      </c>
      <c r="DA14" s="157" t="e">
        <f t="shared" si="9"/>
        <v>#DIV/0!</v>
      </c>
      <c r="DB14" s="158" t="e">
        <f t="shared" si="10"/>
        <v>#DIV/0!</v>
      </c>
      <c r="DC14" s="131"/>
      <c r="DD14" s="159">
        <f t="shared" si="11"/>
        <v>0</v>
      </c>
      <c r="DE14" s="160">
        <f t="shared" si="12"/>
        <v>0</v>
      </c>
      <c r="DF14" s="161">
        <f t="shared" si="13"/>
        <v>0</v>
      </c>
      <c r="DG14" s="162" t="e">
        <f t="shared" si="14"/>
        <v>#DIV/0!</v>
      </c>
      <c r="DH14" s="163">
        <f t="shared" si="15"/>
        <v>0</v>
      </c>
      <c r="DI14" s="164"/>
      <c r="DJ14" s="165">
        <f t="shared" si="16"/>
        <v>0</v>
      </c>
      <c r="DK14" s="166">
        <f t="shared" si="16"/>
        <v>0</v>
      </c>
      <c r="DL14" s="167" t="e">
        <f t="shared" si="17"/>
        <v>#DIV/0!</v>
      </c>
      <c r="DM14" s="168" t="e">
        <f t="shared" si="18"/>
        <v>#DIV/0!</v>
      </c>
      <c r="DN14" s="163" t="e">
        <f t="shared" si="19"/>
        <v>#DIV/0!</v>
      </c>
      <c r="DO14" s="169"/>
      <c r="DP14" s="170"/>
      <c r="DQ14" s="171"/>
      <c r="DR14" s="172">
        <f t="shared" si="20"/>
        <v>0</v>
      </c>
      <c r="DS14" s="173" t="e">
        <f t="shared" si="21"/>
        <v>#DIV/0!</v>
      </c>
      <c r="DT14" s="163" t="e">
        <f t="shared" si="22"/>
        <v>#DIV/0!</v>
      </c>
      <c r="DU14" s="174"/>
      <c r="DV14" s="175" t="e">
        <f t="shared" si="23"/>
        <v>#DIV/0!</v>
      </c>
      <c r="DW14" s="163">
        <f t="shared" si="24"/>
        <v>0</v>
      </c>
      <c r="DX14" s="164"/>
      <c r="DY14" s="176">
        <f t="shared" si="25"/>
        <v>0</v>
      </c>
      <c r="DZ14" s="177">
        <f t="shared" si="26"/>
        <v>0</v>
      </c>
      <c r="EA14" s="178">
        <f t="shared" si="27"/>
        <v>0</v>
      </c>
      <c r="EB14" s="179">
        <f t="shared" si="28"/>
        <v>0</v>
      </c>
      <c r="EC14" s="180"/>
      <c r="ED14" s="175" t="e">
        <f t="shared" si="29"/>
        <v>#DIV/0!</v>
      </c>
      <c r="EE14" s="163">
        <f t="shared" si="30"/>
        <v>0</v>
      </c>
      <c r="EF14" s="164"/>
      <c r="EG14" s="181">
        <f t="shared" si="31"/>
        <v>0</v>
      </c>
      <c r="EH14" s="182">
        <f t="shared" si="32"/>
        <v>0</v>
      </c>
      <c r="EI14" s="182">
        <f t="shared" si="33"/>
        <v>0</v>
      </c>
      <c r="EJ14" s="182">
        <f t="shared" si="34"/>
        <v>0</v>
      </c>
      <c r="EK14" s="183">
        <f t="shared" si="35"/>
        <v>0</v>
      </c>
      <c r="EL14" s="184" t="e">
        <f t="shared" si="36"/>
        <v>#DIV/0!</v>
      </c>
      <c r="EM14" s="185">
        <f t="shared" si="37"/>
        <v>0</v>
      </c>
      <c r="EN14" s="164"/>
      <c r="EO14" s="181">
        <f t="shared" si="38"/>
        <v>0</v>
      </c>
      <c r="EP14" s="183">
        <f t="shared" si="39"/>
        <v>0</v>
      </c>
      <c r="EQ14" s="184" t="e">
        <f t="shared" si="40"/>
        <v>#DIV/0!</v>
      </c>
      <c r="ER14" s="185">
        <f t="shared" si="41"/>
        <v>0</v>
      </c>
      <c r="ES14" s="164"/>
      <c r="ET14" s="164"/>
      <c r="EU14" s="186">
        <f t="shared" si="42"/>
        <v>0</v>
      </c>
      <c r="EV14" s="186">
        <f t="shared" si="43"/>
        <v>0</v>
      </c>
      <c r="EW14" s="186">
        <f t="shared" si="44"/>
        <v>0</v>
      </c>
      <c r="EX14" s="186">
        <f t="shared" si="45"/>
        <v>0</v>
      </c>
      <c r="EY14" s="131"/>
      <c r="EZ14" s="187">
        <f t="shared" si="46"/>
        <v>0</v>
      </c>
      <c r="FA14" s="188" t="e">
        <f t="shared" si="47"/>
        <v>#DIV/0!</v>
      </c>
      <c r="FB14" s="189"/>
      <c r="FC14" s="131"/>
      <c r="FD14" s="131"/>
      <c r="FE14" s="131"/>
      <c r="FF14" s="131"/>
      <c r="FG14" s="131"/>
    </row>
    <row r="15" spans="2:172" ht="16" outlineLevel="1" thickBot="1" x14ac:dyDescent="0.4">
      <c r="B15" s="357"/>
      <c r="C15" s="354"/>
      <c r="D15" s="240"/>
      <c r="E15" s="241"/>
      <c r="F15" s="135"/>
      <c r="G15" s="192"/>
      <c r="H15" s="242"/>
      <c r="I15" s="138">
        <f t="shared" si="0"/>
        <v>0</v>
      </c>
      <c r="J15" s="139"/>
      <c r="K15" s="193">
        <f t="shared" ref="K15:K55" si="49">E15*60</f>
        <v>0</v>
      </c>
      <c r="L15" s="141"/>
      <c r="M15" s="194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4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6"/>
      <c r="AN15" s="197">
        <f t="shared" si="2"/>
        <v>0</v>
      </c>
      <c r="AO15" s="146"/>
      <c r="AP15" s="147">
        <f t="shared" si="3"/>
        <v>0</v>
      </c>
      <c r="AQ15" s="148"/>
      <c r="AR15" s="198"/>
      <c r="AS15" s="198"/>
      <c r="AT15" s="135"/>
      <c r="AU15" s="199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199"/>
      <c r="BS15" s="200"/>
      <c r="BT15" s="200"/>
      <c r="BU15" s="200"/>
      <c r="BV15" s="200"/>
      <c r="BW15" s="200"/>
      <c r="BX15" s="200"/>
      <c r="BY15" s="200"/>
      <c r="BZ15" s="200"/>
      <c r="CA15" s="200"/>
      <c r="CB15" s="200"/>
      <c r="CC15" s="202"/>
      <c r="CD15" s="199"/>
      <c r="CE15" s="194"/>
      <c r="CF15" s="195"/>
      <c r="CG15" s="195"/>
      <c r="CH15" s="195"/>
      <c r="CI15" s="195"/>
      <c r="CJ15" s="195"/>
      <c r="CK15" s="195"/>
      <c r="CL15" s="195"/>
      <c r="CM15" s="195"/>
      <c r="CN15" s="195"/>
      <c r="CO15" s="347"/>
      <c r="CP15" s="200"/>
      <c r="CQ15" s="201"/>
      <c r="CR15" s="202"/>
      <c r="CS15" s="203">
        <f t="shared" si="48"/>
        <v>0</v>
      </c>
      <c r="CT15" s="146"/>
      <c r="CU15" s="147">
        <f t="shared" si="4"/>
        <v>0</v>
      </c>
      <c r="CV15" s="156"/>
      <c r="CW15" s="157" t="e">
        <f t="shared" si="5"/>
        <v>#DIV/0!</v>
      </c>
      <c r="CX15" s="157" t="e">
        <f t="shared" si="6"/>
        <v>#DIV/0!</v>
      </c>
      <c r="CY15" s="157" t="e">
        <f t="shared" si="7"/>
        <v>#DIV/0!</v>
      </c>
      <c r="CZ15" s="157" t="e">
        <f t="shared" si="8"/>
        <v>#DIV/0!</v>
      </c>
      <c r="DA15" s="157" t="e">
        <f t="shared" si="9"/>
        <v>#DIV/0!</v>
      </c>
      <c r="DB15" s="158" t="e">
        <f t="shared" si="10"/>
        <v>#DIV/0!</v>
      </c>
      <c r="DC15" s="131"/>
      <c r="DD15" s="159">
        <f t="shared" si="11"/>
        <v>0</v>
      </c>
      <c r="DE15" s="160">
        <f t="shared" si="12"/>
        <v>0</v>
      </c>
      <c r="DF15" s="161">
        <f t="shared" si="13"/>
        <v>0</v>
      </c>
      <c r="DG15" s="162" t="e">
        <f t="shared" si="14"/>
        <v>#DIV/0!</v>
      </c>
      <c r="DH15" s="163">
        <f t="shared" si="15"/>
        <v>0</v>
      </c>
      <c r="DI15" s="164"/>
      <c r="DJ15" s="165">
        <f t="shared" si="16"/>
        <v>0</v>
      </c>
      <c r="DK15" s="166">
        <v>0</v>
      </c>
      <c r="DL15" s="167" t="e">
        <f t="shared" si="17"/>
        <v>#DIV/0!</v>
      </c>
      <c r="DM15" s="168" t="e">
        <f t="shared" si="18"/>
        <v>#DIV/0!</v>
      </c>
      <c r="DN15" s="163" t="e">
        <f t="shared" si="19"/>
        <v>#DIV/0!</v>
      </c>
      <c r="DO15" s="169"/>
      <c r="DP15" s="170"/>
      <c r="DQ15" s="171"/>
      <c r="DR15" s="172">
        <f t="shared" si="20"/>
        <v>0</v>
      </c>
      <c r="DS15" s="173" t="e">
        <f t="shared" si="21"/>
        <v>#DIV/0!</v>
      </c>
      <c r="DT15" s="163" t="e">
        <f t="shared" si="22"/>
        <v>#DIV/0!</v>
      </c>
      <c r="DU15" s="174"/>
      <c r="DV15" s="175" t="e">
        <f t="shared" si="23"/>
        <v>#DIV/0!</v>
      </c>
      <c r="DW15" s="163">
        <f t="shared" si="24"/>
        <v>0</v>
      </c>
      <c r="DX15" s="164"/>
      <c r="DY15" s="176">
        <f t="shared" si="25"/>
        <v>0</v>
      </c>
      <c r="DZ15" s="177">
        <f t="shared" si="26"/>
        <v>0</v>
      </c>
      <c r="EA15" s="178">
        <f t="shared" si="27"/>
        <v>0</v>
      </c>
      <c r="EB15" s="179">
        <f t="shared" si="28"/>
        <v>0</v>
      </c>
      <c r="EC15" s="180"/>
      <c r="ED15" s="175" t="e">
        <f t="shared" si="29"/>
        <v>#DIV/0!</v>
      </c>
      <c r="EE15" s="163">
        <f t="shared" si="30"/>
        <v>0</v>
      </c>
      <c r="EF15" s="164"/>
      <c r="EG15" s="181">
        <f t="shared" si="31"/>
        <v>0</v>
      </c>
      <c r="EH15" s="182">
        <f t="shared" si="32"/>
        <v>0</v>
      </c>
      <c r="EI15" s="182">
        <f t="shared" si="33"/>
        <v>0</v>
      </c>
      <c r="EJ15" s="182">
        <f t="shared" si="34"/>
        <v>0</v>
      </c>
      <c r="EK15" s="183">
        <f t="shared" si="35"/>
        <v>0</v>
      </c>
      <c r="EL15" s="184" t="e">
        <f t="shared" si="36"/>
        <v>#DIV/0!</v>
      </c>
      <c r="EM15" s="185">
        <f t="shared" si="37"/>
        <v>0</v>
      </c>
      <c r="EN15" s="164"/>
      <c r="EO15" s="181">
        <f t="shared" si="38"/>
        <v>0</v>
      </c>
      <c r="EP15" s="183">
        <f t="shared" si="39"/>
        <v>0</v>
      </c>
      <c r="EQ15" s="184" t="e">
        <f t="shared" si="40"/>
        <v>#DIV/0!</v>
      </c>
      <c r="ER15" s="185">
        <f t="shared" si="41"/>
        <v>0</v>
      </c>
      <c r="ES15" s="164"/>
      <c r="ET15" s="164"/>
      <c r="EU15" s="186">
        <f t="shared" si="42"/>
        <v>0</v>
      </c>
      <c r="EV15" s="186">
        <f t="shared" si="43"/>
        <v>0</v>
      </c>
      <c r="EW15" s="186">
        <f t="shared" si="44"/>
        <v>0</v>
      </c>
      <c r="EX15" s="186">
        <f t="shared" si="45"/>
        <v>0</v>
      </c>
      <c r="EY15" s="131"/>
      <c r="EZ15" s="187">
        <f t="shared" si="46"/>
        <v>0</v>
      </c>
      <c r="FA15" s="188" t="e">
        <f t="shared" si="47"/>
        <v>#DIV/0!</v>
      </c>
      <c r="FB15" s="189"/>
      <c r="FC15" s="131"/>
      <c r="FD15" s="131"/>
      <c r="FE15" s="131"/>
      <c r="FF15" s="131"/>
      <c r="FG15" s="131"/>
    </row>
    <row r="16" spans="2:172" ht="16" outlineLevel="1" thickBot="1" x14ac:dyDescent="0.4">
      <c r="B16" s="358"/>
      <c r="C16" s="355"/>
      <c r="D16" s="243"/>
      <c r="E16" s="244"/>
      <c r="F16" s="135"/>
      <c r="G16" s="192"/>
      <c r="H16" s="245"/>
      <c r="I16" s="138">
        <f t="shared" si="0"/>
        <v>0</v>
      </c>
      <c r="J16" s="139"/>
      <c r="K16" s="208">
        <f t="shared" si="49"/>
        <v>0</v>
      </c>
      <c r="L16" s="141"/>
      <c r="M16" s="209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09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1"/>
      <c r="AN16" s="212">
        <f t="shared" si="2"/>
        <v>0</v>
      </c>
      <c r="AO16" s="146"/>
      <c r="AP16" s="147">
        <f t="shared" si="3"/>
        <v>0</v>
      </c>
      <c r="AQ16" s="148"/>
      <c r="AR16" s="213"/>
      <c r="AS16" s="213"/>
      <c r="AT16" s="135"/>
      <c r="AU16" s="214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6"/>
      <c r="BG16" s="216"/>
      <c r="BH16" s="216"/>
      <c r="BI16" s="216"/>
      <c r="BJ16" s="216"/>
      <c r="BK16" s="216"/>
      <c r="BL16" s="216"/>
      <c r="BM16" s="216"/>
      <c r="BN16" s="216"/>
      <c r="BO16" s="216"/>
      <c r="BP16" s="216"/>
      <c r="BQ16" s="216"/>
      <c r="BR16" s="214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7"/>
      <c r="CD16" s="214"/>
      <c r="CE16" s="209"/>
      <c r="CF16" s="210"/>
      <c r="CG16" s="210"/>
      <c r="CH16" s="210"/>
      <c r="CI16" s="210"/>
      <c r="CJ16" s="210"/>
      <c r="CK16" s="210"/>
      <c r="CL16" s="210"/>
      <c r="CM16" s="210"/>
      <c r="CN16" s="210"/>
      <c r="CO16" s="348"/>
      <c r="CP16" s="215"/>
      <c r="CQ16" s="216"/>
      <c r="CR16" s="217"/>
      <c r="CS16" s="218">
        <f t="shared" si="48"/>
        <v>0</v>
      </c>
      <c r="CT16" s="146"/>
      <c r="CU16" s="147">
        <f t="shared" si="4"/>
        <v>0</v>
      </c>
      <c r="CV16" s="156"/>
      <c r="CW16" s="157" t="e">
        <f t="shared" si="5"/>
        <v>#DIV/0!</v>
      </c>
      <c r="CX16" s="157" t="e">
        <f t="shared" si="6"/>
        <v>#DIV/0!</v>
      </c>
      <c r="CY16" s="157" t="e">
        <f t="shared" si="7"/>
        <v>#DIV/0!</v>
      </c>
      <c r="CZ16" s="157" t="e">
        <f t="shared" si="8"/>
        <v>#DIV/0!</v>
      </c>
      <c r="DA16" s="157" t="e">
        <f t="shared" si="9"/>
        <v>#DIV/0!</v>
      </c>
      <c r="DB16" s="158" t="e">
        <f t="shared" si="10"/>
        <v>#DIV/0!</v>
      </c>
      <c r="DC16" s="131"/>
      <c r="DD16" s="159">
        <f t="shared" si="11"/>
        <v>0</v>
      </c>
      <c r="DE16" s="160">
        <f t="shared" si="12"/>
        <v>0</v>
      </c>
      <c r="DF16" s="161">
        <f t="shared" si="13"/>
        <v>0</v>
      </c>
      <c r="DG16" s="162" t="e">
        <f t="shared" si="14"/>
        <v>#DIV/0!</v>
      </c>
      <c r="DH16" s="163">
        <f t="shared" si="15"/>
        <v>0</v>
      </c>
      <c r="DI16" s="164"/>
      <c r="DJ16" s="165">
        <f t="shared" si="16"/>
        <v>0</v>
      </c>
      <c r="DK16" s="166">
        <f t="shared" si="16"/>
        <v>0</v>
      </c>
      <c r="DL16" s="167" t="e">
        <f t="shared" si="17"/>
        <v>#DIV/0!</v>
      </c>
      <c r="DM16" s="168" t="e">
        <f t="shared" si="18"/>
        <v>#DIV/0!</v>
      </c>
      <c r="DN16" s="163" t="e">
        <f t="shared" si="19"/>
        <v>#DIV/0!</v>
      </c>
      <c r="DO16" s="169"/>
      <c r="DP16" s="170"/>
      <c r="DQ16" s="171"/>
      <c r="DR16" s="172">
        <f t="shared" si="20"/>
        <v>0</v>
      </c>
      <c r="DS16" s="173" t="e">
        <f t="shared" si="21"/>
        <v>#DIV/0!</v>
      </c>
      <c r="DT16" s="163" t="e">
        <f t="shared" si="22"/>
        <v>#DIV/0!</v>
      </c>
      <c r="DU16" s="174"/>
      <c r="DV16" s="175" t="e">
        <f t="shared" si="23"/>
        <v>#DIV/0!</v>
      </c>
      <c r="DW16" s="163">
        <f t="shared" si="24"/>
        <v>0</v>
      </c>
      <c r="DX16" s="164"/>
      <c r="DY16" s="176">
        <f t="shared" si="25"/>
        <v>0</v>
      </c>
      <c r="DZ16" s="177">
        <f t="shared" si="26"/>
        <v>0</v>
      </c>
      <c r="EA16" s="178">
        <f t="shared" si="27"/>
        <v>0</v>
      </c>
      <c r="EB16" s="179">
        <f t="shared" si="28"/>
        <v>0</v>
      </c>
      <c r="EC16" s="180"/>
      <c r="ED16" s="175" t="e">
        <f t="shared" si="29"/>
        <v>#DIV/0!</v>
      </c>
      <c r="EE16" s="163">
        <f t="shared" si="30"/>
        <v>0</v>
      </c>
      <c r="EF16" s="164"/>
      <c r="EG16" s="181">
        <f t="shared" si="31"/>
        <v>0</v>
      </c>
      <c r="EH16" s="182">
        <f t="shared" si="32"/>
        <v>0</v>
      </c>
      <c r="EI16" s="182">
        <f t="shared" si="33"/>
        <v>0</v>
      </c>
      <c r="EJ16" s="182">
        <f t="shared" si="34"/>
        <v>0</v>
      </c>
      <c r="EK16" s="183">
        <f t="shared" si="35"/>
        <v>0</v>
      </c>
      <c r="EL16" s="184" t="e">
        <f t="shared" si="36"/>
        <v>#DIV/0!</v>
      </c>
      <c r="EM16" s="185">
        <f t="shared" si="37"/>
        <v>0</v>
      </c>
      <c r="EN16" s="164"/>
      <c r="EO16" s="181">
        <f t="shared" si="38"/>
        <v>0</v>
      </c>
      <c r="EP16" s="183">
        <f t="shared" si="39"/>
        <v>0</v>
      </c>
      <c r="EQ16" s="184" t="e">
        <f t="shared" si="40"/>
        <v>#DIV/0!</v>
      </c>
      <c r="ER16" s="185">
        <f t="shared" si="41"/>
        <v>0</v>
      </c>
      <c r="ES16" s="164"/>
      <c r="ET16" s="164"/>
      <c r="EU16" s="186">
        <f t="shared" si="42"/>
        <v>0</v>
      </c>
      <c r="EV16" s="186">
        <f t="shared" si="43"/>
        <v>0</v>
      </c>
      <c r="EW16" s="186">
        <f t="shared" si="44"/>
        <v>0</v>
      </c>
      <c r="EX16" s="186">
        <f t="shared" si="45"/>
        <v>0</v>
      </c>
      <c r="EY16" s="131"/>
      <c r="EZ16" s="187">
        <f t="shared" si="46"/>
        <v>0</v>
      </c>
      <c r="FA16" s="188" t="e">
        <f t="shared" si="47"/>
        <v>#DIV/0!</v>
      </c>
      <c r="FB16" s="189"/>
      <c r="FC16" s="219"/>
      <c r="FD16" s="219"/>
      <c r="FE16" s="131"/>
      <c r="FF16" s="131"/>
      <c r="FG16" s="131"/>
    </row>
    <row r="17" spans="1:163" s="220" customFormat="1" ht="16" outlineLevel="1" thickBot="1" x14ac:dyDescent="0.4">
      <c r="B17" s="356"/>
      <c r="C17" s="353"/>
      <c r="D17" s="133"/>
      <c r="E17" s="134"/>
      <c r="F17" s="135"/>
      <c r="G17" s="136"/>
      <c r="H17" s="137"/>
      <c r="I17" s="138">
        <f t="shared" si="0"/>
        <v>0</v>
      </c>
      <c r="J17" s="139"/>
      <c r="K17" s="140">
        <f t="shared" si="49"/>
        <v>0</v>
      </c>
      <c r="L17" s="141"/>
      <c r="M17" s="142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2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4"/>
      <c r="AN17" s="145">
        <f t="shared" si="2"/>
        <v>0</v>
      </c>
      <c r="AO17" s="146"/>
      <c r="AP17" s="147">
        <f t="shared" si="3"/>
        <v>0</v>
      </c>
      <c r="AQ17" s="221"/>
      <c r="AR17" s="149"/>
      <c r="AS17" s="149"/>
      <c r="AT17" s="222"/>
      <c r="AU17" s="223"/>
      <c r="AV17" s="224"/>
      <c r="AW17" s="224"/>
      <c r="AX17" s="224"/>
      <c r="AY17" s="224"/>
      <c r="AZ17" s="224"/>
      <c r="BA17" s="224"/>
      <c r="BB17" s="224"/>
      <c r="BC17" s="224"/>
      <c r="BD17" s="224"/>
      <c r="BE17" s="224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3"/>
      <c r="BS17" s="224"/>
      <c r="BT17" s="224"/>
      <c r="BU17" s="224"/>
      <c r="BV17" s="224"/>
      <c r="BW17" s="224"/>
      <c r="BX17" s="224"/>
      <c r="BY17" s="224"/>
      <c r="BZ17" s="224"/>
      <c r="CA17" s="224"/>
      <c r="CB17" s="224"/>
      <c r="CC17" s="226"/>
      <c r="CD17" s="223"/>
      <c r="CE17" s="142"/>
      <c r="CF17" s="143"/>
      <c r="CG17" s="143"/>
      <c r="CH17" s="143"/>
      <c r="CI17" s="143"/>
      <c r="CJ17" s="143"/>
      <c r="CK17" s="143"/>
      <c r="CL17" s="143"/>
      <c r="CM17" s="143"/>
      <c r="CN17" s="143"/>
      <c r="CO17" s="349"/>
      <c r="CP17" s="224"/>
      <c r="CQ17" s="225"/>
      <c r="CR17" s="226"/>
      <c r="CS17" s="227">
        <f t="shared" si="48"/>
        <v>0</v>
      </c>
      <c r="CT17" s="146"/>
      <c r="CU17" s="147">
        <f t="shared" si="4"/>
        <v>0</v>
      </c>
      <c r="CV17" s="156"/>
      <c r="CW17" s="157" t="e">
        <f t="shared" si="5"/>
        <v>#DIV/0!</v>
      </c>
      <c r="CX17" s="157" t="e">
        <f t="shared" si="6"/>
        <v>#DIV/0!</v>
      </c>
      <c r="CY17" s="157" t="e">
        <f t="shared" si="7"/>
        <v>#DIV/0!</v>
      </c>
      <c r="CZ17" s="157" t="e">
        <f t="shared" si="8"/>
        <v>#DIV/0!</v>
      </c>
      <c r="DA17" s="157" t="e">
        <f t="shared" si="9"/>
        <v>#DIV/0!</v>
      </c>
      <c r="DB17" s="158" t="e">
        <f t="shared" si="10"/>
        <v>#DIV/0!</v>
      </c>
      <c r="DC17" s="131"/>
      <c r="DD17" s="159">
        <f t="shared" si="11"/>
        <v>0</v>
      </c>
      <c r="DE17" s="160">
        <f t="shared" si="12"/>
        <v>0</v>
      </c>
      <c r="DF17" s="161">
        <f t="shared" si="13"/>
        <v>0</v>
      </c>
      <c r="DG17" s="162" t="e">
        <f t="shared" si="14"/>
        <v>#DIV/0!</v>
      </c>
      <c r="DH17" s="163">
        <f t="shared" si="15"/>
        <v>0</v>
      </c>
      <c r="DI17" s="164"/>
      <c r="DJ17" s="165">
        <f t="shared" si="16"/>
        <v>0</v>
      </c>
      <c r="DK17" s="166">
        <f t="shared" si="16"/>
        <v>0</v>
      </c>
      <c r="DL17" s="167" t="e">
        <f t="shared" si="17"/>
        <v>#DIV/0!</v>
      </c>
      <c r="DM17" s="168" t="e">
        <f t="shared" si="18"/>
        <v>#DIV/0!</v>
      </c>
      <c r="DN17" s="163" t="e">
        <f t="shared" si="19"/>
        <v>#DIV/0!</v>
      </c>
      <c r="DO17" s="169"/>
      <c r="DP17" s="170"/>
      <c r="DQ17" s="171"/>
      <c r="DR17" s="172">
        <f t="shared" si="20"/>
        <v>0</v>
      </c>
      <c r="DS17" s="173" t="e">
        <f t="shared" si="21"/>
        <v>#DIV/0!</v>
      </c>
      <c r="DT17" s="163" t="e">
        <f t="shared" si="22"/>
        <v>#DIV/0!</v>
      </c>
      <c r="DU17" s="174"/>
      <c r="DV17" s="175" t="e">
        <f t="shared" si="23"/>
        <v>#DIV/0!</v>
      </c>
      <c r="DW17" s="163">
        <f t="shared" si="24"/>
        <v>0</v>
      </c>
      <c r="DX17" s="164"/>
      <c r="DY17" s="176">
        <f t="shared" si="25"/>
        <v>0</v>
      </c>
      <c r="DZ17" s="177">
        <f t="shared" si="26"/>
        <v>0</v>
      </c>
      <c r="EA17" s="178">
        <f t="shared" si="27"/>
        <v>0</v>
      </c>
      <c r="EB17" s="179">
        <f t="shared" si="28"/>
        <v>0</v>
      </c>
      <c r="EC17" s="180"/>
      <c r="ED17" s="175" t="e">
        <f t="shared" si="29"/>
        <v>#DIV/0!</v>
      </c>
      <c r="EE17" s="163">
        <f t="shared" si="30"/>
        <v>0</v>
      </c>
      <c r="EF17" s="164"/>
      <c r="EG17" s="181">
        <f t="shared" si="31"/>
        <v>0</v>
      </c>
      <c r="EH17" s="182">
        <f t="shared" si="32"/>
        <v>0</v>
      </c>
      <c r="EI17" s="182">
        <f t="shared" si="33"/>
        <v>0</v>
      </c>
      <c r="EJ17" s="182">
        <f t="shared" si="34"/>
        <v>0</v>
      </c>
      <c r="EK17" s="183">
        <f t="shared" si="35"/>
        <v>0</v>
      </c>
      <c r="EL17" s="184" t="e">
        <f t="shared" si="36"/>
        <v>#DIV/0!</v>
      </c>
      <c r="EM17" s="185">
        <f t="shared" si="37"/>
        <v>0</v>
      </c>
      <c r="EN17" s="164"/>
      <c r="EO17" s="181">
        <f t="shared" si="38"/>
        <v>0</v>
      </c>
      <c r="EP17" s="183">
        <f t="shared" si="39"/>
        <v>0</v>
      </c>
      <c r="EQ17" s="184" t="e">
        <f t="shared" si="40"/>
        <v>#DIV/0!</v>
      </c>
      <c r="ER17" s="185">
        <f t="shared" si="41"/>
        <v>0</v>
      </c>
      <c r="ES17" s="164"/>
      <c r="ET17" s="164"/>
      <c r="EU17" s="186">
        <f t="shared" si="42"/>
        <v>0</v>
      </c>
      <c r="EV17" s="186">
        <f t="shared" si="43"/>
        <v>0</v>
      </c>
      <c r="EW17" s="186">
        <f t="shared" si="44"/>
        <v>0</v>
      </c>
      <c r="EX17" s="186">
        <f t="shared" si="45"/>
        <v>0</v>
      </c>
      <c r="EY17" s="131"/>
      <c r="EZ17" s="187">
        <f t="shared" si="46"/>
        <v>0</v>
      </c>
      <c r="FA17" s="188" t="e">
        <f t="shared" si="47"/>
        <v>#DIV/0!</v>
      </c>
      <c r="FB17" s="189"/>
      <c r="FC17" s="219"/>
      <c r="FD17" s="219"/>
      <c r="FE17" s="219"/>
      <c r="FF17" s="219"/>
      <c r="FG17" s="219"/>
    </row>
    <row r="18" spans="1:163" s="220" customFormat="1" ht="16" outlineLevel="1" thickBot="1" x14ac:dyDescent="0.4">
      <c r="B18" s="357"/>
      <c r="C18" s="354"/>
      <c r="D18" s="190"/>
      <c r="E18" s="191"/>
      <c r="F18" s="135"/>
      <c r="G18" s="192"/>
      <c r="H18" s="137"/>
      <c r="I18" s="138">
        <f t="shared" si="0"/>
        <v>0</v>
      </c>
      <c r="J18" s="139"/>
      <c r="K18" s="193">
        <f t="shared" si="49"/>
        <v>0</v>
      </c>
      <c r="L18" s="141"/>
      <c r="M18" s="194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4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6"/>
      <c r="AN18" s="197">
        <f>SUM(M18:AM18)</f>
        <v>0</v>
      </c>
      <c r="AO18" s="146"/>
      <c r="AP18" s="147">
        <f>K18-AN18</f>
        <v>0</v>
      </c>
      <c r="AQ18" s="221"/>
      <c r="AR18" s="198"/>
      <c r="AS18" s="198"/>
      <c r="AT18" s="222"/>
      <c r="AU18" s="228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01"/>
      <c r="BR18" s="228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31"/>
      <c r="CD18" s="228"/>
      <c r="CE18" s="194"/>
      <c r="CF18" s="195"/>
      <c r="CG18" s="195"/>
      <c r="CH18" s="195"/>
      <c r="CI18" s="195"/>
      <c r="CJ18" s="195"/>
      <c r="CK18" s="195"/>
      <c r="CL18" s="195"/>
      <c r="CM18" s="195"/>
      <c r="CN18" s="195"/>
      <c r="CO18" s="350"/>
      <c r="CP18" s="229"/>
      <c r="CQ18" s="230"/>
      <c r="CR18" s="231"/>
      <c r="CS18" s="232">
        <f>SUM(AU18:CR18)</f>
        <v>0</v>
      </c>
      <c r="CT18" s="146"/>
      <c r="CU18" s="147">
        <f t="shared" si="4"/>
        <v>0</v>
      </c>
      <c r="CV18" s="156"/>
      <c r="CW18" s="157" t="e">
        <f>(SUM(M18:Z18))/K18</f>
        <v>#DIV/0!</v>
      </c>
      <c r="CX18" s="157" t="e">
        <f>(SUM(AA18:AM18))/K18</f>
        <v>#DIV/0!</v>
      </c>
      <c r="CY18" s="157" t="e">
        <f>(SUM(AU18:BQ18))/$K18</f>
        <v>#DIV/0!</v>
      </c>
      <c r="CZ18" s="157" t="e">
        <f>(SUM(BR18:CC18))/K18</f>
        <v>#DIV/0!</v>
      </c>
      <c r="DA18" s="157" t="e">
        <f t="shared" si="9"/>
        <v>#DIV/0!</v>
      </c>
      <c r="DB18" s="158" t="e">
        <f t="shared" si="10"/>
        <v>#DIV/0!</v>
      </c>
      <c r="DC18" s="131"/>
      <c r="DD18" s="159">
        <f>AP18</f>
        <v>0</v>
      </c>
      <c r="DE18" s="160">
        <f>CS18</f>
        <v>0</v>
      </c>
      <c r="DF18" s="161">
        <f>$DD18-DE18</f>
        <v>0</v>
      </c>
      <c r="DG18" s="162" t="e">
        <f>DF18/$DD18</f>
        <v>#DIV/0!</v>
      </c>
      <c r="DH18" s="163">
        <f>IF(AP18&gt;0.01,1,0)</f>
        <v>0</v>
      </c>
      <c r="DI18" s="164"/>
      <c r="DJ18" s="165">
        <f>H18</f>
        <v>0</v>
      </c>
      <c r="DK18" s="166">
        <f>I18</f>
        <v>0</v>
      </c>
      <c r="DL18" s="167" t="e">
        <f>DR18/DF18</f>
        <v>#DIV/0!</v>
      </c>
      <c r="DM18" s="168" t="e">
        <f>DL18/DK18</f>
        <v>#DIV/0!</v>
      </c>
      <c r="DN18" s="163" t="e">
        <f>IF(DM18&gt;0.01,1,0)</f>
        <v>#DIV/0!</v>
      </c>
      <c r="DO18" s="169"/>
      <c r="DP18" s="170"/>
      <c r="DQ18" s="171"/>
      <c r="DR18" s="172">
        <f>DP18+DQ18</f>
        <v>0</v>
      </c>
      <c r="DS18" s="173" t="e">
        <f>IF(DL18=0,0,DP18/DR18)</f>
        <v>#DIV/0!</v>
      </c>
      <c r="DT18" s="163" t="e">
        <f>IF(DS18&gt;0.01,1,0)</f>
        <v>#DIV/0!</v>
      </c>
      <c r="DU18" s="174"/>
      <c r="DV18" s="175" t="e">
        <f>DG18*DM18*DS18</f>
        <v>#DIV/0!</v>
      </c>
      <c r="DW18" s="163">
        <f t="shared" si="24"/>
        <v>0</v>
      </c>
      <c r="DX18" s="164"/>
      <c r="DY18" s="176">
        <f>DP18</f>
        <v>0</v>
      </c>
      <c r="DZ18" s="177">
        <f>DK18</f>
        <v>0</v>
      </c>
      <c r="EA18" s="178">
        <f>+AP18</f>
        <v>0</v>
      </c>
      <c r="EB18" s="179">
        <f>DZ18*EA18</f>
        <v>0</v>
      </c>
      <c r="EC18" s="180"/>
      <c r="ED18" s="175" t="e">
        <f>DY18/EB18</f>
        <v>#DIV/0!</v>
      </c>
      <c r="EE18" s="163">
        <f t="shared" si="30"/>
        <v>0</v>
      </c>
      <c r="EF18" s="164"/>
      <c r="EG18" s="181">
        <f>DP18</f>
        <v>0</v>
      </c>
      <c r="EH18" s="182">
        <f>K18</f>
        <v>0</v>
      </c>
      <c r="EI18" s="182">
        <f>SUM(M18:Z18)</f>
        <v>0</v>
      </c>
      <c r="EJ18" s="182">
        <f>I18</f>
        <v>0</v>
      </c>
      <c r="EK18" s="183">
        <f>(EH18-EI18)*EJ18</f>
        <v>0</v>
      </c>
      <c r="EL18" s="184" t="e">
        <f>EG18/EK18</f>
        <v>#DIV/0!</v>
      </c>
      <c r="EM18" s="185">
        <f>IF(EK18&gt;0.01,1,0)</f>
        <v>0</v>
      </c>
      <c r="EN18" s="164"/>
      <c r="EO18" s="181">
        <f>EG18</f>
        <v>0</v>
      </c>
      <c r="EP18" s="183">
        <f>EJ18</f>
        <v>0</v>
      </c>
      <c r="EQ18" s="184" t="e">
        <f t="shared" si="40"/>
        <v>#DIV/0!</v>
      </c>
      <c r="ER18" s="185">
        <f t="shared" si="41"/>
        <v>0</v>
      </c>
      <c r="ES18" s="164"/>
      <c r="ET18" s="164"/>
      <c r="EU18" s="186">
        <f>DK18</f>
        <v>0</v>
      </c>
      <c r="EV18" s="186">
        <f>CU18</f>
        <v>0</v>
      </c>
      <c r="EW18" s="186">
        <f t="shared" si="44"/>
        <v>0</v>
      </c>
      <c r="EX18" s="186">
        <f>DR18</f>
        <v>0</v>
      </c>
      <c r="EY18" s="131"/>
      <c r="EZ18" s="187">
        <f>EW18-EX18</f>
        <v>0</v>
      </c>
      <c r="FA18" s="188" t="e">
        <f t="shared" si="47"/>
        <v>#DIV/0!</v>
      </c>
      <c r="FB18" s="189"/>
      <c r="FC18" s="219"/>
      <c r="FD18" s="219"/>
      <c r="FE18" s="219"/>
      <c r="FF18" s="219"/>
      <c r="FG18" s="219"/>
    </row>
    <row r="19" spans="1:163" s="220" customFormat="1" ht="16" outlineLevel="1" thickBot="1" x14ac:dyDescent="0.4">
      <c r="B19" s="358"/>
      <c r="C19" s="355"/>
      <c r="D19" s="204"/>
      <c r="E19" s="205"/>
      <c r="F19" s="135"/>
      <c r="G19" s="206"/>
      <c r="H19" s="207"/>
      <c r="I19" s="138">
        <f t="shared" si="0"/>
        <v>0</v>
      </c>
      <c r="J19" s="139"/>
      <c r="K19" s="208">
        <f t="shared" si="49"/>
        <v>0</v>
      </c>
      <c r="L19" s="141"/>
      <c r="M19" s="209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09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1"/>
      <c r="AN19" s="212">
        <f t="shared" si="2"/>
        <v>0</v>
      </c>
      <c r="AO19" s="146"/>
      <c r="AP19" s="147">
        <f t="shared" si="3"/>
        <v>0</v>
      </c>
      <c r="AQ19" s="221"/>
      <c r="AR19" s="213"/>
      <c r="AS19" s="213"/>
      <c r="AT19" s="222"/>
      <c r="AU19" s="233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5"/>
      <c r="BG19" s="235"/>
      <c r="BH19" s="216"/>
      <c r="BI19" s="235"/>
      <c r="BJ19" s="235"/>
      <c r="BK19" s="235"/>
      <c r="BL19" s="235"/>
      <c r="BM19" s="235"/>
      <c r="BN19" s="235"/>
      <c r="BO19" s="235"/>
      <c r="BP19" s="235"/>
      <c r="BQ19" s="235"/>
      <c r="BR19" s="233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6"/>
      <c r="CD19" s="233"/>
      <c r="CE19" s="209"/>
      <c r="CF19" s="210"/>
      <c r="CG19" s="210"/>
      <c r="CH19" s="210"/>
      <c r="CI19" s="210"/>
      <c r="CJ19" s="210"/>
      <c r="CK19" s="210"/>
      <c r="CL19" s="210"/>
      <c r="CM19" s="210"/>
      <c r="CN19" s="210"/>
      <c r="CO19" s="351"/>
      <c r="CP19" s="234"/>
      <c r="CQ19" s="235"/>
      <c r="CR19" s="236"/>
      <c r="CS19" s="237">
        <f t="shared" si="48"/>
        <v>0</v>
      </c>
      <c r="CT19" s="146"/>
      <c r="CU19" s="147">
        <f t="shared" si="4"/>
        <v>0</v>
      </c>
      <c r="CV19" s="156"/>
      <c r="CW19" s="157" t="e">
        <f t="shared" si="5"/>
        <v>#DIV/0!</v>
      </c>
      <c r="CX19" s="157" t="e">
        <f t="shared" si="6"/>
        <v>#DIV/0!</v>
      </c>
      <c r="CY19" s="157" t="e">
        <f t="shared" si="7"/>
        <v>#DIV/0!</v>
      </c>
      <c r="CZ19" s="157" t="e">
        <f t="shared" si="8"/>
        <v>#DIV/0!</v>
      </c>
      <c r="DA19" s="157" t="e">
        <f t="shared" si="9"/>
        <v>#DIV/0!</v>
      </c>
      <c r="DB19" s="158" t="e">
        <f t="shared" si="10"/>
        <v>#DIV/0!</v>
      </c>
      <c r="DC19" s="131"/>
      <c r="DD19" s="159">
        <f t="shared" si="11"/>
        <v>0</v>
      </c>
      <c r="DE19" s="160">
        <f t="shared" si="12"/>
        <v>0</v>
      </c>
      <c r="DF19" s="161">
        <f t="shared" si="13"/>
        <v>0</v>
      </c>
      <c r="DG19" s="162" t="e">
        <f t="shared" si="14"/>
        <v>#DIV/0!</v>
      </c>
      <c r="DH19" s="163">
        <f t="shared" si="15"/>
        <v>0</v>
      </c>
      <c r="DI19" s="164"/>
      <c r="DJ19" s="165">
        <f t="shared" si="16"/>
        <v>0</v>
      </c>
      <c r="DK19" s="166">
        <f t="shared" si="16"/>
        <v>0</v>
      </c>
      <c r="DL19" s="167" t="e">
        <f t="shared" si="17"/>
        <v>#DIV/0!</v>
      </c>
      <c r="DM19" s="168" t="e">
        <f t="shared" si="18"/>
        <v>#DIV/0!</v>
      </c>
      <c r="DN19" s="163" t="e">
        <f t="shared" si="19"/>
        <v>#DIV/0!</v>
      </c>
      <c r="DO19" s="169"/>
      <c r="DP19" s="170"/>
      <c r="DQ19" s="171"/>
      <c r="DR19" s="172">
        <f t="shared" si="20"/>
        <v>0</v>
      </c>
      <c r="DS19" s="173" t="e">
        <f t="shared" si="21"/>
        <v>#DIV/0!</v>
      </c>
      <c r="DT19" s="163" t="e">
        <f t="shared" si="22"/>
        <v>#DIV/0!</v>
      </c>
      <c r="DU19" s="174"/>
      <c r="DV19" s="175" t="e">
        <f t="shared" si="23"/>
        <v>#DIV/0!</v>
      </c>
      <c r="DW19" s="163">
        <f t="shared" si="24"/>
        <v>0</v>
      </c>
      <c r="DX19" s="164"/>
      <c r="DY19" s="176">
        <f t="shared" si="25"/>
        <v>0</v>
      </c>
      <c r="DZ19" s="177">
        <f t="shared" si="26"/>
        <v>0</v>
      </c>
      <c r="EA19" s="178">
        <f t="shared" si="27"/>
        <v>0</v>
      </c>
      <c r="EB19" s="179">
        <f t="shared" si="28"/>
        <v>0</v>
      </c>
      <c r="EC19" s="180"/>
      <c r="ED19" s="175" t="e">
        <f t="shared" si="29"/>
        <v>#DIV/0!</v>
      </c>
      <c r="EE19" s="163">
        <f t="shared" si="30"/>
        <v>0</v>
      </c>
      <c r="EF19" s="164"/>
      <c r="EG19" s="181">
        <f t="shared" si="31"/>
        <v>0</v>
      </c>
      <c r="EH19" s="182">
        <f t="shared" si="32"/>
        <v>0</v>
      </c>
      <c r="EI19" s="182">
        <f t="shared" si="33"/>
        <v>0</v>
      </c>
      <c r="EJ19" s="182">
        <f t="shared" si="34"/>
        <v>0</v>
      </c>
      <c r="EK19" s="183">
        <f t="shared" si="35"/>
        <v>0</v>
      </c>
      <c r="EL19" s="184" t="e">
        <f t="shared" si="36"/>
        <v>#DIV/0!</v>
      </c>
      <c r="EM19" s="185">
        <f t="shared" si="37"/>
        <v>0</v>
      </c>
      <c r="EN19" s="164"/>
      <c r="EO19" s="181">
        <f t="shared" si="38"/>
        <v>0</v>
      </c>
      <c r="EP19" s="183">
        <f t="shared" si="39"/>
        <v>0</v>
      </c>
      <c r="EQ19" s="184" t="e">
        <f t="shared" si="40"/>
        <v>#DIV/0!</v>
      </c>
      <c r="ER19" s="185">
        <f t="shared" si="41"/>
        <v>0</v>
      </c>
      <c r="ES19" s="164"/>
      <c r="ET19" s="164"/>
      <c r="EU19" s="186">
        <f t="shared" si="42"/>
        <v>0</v>
      </c>
      <c r="EV19" s="186">
        <f t="shared" si="43"/>
        <v>0</v>
      </c>
      <c r="EW19" s="186">
        <f t="shared" si="44"/>
        <v>0</v>
      </c>
      <c r="EX19" s="186">
        <f t="shared" si="45"/>
        <v>0</v>
      </c>
      <c r="EY19" s="131"/>
      <c r="EZ19" s="187">
        <f t="shared" si="46"/>
        <v>0</v>
      </c>
      <c r="FA19" s="188" t="e">
        <f t="shared" si="47"/>
        <v>#DIV/0!</v>
      </c>
      <c r="FB19" s="189"/>
      <c r="FC19" s="131"/>
      <c r="FD19" s="131"/>
      <c r="FE19" s="219"/>
      <c r="FF19" s="219"/>
      <c r="FG19" s="219"/>
    </row>
    <row r="20" spans="1:163" ht="16" outlineLevel="1" thickBot="1" x14ac:dyDescent="0.4">
      <c r="B20" s="356"/>
      <c r="C20" s="353"/>
      <c r="D20" s="133"/>
      <c r="E20" s="134"/>
      <c r="F20" s="135"/>
      <c r="G20" s="136"/>
      <c r="H20" s="137"/>
      <c r="I20" s="138">
        <f t="shared" si="0"/>
        <v>0</v>
      </c>
      <c r="J20" s="139"/>
      <c r="K20" s="140">
        <f t="shared" si="49"/>
        <v>0</v>
      </c>
      <c r="L20" s="141"/>
      <c r="M20" s="142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2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4"/>
      <c r="AN20" s="145">
        <f t="shared" si="2"/>
        <v>0</v>
      </c>
      <c r="AO20" s="146"/>
      <c r="AP20" s="147">
        <f t="shared" si="3"/>
        <v>0</v>
      </c>
      <c r="AQ20" s="148"/>
      <c r="AR20" s="149"/>
      <c r="AS20" s="149"/>
      <c r="AT20" s="135"/>
      <c r="AU20" s="150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0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4"/>
      <c r="CD20" s="150"/>
      <c r="CE20" s="142"/>
      <c r="CF20" s="143"/>
      <c r="CG20" s="143"/>
      <c r="CH20" s="143"/>
      <c r="CI20" s="143"/>
      <c r="CJ20" s="143"/>
      <c r="CK20" s="143"/>
      <c r="CL20" s="143"/>
      <c r="CM20" s="143"/>
      <c r="CN20" s="143"/>
      <c r="CO20" s="346"/>
      <c r="CP20" s="151"/>
      <c r="CQ20" s="152"/>
      <c r="CR20" s="154"/>
      <c r="CS20" s="155">
        <f t="shared" si="48"/>
        <v>0</v>
      </c>
      <c r="CT20" s="146"/>
      <c r="CU20" s="147">
        <f t="shared" si="4"/>
        <v>0</v>
      </c>
      <c r="CV20" s="156"/>
      <c r="CW20" s="157" t="e">
        <f t="shared" si="5"/>
        <v>#DIV/0!</v>
      </c>
      <c r="CX20" s="157" t="e">
        <f t="shared" si="6"/>
        <v>#DIV/0!</v>
      </c>
      <c r="CY20" s="157" t="e">
        <f t="shared" si="7"/>
        <v>#DIV/0!</v>
      </c>
      <c r="CZ20" s="157" t="e">
        <f t="shared" si="8"/>
        <v>#DIV/0!</v>
      </c>
      <c r="DA20" s="157" t="e">
        <f t="shared" si="9"/>
        <v>#DIV/0!</v>
      </c>
      <c r="DB20" s="158" t="e">
        <f t="shared" si="10"/>
        <v>#DIV/0!</v>
      </c>
      <c r="DC20" s="131"/>
      <c r="DD20" s="159">
        <f t="shared" si="11"/>
        <v>0</v>
      </c>
      <c r="DE20" s="160">
        <f t="shared" si="12"/>
        <v>0</v>
      </c>
      <c r="DF20" s="161">
        <f t="shared" si="13"/>
        <v>0</v>
      </c>
      <c r="DG20" s="162" t="e">
        <f t="shared" si="14"/>
        <v>#DIV/0!</v>
      </c>
      <c r="DH20" s="163">
        <f t="shared" si="15"/>
        <v>0</v>
      </c>
      <c r="DI20" s="164"/>
      <c r="DJ20" s="165">
        <f t="shared" si="16"/>
        <v>0</v>
      </c>
      <c r="DK20" s="166">
        <f t="shared" si="16"/>
        <v>0</v>
      </c>
      <c r="DL20" s="167" t="e">
        <f t="shared" si="17"/>
        <v>#DIV/0!</v>
      </c>
      <c r="DM20" s="168" t="e">
        <f t="shared" si="18"/>
        <v>#DIV/0!</v>
      </c>
      <c r="DN20" s="163" t="e">
        <f t="shared" si="19"/>
        <v>#DIV/0!</v>
      </c>
      <c r="DO20" s="169"/>
      <c r="DP20" s="170"/>
      <c r="DQ20" s="171"/>
      <c r="DR20" s="172">
        <f t="shared" si="20"/>
        <v>0</v>
      </c>
      <c r="DS20" s="173" t="e">
        <f t="shared" si="21"/>
        <v>#DIV/0!</v>
      </c>
      <c r="DT20" s="163" t="e">
        <f t="shared" si="22"/>
        <v>#DIV/0!</v>
      </c>
      <c r="DU20" s="174"/>
      <c r="DV20" s="175" t="e">
        <f t="shared" si="23"/>
        <v>#DIV/0!</v>
      </c>
      <c r="DW20" s="163">
        <f t="shared" si="24"/>
        <v>0</v>
      </c>
      <c r="DX20" s="164"/>
      <c r="DY20" s="176">
        <f t="shared" si="25"/>
        <v>0</v>
      </c>
      <c r="DZ20" s="177">
        <f t="shared" si="26"/>
        <v>0</v>
      </c>
      <c r="EA20" s="178">
        <f t="shared" si="27"/>
        <v>0</v>
      </c>
      <c r="EB20" s="179">
        <f t="shared" si="28"/>
        <v>0</v>
      </c>
      <c r="EC20" s="180"/>
      <c r="ED20" s="175" t="e">
        <f t="shared" si="29"/>
        <v>#DIV/0!</v>
      </c>
      <c r="EE20" s="163">
        <f t="shared" si="30"/>
        <v>0</v>
      </c>
      <c r="EF20" s="164"/>
      <c r="EG20" s="181">
        <f t="shared" si="31"/>
        <v>0</v>
      </c>
      <c r="EH20" s="182">
        <f t="shared" si="32"/>
        <v>0</v>
      </c>
      <c r="EI20" s="182">
        <f t="shared" si="33"/>
        <v>0</v>
      </c>
      <c r="EJ20" s="182">
        <f t="shared" si="34"/>
        <v>0</v>
      </c>
      <c r="EK20" s="183">
        <f t="shared" si="35"/>
        <v>0</v>
      </c>
      <c r="EL20" s="184" t="e">
        <f t="shared" si="36"/>
        <v>#DIV/0!</v>
      </c>
      <c r="EM20" s="185">
        <f t="shared" si="37"/>
        <v>0</v>
      </c>
      <c r="EN20" s="164"/>
      <c r="EO20" s="181">
        <f t="shared" si="38"/>
        <v>0</v>
      </c>
      <c r="EP20" s="183">
        <f t="shared" si="39"/>
        <v>0</v>
      </c>
      <c r="EQ20" s="184" t="e">
        <f t="shared" si="40"/>
        <v>#DIV/0!</v>
      </c>
      <c r="ER20" s="185">
        <f t="shared" si="41"/>
        <v>0</v>
      </c>
      <c r="ES20" s="164"/>
      <c r="ET20" s="164"/>
      <c r="EU20" s="186">
        <f t="shared" si="42"/>
        <v>0</v>
      </c>
      <c r="EV20" s="186">
        <f t="shared" si="43"/>
        <v>0</v>
      </c>
      <c r="EW20" s="186">
        <f t="shared" si="44"/>
        <v>0</v>
      </c>
      <c r="EX20" s="186">
        <f t="shared" si="45"/>
        <v>0</v>
      </c>
      <c r="EY20" s="131"/>
      <c r="EZ20" s="187">
        <f t="shared" si="46"/>
        <v>0</v>
      </c>
      <c r="FA20" s="188" t="e">
        <f t="shared" si="47"/>
        <v>#DIV/0!</v>
      </c>
      <c r="FB20" s="189"/>
      <c r="FC20" s="131"/>
      <c r="FD20" s="131"/>
      <c r="FE20" s="131"/>
      <c r="FF20" s="131"/>
      <c r="FG20" s="131"/>
    </row>
    <row r="21" spans="1:163" ht="16" outlineLevel="1" thickBot="1" x14ac:dyDescent="0.4">
      <c r="B21" s="357"/>
      <c r="C21" s="354"/>
      <c r="D21" s="190"/>
      <c r="E21" s="191"/>
      <c r="F21" s="135"/>
      <c r="G21" s="192"/>
      <c r="H21" s="137"/>
      <c r="I21" s="138">
        <f t="shared" si="0"/>
        <v>0</v>
      </c>
      <c r="J21" s="139"/>
      <c r="K21" s="193">
        <f t="shared" si="49"/>
        <v>0</v>
      </c>
      <c r="L21" s="141"/>
      <c r="M21" s="194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4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6"/>
      <c r="AN21" s="197">
        <f t="shared" si="2"/>
        <v>0</v>
      </c>
      <c r="AO21" s="146"/>
      <c r="AP21" s="147">
        <f t="shared" si="3"/>
        <v>0</v>
      </c>
      <c r="AQ21" s="148"/>
      <c r="AR21" s="198"/>
      <c r="AS21" s="198"/>
      <c r="AT21" s="135"/>
      <c r="AU21" s="199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199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2"/>
      <c r="CD21" s="199"/>
      <c r="CE21" s="194"/>
      <c r="CF21" s="195"/>
      <c r="CG21" s="195"/>
      <c r="CH21" s="195"/>
      <c r="CI21" s="195"/>
      <c r="CJ21" s="195"/>
      <c r="CK21" s="195"/>
      <c r="CL21" s="195"/>
      <c r="CM21" s="195"/>
      <c r="CN21" s="195"/>
      <c r="CO21" s="347"/>
      <c r="CP21" s="200"/>
      <c r="CQ21" s="201"/>
      <c r="CR21" s="202"/>
      <c r="CS21" s="203">
        <f t="shared" si="48"/>
        <v>0</v>
      </c>
      <c r="CT21" s="146"/>
      <c r="CU21" s="147">
        <f t="shared" si="4"/>
        <v>0</v>
      </c>
      <c r="CV21" s="156"/>
      <c r="CW21" s="157" t="e">
        <f t="shared" si="5"/>
        <v>#DIV/0!</v>
      </c>
      <c r="CX21" s="157" t="e">
        <f t="shared" si="6"/>
        <v>#DIV/0!</v>
      </c>
      <c r="CY21" s="157" t="e">
        <f t="shared" si="7"/>
        <v>#DIV/0!</v>
      </c>
      <c r="CZ21" s="157" t="e">
        <f t="shared" si="8"/>
        <v>#DIV/0!</v>
      </c>
      <c r="DA21" s="157" t="e">
        <f t="shared" si="9"/>
        <v>#DIV/0!</v>
      </c>
      <c r="DB21" s="158" t="e">
        <f t="shared" si="10"/>
        <v>#DIV/0!</v>
      </c>
      <c r="DC21" s="131"/>
      <c r="DD21" s="159">
        <f t="shared" si="11"/>
        <v>0</v>
      </c>
      <c r="DE21" s="160">
        <f t="shared" si="12"/>
        <v>0</v>
      </c>
      <c r="DF21" s="161">
        <f t="shared" si="13"/>
        <v>0</v>
      </c>
      <c r="DG21" s="162" t="e">
        <f t="shared" si="14"/>
        <v>#DIV/0!</v>
      </c>
      <c r="DH21" s="163">
        <f t="shared" si="15"/>
        <v>0</v>
      </c>
      <c r="DI21" s="164"/>
      <c r="DJ21" s="165">
        <f t="shared" si="16"/>
        <v>0</v>
      </c>
      <c r="DK21" s="166">
        <f t="shared" si="16"/>
        <v>0</v>
      </c>
      <c r="DL21" s="167" t="e">
        <f t="shared" si="17"/>
        <v>#DIV/0!</v>
      </c>
      <c r="DM21" s="168" t="e">
        <f t="shared" si="18"/>
        <v>#DIV/0!</v>
      </c>
      <c r="DN21" s="163" t="e">
        <f t="shared" si="19"/>
        <v>#DIV/0!</v>
      </c>
      <c r="DO21" s="169"/>
      <c r="DP21" s="170"/>
      <c r="DQ21" s="171"/>
      <c r="DR21" s="172">
        <f t="shared" si="20"/>
        <v>0</v>
      </c>
      <c r="DS21" s="173" t="e">
        <f t="shared" si="21"/>
        <v>#DIV/0!</v>
      </c>
      <c r="DT21" s="163" t="e">
        <f t="shared" si="22"/>
        <v>#DIV/0!</v>
      </c>
      <c r="DU21" s="174"/>
      <c r="DV21" s="175" t="e">
        <f t="shared" si="23"/>
        <v>#DIV/0!</v>
      </c>
      <c r="DW21" s="163">
        <f t="shared" si="24"/>
        <v>0</v>
      </c>
      <c r="DX21" s="164"/>
      <c r="DY21" s="176">
        <f t="shared" si="25"/>
        <v>0</v>
      </c>
      <c r="DZ21" s="177">
        <f t="shared" si="26"/>
        <v>0</v>
      </c>
      <c r="EA21" s="178">
        <f t="shared" si="27"/>
        <v>0</v>
      </c>
      <c r="EB21" s="179">
        <f t="shared" si="28"/>
        <v>0</v>
      </c>
      <c r="EC21" s="180"/>
      <c r="ED21" s="175" t="e">
        <f t="shared" si="29"/>
        <v>#DIV/0!</v>
      </c>
      <c r="EE21" s="163">
        <f t="shared" si="30"/>
        <v>0</v>
      </c>
      <c r="EF21" s="164"/>
      <c r="EG21" s="181">
        <f t="shared" si="31"/>
        <v>0</v>
      </c>
      <c r="EH21" s="182">
        <f t="shared" si="32"/>
        <v>0</v>
      </c>
      <c r="EI21" s="182">
        <f t="shared" si="33"/>
        <v>0</v>
      </c>
      <c r="EJ21" s="182">
        <f t="shared" si="34"/>
        <v>0</v>
      </c>
      <c r="EK21" s="183">
        <f t="shared" si="35"/>
        <v>0</v>
      </c>
      <c r="EL21" s="184" t="e">
        <f t="shared" si="36"/>
        <v>#DIV/0!</v>
      </c>
      <c r="EM21" s="185">
        <f t="shared" si="37"/>
        <v>0</v>
      </c>
      <c r="EN21" s="164"/>
      <c r="EO21" s="181">
        <f t="shared" si="38"/>
        <v>0</v>
      </c>
      <c r="EP21" s="183">
        <f t="shared" si="39"/>
        <v>0</v>
      </c>
      <c r="EQ21" s="184" t="e">
        <f t="shared" si="40"/>
        <v>#DIV/0!</v>
      </c>
      <c r="ER21" s="185">
        <f t="shared" si="41"/>
        <v>0</v>
      </c>
      <c r="ES21" s="164"/>
      <c r="ET21" s="164"/>
      <c r="EU21" s="186">
        <f t="shared" si="42"/>
        <v>0</v>
      </c>
      <c r="EV21" s="186">
        <f t="shared" si="43"/>
        <v>0</v>
      </c>
      <c r="EW21" s="186">
        <f t="shared" si="44"/>
        <v>0</v>
      </c>
      <c r="EX21" s="186">
        <f t="shared" si="45"/>
        <v>0</v>
      </c>
      <c r="EY21" s="131"/>
      <c r="EZ21" s="187">
        <f t="shared" si="46"/>
        <v>0</v>
      </c>
      <c r="FA21" s="188" t="e">
        <f t="shared" si="47"/>
        <v>#DIV/0!</v>
      </c>
      <c r="FB21" s="189"/>
      <c r="FC21" s="131"/>
      <c r="FD21" s="131"/>
      <c r="FE21" s="131"/>
      <c r="FF21" s="131"/>
      <c r="FG21" s="131"/>
    </row>
    <row r="22" spans="1:163" ht="16" outlineLevel="1" thickBot="1" x14ac:dyDescent="0.4">
      <c r="B22" s="358"/>
      <c r="C22" s="355"/>
      <c r="D22" s="204"/>
      <c r="E22" s="205"/>
      <c r="F22" s="135"/>
      <c r="G22" s="206"/>
      <c r="H22" s="207"/>
      <c r="I22" s="138">
        <f t="shared" si="0"/>
        <v>0</v>
      </c>
      <c r="J22" s="139"/>
      <c r="K22" s="208">
        <f t="shared" si="49"/>
        <v>0</v>
      </c>
      <c r="L22" s="141"/>
      <c r="M22" s="209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09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1"/>
      <c r="AN22" s="212">
        <f t="shared" si="2"/>
        <v>0</v>
      </c>
      <c r="AO22" s="146"/>
      <c r="AP22" s="147">
        <f t="shared" si="3"/>
        <v>0</v>
      </c>
      <c r="AQ22" s="148"/>
      <c r="AR22" s="213"/>
      <c r="AS22" s="213"/>
      <c r="AT22" s="135"/>
      <c r="AU22" s="214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4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7"/>
      <c r="CD22" s="214"/>
      <c r="CE22" s="209"/>
      <c r="CF22" s="210"/>
      <c r="CG22" s="210"/>
      <c r="CH22" s="210"/>
      <c r="CI22" s="210"/>
      <c r="CJ22" s="210"/>
      <c r="CK22" s="210"/>
      <c r="CL22" s="210"/>
      <c r="CM22" s="210"/>
      <c r="CN22" s="210"/>
      <c r="CO22" s="348"/>
      <c r="CP22" s="215"/>
      <c r="CQ22" s="216"/>
      <c r="CR22" s="217"/>
      <c r="CS22" s="218">
        <f t="shared" si="48"/>
        <v>0</v>
      </c>
      <c r="CT22" s="146"/>
      <c r="CU22" s="147">
        <f t="shared" si="4"/>
        <v>0</v>
      </c>
      <c r="CV22" s="156"/>
      <c r="CW22" s="157" t="e">
        <f t="shared" si="5"/>
        <v>#DIV/0!</v>
      </c>
      <c r="CX22" s="157" t="e">
        <f t="shared" si="6"/>
        <v>#DIV/0!</v>
      </c>
      <c r="CY22" s="157" t="e">
        <f t="shared" si="7"/>
        <v>#DIV/0!</v>
      </c>
      <c r="CZ22" s="157" t="e">
        <f t="shared" si="8"/>
        <v>#DIV/0!</v>
      </c>
      <c r="DA22" s="157" t="e">
        <f t="shared" si="9"/>
        <v>#DIV/0!</v>
      </c>
      <c r="DB22" s="158" t="e">
        <f t="shared" si="10"/>
        <v>#DIV/0!</v>
      </c>
      <c r="DC22" s="131"/>
      <c r="DD22" s="159">
        <f t="shared" si="11"/>
        <v>0</v>
      </c>
      <c r="DE22" s="160">
        <f t="shared" si="12"/>
        <v>0</v>
      </c>
      <c r="DF22" s="161">
        <f t="shared" si="13"/>
        <v>0</v>
      </c>
      <c r="DG22" s="162" t="e">
        <f t="shared" si="14"/>
        <v>#DIV/0!</v>
      </c>
      <c r="DH22" s="163">
        <f t="shared" si="15"/>
        <v>0</v>
      </c>
      <c r="DI22" s="164"/>
      <c r="DJ22" s="165">
        <f t="shared" si="16"/>
        <v>0</v>
      </c>
      <c r="DK22" s="166">
        <f t="shared" si="16"/>
        <v>0</v>
      </c>
      <c r="DL22" s="167" t="e">
        <f t="shared" si="17"/>
        <v>#DIV/0!</v>
      </c>
      <c r="DM22" s="168" t="e">
        <f t="shared" si="18"/>
        <v>#DIV/0!</v>
      </c>
      <c r="DN22" s="163" t="e">
        <f t="shared" si="19"/>
        <v>#DIV/0!</v>
      </c>
      <c r="DO22" s="169"/>
      <c r="DP22" s="170"/>
      <c r="DQ22" s="171"/>
      <c r="DR22" s="172">
        <f t="shared" si="20"/>
        <v>0</v>
      </c>
      <c r="DS22" s="173" t="e">
        <f t="shared" si="21"/>
        <v>#DIV/0!</v>
      </c>
      <c r="DT22" s="163" t="e">
        <f t="shared" si="22"/>
        <v>#DIV/0!</v>
      </c>
      <c r="DU22" s="174"/>
      <c r="DV22" s="175" t="e">
        <f t="shared" si="23"/>
        <v>#DIV/0!</v>
      </c>
      <c r="DW22" s="163">
        <f t="shared" si="24"/>
        <v>0</v>
      </c>
      <c r="DX22" s="164"/>
      <c r="DY22" s="176">
        <f t="shared" si="25"/>
        <v>0</v>
      </c>
      <c r="DZ22" s="177">
        <f t="shared" si="26"/>
        <v>0</v>
      </c>
      <c r="EA22" s="178">
        <f t="shared" si="27"/>
        <v>0</v>
      </c>
      <c r="EB22" s="179">
        <f t="shared" si="28"/>
        <v>0</v>
      </c>
      <c r="EC22" s="180"/>
      <c r="ED22" s="175" t="e">
        <f t="shared" si="29"/>
        <v>#DIV/0!</v>
      </c>
      <c r="EE22" s="163">
        <f t="shared" si="30"/>
        <v>0</v>
      </c>
      <c r="EF22" s="164"/>
      <c r="EG22" s="181">
        <f t="shared" si="31"/>
        <v>0</v>
      </c>
      <c r="EH22" s="182">
        <f t="shared" si="32"/>
        <v>0</v>
      </c>
      <c r="EI22" s="182">
        <f t="shared" si="33"/>
        <v>0</v>
      </c>
      <c r="EJ22" s="182">
        <f t="shared" si="34"/>
        <v>0</v>
      </c>
      <c r="EK22" s="183">
        <f t="shared" si="35"/>
        <v>0</v>
      </c>
      <c r="EL22" s="184" t="e">
        <f t="shared" si="36"/>
        <v>#DIV/0!</v>
      </c>
      <c r="EM22" s="185">
        <f t="shared" si="37"/>
        <v>0</v>
      </c>
      <c r="EN22" s="164"/>
      <c r="EO22" s="181">
        <f t="shared" si="38"/>
        <v>0</v>
      </c>
      <c r="EP22" s="183">
        <f t="shared" si="39"/>
        <v>0</v>
      </c>
      <c r="EQ22" s="184" t="e">
        <f t="shared" si="40"/>
        <v>#DIV/0!</v>
      </c>
      <c r="ER22" s="185">
        <f t="shared" si="41"/>
        <v>0</v>
      </c>
      <c r="ES22" s="164"/>
      <c r="ET22" s="164"/>
      <c r="EU22" s="186">
        <f t="shared" si="42"/>
        <v>0</v>
      </c>
      <c r="EV22" s="186">
        <f t="shared" si="43"/>
        <v>0</v>
      </c>
      <c r="EW22" s="186">
        <f t="shared" si="44"/>
        <v>0</v>
      </c>
      <c r="EX22" s="186">
        <f t="shared" si="45"/>
        <v>0</v>
      </c>
      <c r="EY22" s="131"/>
      <c r="EZ22" s="187">
        <f t="shared" si="46"/>
        <v>0</v>
      </c>
      <c r="FA22" s="188" t="e">
        <f t="shared" si="47"/>
        <v>#DIV/0!</v>
      </c>
      <c r="FB22" s="189"/>
      <c r="FC22" s="131"/>
      <c r="FD22" s="131"/>
      <c r="FE22" s="131"/>
      <c r="FF22" s="131"/>
      <c r="FG22" s="131"/>
    </row>
    <row r="23" spans="1:163" s="169" customFormat="1" ht="16" outlineLevel="1" thickBot="1" x14ac:dyDescent="0.4">
      <c r="B23" s="356"/>
      <c r="C23" s="353"/>
      <c r="D23" s="133"/>
      <c r="E23" s="134"/>
      <c r="F23" s="135"/>
      <c r="G23" s="136"/>
      <c r="H23" s="137"/>
      <c r="I23" s="138">
        <f>IF(E23&gt;0.0001,9.4,0)</f>
        <v>0</v>
      </c>
      <c r="J23" s="139"/>
      <c r="K23" s="140">
        <f t="shared" si="49"/>
        <v>0</v>
      </c>
      <c r="L23" s="141"/>
      <c r="M23" s="142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2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4"/>
      <c r="AN23" s="145">
        <f t="shared" si="2"/>
        <v>0</v>
      </c>
      <c r="AO23" s="146"/>
      <c r="AP23" s="147">
        <f t="shared" si="3"/>
        <v>0</v>
      </c>
      <c r="AQ23" s="148"/>
      <c r="AR23" s="149"/>
      <c r="AS23" s="149"/>
      <c r="AT23" s="135"/>
      <c r="AU23" s="150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0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4"/>
      <c r="CD23" s="150"/>
      <c r="CE23" s="142"/>
      <c r="CF23" s="143"/>
      <c r="CG23" s="143"/>
      <c r="CH23" s="143"/>
      <c r="CI23" s="143"/>
      <c r="CJ23" s="143"/>
      <c r="CK23" s="143"/>
      <c r="CL23" s="143"/>
      <c r="CM23" s="143"/>
      <c r="CN23" s="143"/>
      <c r="CO23" s="346"/>
      <c r="CP23" s="151"/>
      <c r="CQ23" s="152"/>
      <c r="CR23" s="154"/>
      <c r="CS23" s="155">
        <f t="shared" si="48"/>
        <v>0</v>
      </c>
      <c r="CT23" s="146"/>
      <c r="CU23" s="147">
        <f t="shared" si="4"/>
        <v>0</v>
      </c>
      <c r="CV23" s="156"/>
      <c r="CW23" s="157" t="e">
        <f t="shared" si="5"/>
        <v>#DIV/0!</v>
      </c>
      <c r="CX23" s="157" t="e">
        <f t="shared" si="6"/>
        <v>#DIV/0!</v>
      </c>
      <c r="CY23" s="157" t="e">
        <f t="shared" si="7"/>
        <v>#DIV/0!</v>
      </c>
      <c r="CZ23" s="157" t="e">
        <f t="shared" si="8"/>
        <v>#DIV/0!</v>
      </c>
      <c r="DA23" s="157" t="e">
        <f t="shared" si="9"/>
        <v>#DIV/0!</v>
      </c>
      <c r="DB23" s="158" t="e">
        <f t="shared" si="10"/>
        <v>#DIV/0!</v>
      </c>
      <c r="DC23" s="131"/>
      <c r="DD23" s="159">
        <f t="shared" si="11"/>
        <v>0</v>
      </c>
      <c r="DE23" s="160">
        <f t="shared" si="12"/>
        <v>0</v>
      </c>
      <c r="DF23" s="161">
        <f t="shared" si="13"/>
        <v>0</v>
      </c>
      <c r="DG23" s="162" t="e">
        <f t="shared" si="14"/>
        <v>#DIV/0!</v>
      </c>
      <c r="DH23" s="163">
        <f t="shared" si="15"/>
        <v>0</v>
      </c>
      <c r="DI23" s="164"/>
      <c r="DJ23" s="165">
        <f t="shared" si="16"/>
        <v>0</v>
      </c>
      <c r="DK23" s="166">
        <f t="shared" si="16"/>
        <v>0</v>
      </c>
      <c r="DL23" s="167" t="e">
        <f t="shared" si="17"/>
        <v>#DIV/0!</v>
      </c>
      <c r="DM23" s="168" t="e">
        <f t="shared" si="18"/>
        <v>#DIV/0!</v>
      </c>
      <c r="DN23" s="163" t="e">
        <f t="shared" si="19"/>
        <v>#DIV/0!</v>
      </c>
      <c r="DP23" s="170"/>
      <c r="DQ23" s="171"/>
      <c r="DR23" s="172">
        <f t="shared" si="20"/>
        <v>0</v>
      </c>
      <c r="DS23" s="173" t="e">
        <f t="shared" si="21"/>
        <v>#DIV/0!</v>
      </c>
      <c r="DT23" s="163" t="e">
        <f t="shared" si="22"/>
        <v>#DIV/0!</v>
      </c>
      <c r="DU23" s="174"/>
      <c r="DV23" s="175" t="e">
        <f t="shared" si="23"/>
        <v>#DIV/0!</v>
      </c>
      <c r="DW23" s="163">
        <f t="shared" si="24"/>
        <v>0</v>
      </c>
      <c r="DX23" s="164"/>
      <c r="DY23" s="176">
        <f t="shared" si="25"/>
        <v>0</v>
      </c>
      <c r="DZ23" s="177">
        <f t="shared" si="26"/>
        <v>0</v>
      </c>
      <c r="EA23" s="178">
        <f t="shared" si="27"/>
        <v>0</v>
      </c>
      <c r="EB23" s="179">
        <f t="shared" si="28"/>
        <v>0</v>
      </c>
      <c r="EC23" s="180"/>
      <c r="ED23" s="175" t="e">
        <f t="shared" si="29"/>
        <v>#DIV/0!</v>
      </c>
      <c r="EE23" s="163">
        <f t="shared" si="30"/>
        <v>0</v>
      </c>
      <c r="EF23" s="164"/>
      <c r="EG23" s="181">
        <f t="shared" si="31"/>
        <v>0</v>
      </c>
      <c r="EH23" s="182">
        <f t="shared" si="32"/>
        <v>0</v>
      </c>
      <c r="EI23" s="182">
        <f t="shared" si="33"/>
        <v>0</v>
      </c>
      <c r="EJ23" s="182">
        <f t="shared" si="34"/>
        <v>0</v>
      </c>
      <c r="EK23" s="183">
        <f t="shared" si="35"/>
        <v>0</v>
      </c>
      <c r="EL23" s="184" t="e">
        <f t="shared" si="36"/>
        <v>#DIV/0!</v>
      </c>
      <c r="EM23" s="185">
        <f t="shared" si="37"/>
        <v>0</v>
      </c>
      <c r="EN23" s="164"/>
      <c r="EO23" s="181">
        <f t="shared" si="38"/>
        <v>0</v>
      </c>
      <c r="EP23" s="183">
        <f t="shared" si="39"/>
        <v>0</v>
      </c>
      <c r="EQ23" s="184" t="e">
        <f t="shared" si="40"/>
        <v>#DIV/0!</v>
      </c>
      <c r="ER23" s="185">
        <f t="shared" si="41"/>
        <v>0</v>
      </c>
      <c r="ES23" s="164"/>
      <c r="ET23" s="164"/>
      <c r="EU23" s="186">
        <f t="shared" si="42"/>
        <v>0</v>
      </c>
      <c r="EV23" s="186">
        <f t="shared" si="43"/>
        <v>0</v>
      </c>
      <c r="EW23" s="186">
        <f t="shared" si="44"/>
        <v>0</v>
      </c>
      <c r="EX23" s="186">
        <f t="shared" si="45"/>
        <v>0</v>
      </c>
      <c r="EY23" s="131"/>
      <c r="EZ23" s="187">
        <f t="shared" si="46"/>
        <v>0</v>
      </c>
      <c r="FA23" s="188" t="e">
        <f t="shared" si="47"/>
        <v>#DIV/0!</v>
      </c>
      <c r="FB23" s="189"/>
      <c r="FC23" s="131"/>
      <c r="FD23" s="131"/>
      <c r="FE23" s="131"/>
      <c r="FF23" s="131"/>
      <c r="FG23" s="131"/>
    </row>
    <row r="24" spans="1:163" ht="16" outlineLevel="1" thickBot="1" x14ac:dyDescent="0.4">
      <c r="B24" s="357"/>
      <c r="C24" s="354"/>
      <c r="D24" s="190"/>
      <c r="E24" s="191"/>
      <c r="F24" s="135"/>
      <c r="G24" s="192"/>
      <c r="H24" s="137"/>
      <c r="I24" s="138">
        <f t="shared" si="0"/>
        <v>0</v>
      </c>
      <c r="J24" s="139"/>
      <c r="K24" s="193">
        <f t="shared" si="49"/>
        <v>0</v>
      </c>
      <c r="L24" s="141"/>
      <c r="M24" s="194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4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6"/>
      <c r="AN24" s="197">
        <f t="shared" si="2"/>
        <v>0</v>
      </c>
      <c r="AO24" s="146"/>
      <c r="AP24" s="147">
        <f>K24-AN24</f>
        <v>0</v>
      </c>
      <c r="AQ24" s="148"/>
      <c r="AR24" s="198"/>
      <c r="AS24" s="198"/>
      <c r="AT24" s="135"/>
      <c r="AU24" s="199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1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199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2"/>
      <c r="CD24" s="199"/>
      <c r="CE24" s="194"/>
      <c r="CF24" s="195"/>
      <c r="CG24" s="195"/>
      <c r="CH24" s="195"/>
      <c r="CI24" s="195"/>
      <c r="CJ24" s="195"/>
      <c r="CK24" s="195"/>
      <c r="CL24" s="195"/>
      <c r="CM24" s="195"/>
      <c r="CN24" s="195"/>
      <c r="CO24" s="347"/>
      <c r="CP24" s="200"/>
      <c r="CQ24" s="201"/>
      <c r="CR24" s="202"/>
      <c r="CS24" s="203">
        <f>SUM(AU24:CR24)</f>
        <v>0</v>
      </c>
      <c r="CT24" s="146"/>
      <c r="CU24" s="147">
        <f t="shared" si="4"/>
        <v>0</v>
      </c>
      <c r="CV24" s="156"/>
      <c r="CW24" s="157" t="e">
        <f>(SUM(M24:Z24))/K24</f>
        <v>#DIV/0!</v>
      </c>
      <c r="CX24" s="157" t="e">
        <f>(SUM(AA24:AM24))/K24</f>
        <v>#DIV/0!</v>
      </c>
      <c r="CY24" s="157" t="e">
        <f>(SUM(AU24:BQ24))/$K24</f>
        <v>#DIV/0!</v>
      </c>
      <c r="CZ24" s="157" t="e">
        <f>(SUM(BR24:CC24))/K24</f>
        <v>#DIV/0!</v>
      </c>
      <c r="DA24" s="157" t="e">
        <f t="shared" si="9"/>
        <v>#DIV/0!</v>
      </c>
      <c r="DB24" s="158" t="e">
        <f t="shared" si="10"/>
        <v>#DIV/0!</v>
      </c>
      <c r="DC24" s="131"/>
      <c r="DD24" s="159">
        <f>AP24</f>
        <v>0</v>
      </c>
      <c r="DE24" s="160">
        <f>CS24</f>
        <v>0</v>
      </c>
      <c r="DF24" s="161">
        <f>$DD24-DE24</f>
        <v>0</v>
      </c>
      <c r="DG24" s="162" t="e">
        <f>DF24/$DD24</f>
        <v>#DIV/0!</v>
      </c>
      <c r="DH24" s="163">
        <f>IF(AP24&gt;0.01,1,0)</f>
        <v>0</v>
      </c>
      <c r="DI24" s="164"/>
      <c r="DJ24" s="165">
        <f>H24</f>
        <v>0</v>
      </c>
      <c r="DK24" s="166">
        <f>I24</f>
        <v>0</v>
      </c>
      <c r="DL24" s="167" t="e">
        <f>DR24/DF24</f>
        <v>#DIV/0!</v>
      </c>
      <c r="DM24" s="168" t="e">
        <f>DL24/DK24</f>
        <v>#DIV/0!</v>
      </c>
      <c r="DN24" s="163" t="e">
        <f>IF(DM24&gt;0.01,1,0)</f>
        <v>#DIV/0!</v>
      </c>
      <c r="DO24" s="169"/>
      <c r="DP24" s="170"/>
      <c r="DQ24" s="171"/>
      <c r="DR24" s="172">
        <f>DP24+DQ24</f>
        <v>0</v>
      </c>
      <c r="DS24" s="173" t="e">
        <f>IF(DL24=0,0,DP24/DR24)</f>
        <v>#DIV/0!</v>
      </c>
      <c r="DT24" s="163" t="e">
        <f>IF(DS24&gt;0.01,1,0)</f>
        <v>#DIV/0!</v>
      </c>
      <c r="DU24" s="174"/>
      <c r="DV24" s="175" t="e">
        <f>DG24*DM24*DS24</f>
        <v>#DIV/0!</v>
      </c>
      <c r="DW24" s="163">
        <f t="shared" si="24"/>
        <v>0</v>
      </c>
      <c r="DX24" s="164"/>
      <c r="DY24" s="176">
        <f>DP24</f>
        <v>0</v>
      </c>
      <c r="DZ24" s="177">
        <f>DK24</f>
        <v>0</v>
      </c>
      <c r="EA24" s="178">
        <f>+AP24</f>
        <v>0</v>
      </c>
      <c r="EB24" s="179">
        <f>DZ24*EA24</f>
        <v>0</v>
      </c>
      <c r="EC24" s="180"/>
      <c r="ED24" s="175" t="e">
        <f>DY24/EB24</f>
        <v>#DIV/0!</v>
      </c>
      <c r="EE24" s="163">
        <f t="shared" si="30"/>
        <v>0</v>
      </c>
      <c r="EF24" s="164"/>
      <c r="EG24" s="181">
        <f>DP24</f>
        <v>0</v>
      </c>
      <c r="EH24" s="182">
        <f>K24</f>
        <v>0</v>
      </c>
      <c r="EI24" s="182">
        <f>SUM(M24:Z24)</f>
        <v>0</v>
      </c>
      <c r="EJ24" s="182">
        <f>I24</f>
        <v>0</v>
      </c>
      <c r="EK24" s="183">
        <f>(EH24-EI24)*EJ24</f>
        <v>0</v>
      </c>
      <c r="EL24" s="184" t="e">
        <f>EG24/EK24</f>
        <v>#DIV/0!</v>
      </c>
      <c r="EM24" s="185">
        <f>IF(EK24&gt;0.01,1,0)</f>
        <v>0</v>
      </c>
      <c r="EN24" s="164"/>
      <c r="EO24" s="181">
        <f>EG24</f>
        <v>0</v>
      </c>
      <c r="EP24" s="183">
        <f>EJ24</f>
        <v>0</v>
      </c>
      <c r="EQ24" s="184" t="e">
        <f t="shared" si="40"/>
        <v>#DIV/0!</v>
      </c>
      <c r="ER24" s="185">
        <f t="shared" si="41"/>
        <v>0</v>
      </c>
      <c r="ES24" s="164"/>
      <c r="ET24" s="164"/>
      <c r="EU24" s="186">
        <f>DK24</f>
        <v>0</v>
      </c>
      <c r="EV24" s="186">
        <f>CU24</f>
        <v>0</v>
      </c>
      <c r="EW24" s="186">
        <f t="shared" si="44"/>
        <v>0</v>
      </c>
      <c r="EX24" s="186">
        <f>DR24</f>
        <v>0</v>
      </c>
      <c r="EY24" s="131"/>
      <c r="EZ24" s="187">
        <f>EW24-EX24</f>
        <v>0</v>
      </c>
      <c r="FA24" s="188" t="e">
        <f t="shared" si="47"/>
        <v>#DIV/0!</v>
      </c>
      <c r="FB24" s="189"/>
      <c r="FC24" s="131"/>
      <c r="FD24" s="131"/>
      <c r="FE24" s="131"/>
      <c r="FF24" s="131"/>
      <c r="FG24" s="131"/>
    </row>
    <row r="25" spans="1:163" s="169" customFormat="1" ht="16" outlineLevel="1" thickBot="1" x14ac:dyDescent="0.4">
      <c r="B25" s="358"/>
      <c r="C25" s="355"/>
      <c r="D25" s="204"/>
      <c r="E25" s="205"/>
      <c r="F25" s="135"/>
      <c r="G25" s="206"/>
      <c r="H25" s="207"/>
      <c r="I25" s="138">
        <f t="shared" si="0"/>
        <v>0</v>
      </c>
      <c r="J25" s="139"/>
      <c r="K25" s="208">
        <f t="shared" si="49"/>
        <v>0</v>
      </c>
      <c r="L25" s="141"/>
      <c r="M25" s="209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09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1"/>
      <c r="AN25" s="212">
        <f t="shared" si="2"/>
        <v>0</v>
      </c>
      <c r="AO25" s="146"/>
      <c r="AP25" s="147">
        <f t="shared" si="3"/>
        <v>0</v>
      </c>
      <c r="AQ25" s="148"/>
      <c r="AR25" s="213"/>
      <c r="AS25" s="213"/>
      <c r="AT25" s="135"/>
      <c r="AU25" s="214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4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7"/>
      <c r="CD25" s="214"/>
      <c r="CE25" s="194"/>
      <c r="CF25" s="195"/>
      <c r="CG25" s="195"/>
      <c r="CH25" s="195"/>
      <c r="CI25" s="195"/>
      <c r="CJ25" s="195"/>
      <c r="CK25" s="195"/>
      <c r="CL25" s="195"/>
      <c r="CM25" s="195"/>
      <c r="CN25" s="210"/>
      <c r="CO25" s="348"/>
      <c r="CP25" s="215"/>
      <c r="CQ25" s="216"/>
      <c r="CR25" s="217"/>
      <c r="CS25" s="218">
        <f t="shared" si="48"/>
        <v>0</v>
      </c>
      <c r="CT25" s="146"/>
      <c r="CU25" s="147">
        <f t="shared" si="4"/>
        <v>0</v>
      </c>
      <c r="CV25" s="156"/>
      <c r="CW25" s="157" t="e">
        <f t="shared" si="5"/>
        <v>#DIV/0!</v>
      </c>
      <c r="CX25" s="157" t="e">
        <f t="shared" si="6"/>
        <v>#DIV/0!</v>
      </c>
      <c r="CY25" s="157" t="e">
        <f t="shared" si="7"/>
        <v>#DIV/0!</v>
      </c>
      <c r="CZ25" s="157" t="e">
        <f t="shared" si="8"/>
        <v>#DIV/0!</v>
      </c>
      <c r="DA25" s="157" t="e">
        <f t="shared" si="9"/>
        <v>#DIV/0!</v>
      </c>
      <c r="DB25" s="158" t="e">
        <f t="shared" si="10"/>
        <v>#DIV/0!</v>
      </c>
      <c r="DC25" s="131"/>
      <c r="DD25" s="159">
        <f t="shared" si="11"/>
        <v>0</v>
      </c>
      <c r="DE25" s="160">
        <f t="shared" si="12"/>
        <v>0</v>
      </c>
      <c r="DF25" s="161">
        <f t="shared" si="13"/>
        <v>0</v>
      </c>
      <c r="DG25" s="162" t="e">
        <f t="shared" si="14"/>
        <v>#DIV/0!</v>
      </c>
      <c r="DH25" s="163">
        <f t="shared" si="15"/>
        <v>0</v>
      </c>
      <c r="DI25" s="164"/>
      <c r="DJ25" s="165">
        <f t="shared" si="16"/>
        <v>0</v>
      </c>
      <c r="DK25" s="166">
        <f t="shared" si="16"/>
        <v>0</v>
      </c>
      <c r="DL25" s="167" t="e">
        <f t="shared" si="17"/>
        <v>#DIV/0!</v>
      </c>
      <c r="DM25" s="168" t="e">
        <f t="shared" si="18"/>
        <v>#DIV/0!</v>
      </c>
      <c r="DN25" s="163" t="e">
        <f t="shared" si="19"/>
        <v>#DIV/0!</v>
      </c>
      <c r="DP25" s="170"/>
      <c r="DQ25" s="171"/>
      <c r="DR25" s="172">
        <f t="shared" si="20"/>
        <v>0</v>
      </c>
      <c r="DS25" s="173" t="e">
        <f t="shared" si="21"/>
        <v>#DIV/0!</v>
      </c>
      <c r="DT25" s="163" t="e">
        <f t="shared" si="22"/>
        <v>#DIV/0!</v>
      </c>
      <c r="DU25" s="174"/>
      <c r="DV25" s="175" t="e">
        <f t="shared" si="23"/>
        <v>#DIV/0!</v>
      </c>
      <c r="DW25" s="163">
        <f t="shared" si="24"/>
        <v>0</v>
      </c>
      <c r="DX25" s="164"/>
      <c r="DY25" s="176">
        <f t="shared" si="25"/>
        <v>0</v>
      </c>
      <c r="DZ25" s="177">
        <f t="shared" si="26"/>
        <v>0</v>
      </c>
      <c r="EA25" s="178">
        <f t="shared" si="27"/>
        <v>0</v>
      </c>
      <c r="EB25" s="179">
        <f t="shared" si="28"/>
        <v>0</v>
      </c>
      <c r="EC25" s="180"/>
      <c r="ED25" s="175" t="e">
        <f t="shared" si="29"/>
        <v>#DIV/0!</v>
      </c>
      <c r="EE25" s="163">
        <f t="shared" si="30"/>
        <v>0</v>
      </c>
      <c r="EF25" s="164"/>
      <c r="EG25" s="181">
        <f t="shared" si="31"/>
        <v>0</v>
      </c>
      <c r="EH25" s="182">
        <f t="shared" si="32"/>
        <v>0</v>
      </c>
      <c r="EI25" s="182">
        <f t="shared" si="33"/>
        <v>0</v>
      </c>
      <c r="EJ25" s="182">
        <f t="shared" si="34"/>
        <v>0</v>
      </c>
      <c r="EK25" s="183">
        <f t="shared" si="35"/>
        <v>0</v>
      </c>
      <c r="EL25" s="184" t="e">
        <f t="shared" si="36"/>
        <v>#DIV/0!</v>
      </c>
      <c r="EM25" s="185">
        <f t="shared" si="37"/>
        <v>0</v>
      </c>
      <c r="EN25" s="164"/>
      <c r="EO25" s="181">
        <f t="shared" si="38"/>
        <v>0</v>
      </c>
      <c r="EP25" s="183">
        <f t="shared" si="39"/>
        <v>0</v>
      </c>
      <c r="EQ25" s="184" t="e">
        <f t="shared" si="40"/>
        <v>#DIV/0!</v>
      </c>
      <c r="ER25" s="185">
        <f t="shared" si="41"/>
        <v>0</v>
      </c>
      <c r="ES25" s="164"/>
      <c r="ET25" s="164"/>
      <c r="EU25" s="186">
        <f t="shared" si="42"/>
        <v>0</v>
      </c>
      <c r="EV25" s="186">
        <f t="shared" si="43"/>
        <v>0</v>
      </c>
      <c r="EW25" s="186">
        <f t="shared" si="44"/>
        <v>0</v>
      </c>
      <c r="EX25" s="186">
        <f t="shared" si="45"/>
        <v>0</v>
      </c>
      <c r="EY25" s="131"/>
      <c r="EZ25" s="187">
        <f t="shared" si="46"/>
        <v>0</v>
      </c>
      <c r="FA25" s="188" t="e">
        <f t="shared" si="47"/>
        <v>#DIV/0!</v>
      </c>
      <c r="FB25" s="189"/>
      <c r="FC25" s="131"/>
      <c r="FD25" s="131"/>
      <c r="FE25" s="131"/>
      <c r="FF25" s="131"/>
      <c r="FG25" s="131"/>
    </row>
    <row r="26" spans="1:163" ht="16" outlineLevel="1" thickBot="1" x14ac:dyDescent="0.4">
      <c r="A26" s="132">
        <v>0</v>
      </c>
      <c r="B26" s="356"/>
      <c r="C26" s="353"/>
      <c r="D26" s="133"/>
      <c r="E26" s="134"/>
      <c r="F26" s="135"/>
      <c r="G26" s="136"/>
      <c r="H26" s="137"/>
      <c r="I26" s="138">
        <f>IF(E26&gt;0.0001,9.4,0)</f>
        <v>0</v>
      </c>
      <c r="J26" s="139"/>
      <c r="K26" s="140">
        <f t="shared" si="49"/>
        <v>0</v>
      </c>
      <c r="L26" s="141"/>
      <c r="M26" s="142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2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4"/>
      <c r="AN26" s="145">
        <f t="shared" si="2"/>
        <v>0</v>
      </c>
      <c r="AO26" s="146"/>
      <c r="AP26" s="147">
        <f t="shared" si="3"/>
        <v>0</v>
      </c>
      <c r="AQ26" s="148"/>
      <c r="AR26" s="149"/>
      <c r="AS26" s="149"/>
      <c r="AT26" s="135"/>
      <c r="AU26" s="150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0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4"/>
      <c r="CD26" s="150"/>
      <c r="CE26" s="142"/>
      <c r="CF26" s="143"/>
      <c r="CG26" s="143"/>
      <c r="CH26" s="143"/>
      <c r="CI26" s="143"/>
      <c r="CJ26" s="143"/>
      <c r="CK26" s="143"/>
      <c r="CL26" s="143"/>
      <c r="CM26" s="143"/>
      <c r="CN26" s="143"/>
      <c r="CO26" s="346"/>
      <c r="CP26" s="151"/>
      <c r="CQ26" s="152"/>
      <c r="CR26" s="154"/>
      <c r="CS26" s="155">
        <f t="shared" si="48"/>
        <v>0</v>
      </c>
      <c r="CT26" s="146"/>
      <c r="CU26" s="147">
        <f t="shared" si="4"/>
        <v>0</v>
      </c>
      <c r="CV26" s="156"/>
      <c r="CW26" s="157" t="e">
        <f t="shared" si="5"/>
        <v>#DIV/0!</v>
      </c>
      <c r="CX26" s="157" t="e">
        <f t="shared" si="6"/>
        <v>#DIV/0!</v>
      </c>
      <c r="CY26" s="157" t="e">
        <f t="shared" si="7"/>
        <v>#DIV/0!</v>
      </c>
      <c r="CZ26" s="157" t="e">
        <f t="shared" si="8"/>
        <v>#DIV/0!</v>
      </c>
      <c r="DA26" s="157" t="e">
        <f t="shared" si="9"/>
        <v>#DIV/0!</v>
      </c>
      <c r="DB26" s="158" t="e">
        <f t="shared" si="10"/>
        <v>#DIV/0!</v>
      </c>
      <c r="DC26" s="131"/>
      <c r="DD26" s="159">
        <f t="shared" si="11"/>
        <v>0</v>
      </c>
      <c r="DE26" s="160">
        <f t="shared" si="12"/>
        <v>0</v>
      </c>
      <c r="DF26" s="161">
        <f t="shared" si="13"/>
        <v>0</v>
      </c>
      <c r="DG26" s="162" t="e">
        <f t="shared" si="14"/>
        <v>#DIV/0!</v>
      </c>
      <c r="DH26" s="163">
        <f t="shared" si="15"/>
        <v>0</v>
      </c>
      <c r="DI26" s="164"/>
      <c r="DJ26" s="165">
        <f t="shared" si="16"/>
        <v>0</v>
      </c>
      <c r="DK26" s="166">
        <f t="shared" si="16"/>
        <v>0</v>
      </c>
      <c r="DL26" s="167" t="e">
        <f t="shared" si="17"/>
        <v>#DIV/0!</v>
      </c>
      <c r="DM26" s="168" t="e">
        <f t="shared" si="18"/>
        <v>#DIV/0!</v>
      </c>
      <c r="DN26" s="163" t="e">
        <f t="shared" si="19"/>
        <v>#DIV/0!</v>
      </c>
      <c r="DO26" s="169"/>
      <c r="DP26" s="170"/>
      <c r="DQ26" s="171"/>
      <c r="DR26" s="172">
        <f t="shared" si="20"/>
        <v>0</v>
      </c>
      <c r="DS26" s="173" t="e">
        <f t="shared" si="21"/>
        <v>#DIV/0!</v>
      </c>
      <c r="DT26" s="163" t="e">
        <f t="shared" si="22"/>
        <v>#DIV/0!</v>
      </c>
      <c r="DU26" s="174"/>
      <c r="DV26" s="175" t="e">
        <f t="shared" si="23"/>
        <v>#DIV/0!</v>
      </c>
      <c r="DW26" s="163">
        <f t="shared" si="24"/>
        <v>0</v>
      </c>
      <c r="DX26" s="164"/>
      <c r="DY26" s="176">
        <f t="shared" si="25"/>
        <v>0</v>
      </c>
      <c r="DZ26" s="177">
        <f t="shared" si="26"/>
        <v>0</v>
      </c>
      <c r="EA26" s="178">
        <f t="shared" si="27"/>
        <v>0</v>
      </c>
      <c r="EB26" s="179">
        <f t="shared" si="28"/>
        <v>0</v>
      </c>
      <c r="EC26" s="180"/>
      <c r="ED26" s="175" t="e">
        <f t="shared" si="29"/>
        <v>#DIV/0!</v>
      </c>
      <c r="EE26" s="163">
        <f t="shared" si="30"/>
        <v>0</v>
      </c>
      <c r="EF26" s="164"/>
      <c r="EG26" s="181">
        <f t="shared" si="31"/>
        <v>0</v>
      </c>
      <c r="EH26" s="182">
        <f t="shared" si="32"/>
        <v>0</v>
      </c>
      <c r="EI26" s="182">
        <f t="shared" si="33"/>
        <v>0</v>
      </c>
      <c r="EJ26" s="182">
        <f t="shared" si="34"/>
        <v>0</v>
      </c>
      <c r="EK26" s="183">
        <f t="shared" si="35"/>
        <v>0</v>
      </c>
      <c r="EL26" s="184" t="e">
        <f t="shared" si="36"/>
        <v>#DIV/0!</v>
      </c>
      <c r="EM26" s="185">
        <f t="shared" si="37"/>
        <v>0</v>
      </c>
      <c r="EN26" s="164"/>
      <c r="EO26" s="181">
        <f t="shared" si="38"/>
        <v>0</v>
      </c>
      <c r="EP26" s="183">
        <f t="shared" si="39"/>
        <v>0</v>
      </c>
      <c r="EQ26" s="184" t="e">
        <f t="shared" si="40"/>
        <v>#DIV/0!</v>
      </c>
      <c r="ER26" s="185">
        <f t="shared" si="41"/>
        <v>0</v>
      </c>
      <c r="ES26" s="164"/>
      <c r="ET26" s="164"/>
      <c r="EU26" s="186">
        <f t="shared" si="42"/>
        <v>0</v>
      </c>
      <c r="EV26" s="186">
        <f t="shared" si="43"/>
        <v>0</v>
      </c>
      <c r="EW26" s="186">
        <f t="shared" si="44"/>
        <v>0</v>
      </c>
      <c r="EX26" s="186">
        <f t="shared" si="45"/>
        <v>0</v>
      </c>
      <c r="EY26" s="131"/>
      <c r="EZ26" s="187">
        <f t="shared" si="46"/>
        <v>0</v>
      </c>
      <c r="FA26" s="188" t="e">
        <f t="shared" si="47"/>
        <v>#DIV/0!</v>
      </c>
      <c r="FB26" s="189"/>
      <c r="FC26" s="131"/>
      <c r="FD26" s="131"/>
      <c r="FE26" s="131"/>
      <c r="FF26" s="131"/>
      <c r="FG26" s="131"/>
    </row>
    <row r="27" spans="1:163" ht="16" outlineLevel="1" thickBot="1" x14ac:dyDescent="0.4">
      <c r="B27" s="357"/>
      <c r="C27" s="354"/>
      <c r="D27" s="190"/>
      <c r="E27" s="191"/>
      <c r="F27" s="135"/>
      <c r="G27" s="192"/>
      <c r="H27" s="137"/>
      <c r="I27" s="138">
        <f t="shared" si="0"/>
        <v>0</v>
      </c>
      <c r="J27" s="139"/>
      <c r="K27" s="193">
        <f t="shared" si="49"/>
        <v>0</v>
      </c>
      <c r="L27" s="141"/>
      <c r="M27" s="194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4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6"/>
      <c r="AN27" s="197">
        <f t="shared" si="2"/>
        <v>0</v>
      </c>
      <c r="AO27" s="146"/>
      <c r="AP27" s="147">
        <f t="shared" si="3"/>
        <v>0</v>
      </c>
      <c r="AQ27" s="148"/>
      <c r="AR27" s="198"/>
      <c r="AS27" s="198"/>
      <c r="AT27" s="135"/>
      <c r="AU27" s="199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1"/>
      <c r="BQ27" s="201"/>
      <c r="BR27" s="199"/>
      <c r="BS27" s="200"/>
      <c r="BT27" s="200"/>
      <c r="BU27" s="200"/>
      <c r="BV27" s="200"/>
      <c r="BW27" s="200"/>
      <c r="BX27" s="200"/>
      <c r="BY27" s="200"/>
      <c r="BZ27" s="200"/>
      <c r="CA27" s="200"/>
      <c r="CB27" s="200"/>
      <c r="CC27" s="202"/>
      <c r="CD27" s="199"/>
      <c r="CE27" s="194"/>
      <c r="CF27" s="195"/>
      <c r="CG27" s="195"/>
      <c r="CH27" s="195"/>
      <c r="CI27" s="195"/>
      <c r="CJ27" s="195"/>
      <c r="CK27" s="195"/>
      <c r="CL27" s="195"/>
      <c r="CM27" s="195"/>
      <c r="CN27" s="195"/>
      <c r="CO27" s="347"/>
      <c r="CP27" s="200"/>
      <c r="CQ27" s="201"/>
      <c r="CR27" s="202"/>
      <c r="CS27" s="203">
        <f t="shared" si="48"/>
        <v>0</v>
      </c>
      <c r="CT27" s="146"/>
      <c r="CU27" s="147">
        <f t="shared" si="4"/>
        <v>0</v>
      </c>
      <c r="CV27" s="156"/>
      <c r="CW27" s="157" t="e">
        <f t="shared" si="5"/>
        <v>#DIV/0!</v>
      </c>
      <c r="CX27" s="157" t="e">
        <f t="shared" si="6"/>
        <v>#DIV/0!</v>
      </c>
      <c r="CY27" s="157" t="e">
        <f t="shared" si="7"/>
        <v>#DIV/0!</v>
      </c>
      <c r="CZ27" s="157" t="e">
        <f t="shared" si="8"/>
        <v>#DIV/0!</v>
      </c>
      <c r="DA27" s="157" t="e">
        <f t="shared" si="9"/>
        <v>#DIV/0!</v>
      </c>
      <c r="DB27" s="158" t="e">
        <f t="shared" si="10"/>
        <v>#DIV/0!</v>
      </c>
      <c r="DC27" s="131"/>
      <c r="DD27" s="159">
        <f t="shared" si="11"/>
        <v>0</v>
      </c>
      <c r="DE27" s="160">
        <f t="shared" si="12"/>
        <v>0</v>
      </c>
      <c r="DF27" s="161">
        <f t="shared" si="13"/>
        <v>0</v>
      </c>
      <c r="DG27" s="162" t="e">
        <f t="shared" si="14"/>
        <v>#DIV/0!</v>
      </c>
      <c r="DH27" s="163">
        <f t="shared" si="15"/>
        <v>0</v>
      </c>
      <c r="DI27" s="164"/>
      <c r="DJ27" s="165">
        <f t="shared" si="16"/>
        <v>0</v>
      </c>
      <c r="DK27" s="166">
        <f t="shared" si="16"/>
        <v>0</v>
      </c>
      <c r="DL27" s="167" t="e">
        <f t="shared" si="17"/>
        <v>#DIV/0!</v>
      </c>
      <c r="DM27" s="168" t="e">
        <f t="shared" si="18"/>
        <v>#DIV/0!</v>
      </c>
      <c r="DN27" s="163" t="e">
        <f t="shared" si="19"/>
        <v>#DIV/0!</v>
      </c>
      <c r="DO27" s="169"/>
      <c r="DP27" s="170"/>
      <c r="DQ27" s="171"/>
      <c r="DR27" s="172">
        <f t="shared" si="20"/>
        <v>0</v>
      </c>
      <c r="DS27" s="173" t="e">
        <f t="shared" si="21"/>
        <v>#DIV/0!</v>
      </c>
      <c r="DT27" s="163" t="e">
        <f t="shared" si="22"/>
        <v>#DIV/0!</v>
      </c>
      <c r="DU27" s="174"/>
      <c r="DV27" s="175" t="e">
        <f t="shared" si="23"/>
        <v>#DIV/0!</v>
      </c>
      <c r="DW27" s="163">
        <f t="shared" si="24"/>
        <v>0</v>
      </c>
      <c r="DX27" s="164"/>
      <c r="DY27" s="176">
        <f t="shared" si="25"/>
        <v>0</v>
      </c>
      <c r="DZ27" s="177">
        <f t="shared" si="26"/>
        <v>0</v>
      </c>
      <c r="EA27" s="178">
        <f t="shared" si="27"/>
        <v>0</v>
      </c>
      <c r="EB27" s="179">
        <f t="shared" si="28"/>
        <v>0</v>
      </c>
      <c r="EC27" s="180"/>
      <c r="ED27" s="175" t="e">
        <f t="shared" si="29"/>
        <v>#DIV/0!</v>
      </c>
      <c r="EE27" s="163">
        <f t="shared" si="30"/>
        <v>0</v>
      </c>
      <c r="EF27" s="164"/>
      <c r="EG27" s="181">
        <f t="shared" si="31"/>
        <v>0</v>
      </c>
      <c r="EH27" s="182">
        <f t="shared" si="32"/>
        <v>0</v>
      </c>
      <c r="EI27" s="182">
        <f t="shared" si="33"/>
        <v>0</v>
      </c>
      <c r="EJ27" s="182">
        <f t="shared" si="34"/>
        <v>0</v>
      </c>
      <c r="EK27" s="183">
        <f t="shared" si="35"/>
        <v>0</v>
      </c>
      <c r="EL27" s="184" t="e">
        <f t="shared" si="36"/>
        <v>#DIV/0!</v>
      </c>
      <c r="EM27" s="185">
        <f t="shared" si="37"/>
        <v>0</v>
      </c>
      <c r="EN27" s="164"/>
      <c r="EO27" s="181">
        <f t="shared" si="38"/>
        <v>0</v>
      </c>
      <c r="EP27" s="183">
        <f t="shared" si="39"/>
        <v>0</v>
      </c>
      <c r="EQ27" s="184" t="e">
        <f t="shared" si="40"/>
        <v>#DIV/0!</v>
      </c>
      <c r="ER27" s="185">
        <f t="shared" si="41"/>
        <v>0</v>
      </c>
      <c r="ES27" s="164"/>
      <c r="ET27" s="164"/>
      <c r="EU27" s="186">
        <f t="shared" si="42"/>
        <v>0</v>
      </c>
      <c r="EV27" s="186">
        <f t="shared" si="43"/>
        <v>0</v>
      </c>
      <c r="EW27" s="186">
        <f t="shared" si="44"/>
        <v>0</v>
      </c>
      <c r="EX27" s="186">
        <f t="shared" si="45"/>
        <v>0</v>
      </c>
      <c r="EY27" s="131"/>
      <c r="EZ27" s="187">
        <f t="shared" si="46"/>
        <v>0</v>
      </c>
      <c r="FA27" s="188" t="e">
        <f t="shared" si="47"/>
        <v>#DIV/0!</v>
      </c>
      <c r="FB27" s="189"/>
      <c r="FC27" s="131"/>
      <c r="FD27" s="131"/>
      <c r="FE27" s="131"/>
      <c r="FF27" s="131"/>
      <c r="FG27" s="131"/>
    </row>
    <row r="28" spans="1:163" ht="16" outlineLevel="1" thickBot="1" x14ac:dyDescent="0.4">
      <c r="B28" s="358"/>
      <c r="C28" s="355"/>
      <c r="D28" s="204"/>
      <c r="E28" s="205"/>
      <c r="F28" s="135"/>
      <c r="G28" s="206"/>
      <c r="H28" s="207"/>
      <c r="I28" s="138">
        <f t="shared" si="0"/>
        <v>0</v>
      </c>
      <c r="J28" s="139"/>
      <c r="K28" s="208">
        <f t="shared" si="49"/>
        <v>0</v>
      </c>
      <c r="L28" s="141"/>
      <c r="M28" s="209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09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1"/>
      <c r="AN28" s="212">
        <f t="shared" si="2"/>
        <v>0</v>
      </c>
      <c r="AO28" s="146"/>
      <c r="AP28" s="147">
        <f t="shared" si="3"/>
        <v>0</v>
      </c>
      <c r="AQ28" s="148"/>
      <c r="AR28" s="213"/>
      <c r="AS28" s="213"/>
      <c r="AT28" s="135"/>
      <c r="AU28" s="214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4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7"/>
      <c r="CD28" s="214"/>
      <c r="CE28" s="209"/>
      <c r="CF28" s="210"/>
      <c r="CG28" s="210"/>
      <c r="CH28" s="210"/>
      <c r="CI28" s="210"/>
      <c r="CJ28" s="210"/>
      <c r="CK28" s="210"/>
      <c r="CL28" s="210"/>
      <c r="CM28" s="210"/>
      <c r="CN28" s="210"/>
      <c r="CO28" s="348"/>
      <c r="CP28" s="215"/>
      <c r="CQ28" s="216"/>
      <c r="CR28" s="217"/>
      <c r="CS28" s="218">
        <f t="shared" si="48"/>
        <v>0</v>
      </c>
      <c r="CT28" s="146"/>
      <c r="CU28" s="147">
        <f t="shared" si="4"/>
        <v>0</v>
      </c>
      <c r="CV28" s="156"/>
      <c r="CW28" s="157" t="e">
        <f t="shared" si="5"/>
        <v>#DIV/0!</v>
      </c>
      <c r="CX28" s="157" t="e">
        <f t="shared" si="6"/>
        <v>#DIV/0!</v>
      </c>
      <c r="CY28" s="157" t="e">
        <f t="shared" si="7"/>
        <v>#DIV/0!</v>
      </c>
      <c r="CZ28" s="157" t="e">
        <f t="shared" si="8"/>
        <v>#DIV/0!</v>
      </c>
      <c r="DA28" s="157" t="e">
        <f t="shared" si="9"/>
        <v>#DIV/0!</v>
      </c>
      <c r="DB28" s="158" t="e">
        <f t="shared" si="10"/>
        <v>#DIV/0!</v>
      </c>
      <c r="DC28" s="131"/>
      <c r="DD28" s="159">
        <f t="shared" si="11"/>
        <v>0</v>
      </c>
      <c r="DE28" s="160">
        <f t="shared" si="12"/>
        <v>0</v>
      </c>
      <c r="DF28" s="161">
        <f t="shared" si="13"/>
        <v>0</v>
      </c>
      <c r="DG28" s="162" t="e">
        <f t="shared" si="14"/>
        <v>#DIV/0!</v>
      </c>
      <c r="DH28" s="163">
        <f t="shared" si="15"/>
        <v>0</v>
      </c>
      <c r="DI28" s="164"/>
      <c r="DJ28" s="165">
        <f t="shared" si="16"/>
        <v>0</v>
      </c>
      <c r="DK28" s="166">
        <f t="shared" si="16"/>
        <v>0</v>
      </c>
      <c r="DL28" s="167" t="e">
        <f t="shared" si="17"/>
        <v>#DIV/0!</v>
      </c>
      <c r="DM28" s="168" t="e">
        <f t="shared" si="18"/>
        <v>#DIV/0!</v>
      </c>
      <c r="DN28" s="163" t="e">
        <f t="shared" si="19"/>
        <v>#DIV/0!</v>
      </c>
      <c r="DO28" s="169"/>
      <c r="DP28" s="170"/>
      <c r="DQ28" s="171"/>
      <c r="DR28" s="172">
        <f t="shared" si="20"/>
        <v>0</v>
      </c>
      <c r="DS28" s="173" t="e">
        <f t="shared" si="21"/>
        <v>#DIV/0!</v>
      </c>
      <c r="DT28" s="163" t="e">
        <f t="shared" si="22"/>
        <v>#DIV/0!</v>
      </c>
      <c r="DU28" s="174"/>
      <c r="DV28" s="175" t="e">
        <f t="shared" si="23"/>
        <v>#DIV/0!</v>
      </c>
      <c r="DW28" s="163">
        <f t="shared" si="24"/>
        <v>0</v>
      </c>
      <c r="DX28" s="164"/>
      <c r="DY28" s="176">
        <f t="shared" si="25"/>
        <v>0</v>
      </c>
      <c r="DZ28" s="177">
        <f t="shared" si="26"/>
        <v>0</v>
      </c>
      <c r="EA28" s="178">
        <f t="shared" si="27"/>
        <v>0</v>
      </c>
      <c r="EB28" s="179">
        <f t="shared" si="28"/>
        <v>0</v>
      </c>
      <c r="EC28" s="180"/>
      <c r="ED28" s="175" t="e">
        <f t="shared" si="29"/>
        <v>#DIV/0!</v>
      </c>
      <c r="EE28" s="163">
        <f t="shared" si="30"/>
        <v>0</v>
      </c>
      <c r="EF28" s="164"/>
      <c r="EG28" s="181">
        <f t="shared" si="31"/>
        <v>0</v>
      </c>
      <c r="EH28" s="182">
        <f t="shared" si="32"/>
        <v>0</v>
      </c>
      <c r="EI28" s="182">
        <f t="shared" si="33"/>
        <v>0</v>
      </c>
      <c r="EJ28" s="182">
        <f t="shared" si="34"/>
        <v>0</v>
      </c>
      <c r="EK28" s="183">
        <f t="shared" si="35"/>
        <v>0</v>
      </c>
      <c r="EL28" s="184" t="e">
        <f t="shared" si="36"/>
        <v>#DIV/0!</v>
      </c>
      <c r="EM28" s="185">
        <f t="shared" si="37"/>
        <v>0</v>
      </c>
      <c r="EN28" s="164"/>
      <c r="EO28" s="181">
        <f t="shared" si="38"/>
        <v>0</v>
      </c>
      <c r="EP28" s="183">
        <f t="shared" si="39"/>
        <v>0</v>
      </c>
      <c r="EQ28" s="184" t="e">
        <f t="shared" si="40"/>
        <v>#DIV/0!</v>
      </c>
      <c r="ER28" s="185">
        <f t="shared" si="41"/>
        <v>0</v>
      </c>
      <c r="ES28" s="164"/>
      <c r="ET28" s="164"/>
      <c r="EU28" s="186">
        <f t="shared" si="42"/>
        <v>0</v>
      </c>
      <c r="EV28" s="186">
        <f t="shared" si="43"/>
        <v>0</v>
      </c>
      <c r="EW28" s="186">
        <f t="shared" si="44"/>
        <v>0</v>
      </c>
      <c r="EX28" s="186">
        <f t="shared" si="45"/>
        <v>0</v>
      </c>
      <c r="EY28" s="131"/>
      <c r="EZ28" s="187">
        <f t="shared" si="46"/>
        <v>0</v>
      </c>
      <c r="FA28" s="188" t="e">
        <f t="shared" si="47"/>
        <v>#DIV/0!</v>
      </c>
      <c r="FB28" s="189"/>
      <c r="FC28" s="131"/>
      <c r="FD28" s="131"/>
      <c r="FE28" s="131"/>
      <c r="FF28" s="131"/>
      <c r="FG28" s="131"/>
    </row>
    <row r="29" spans="1:163" ht="16" outlineLevel="1" thickBot="1" x14ac:dyDescent="0.4">
      <c r="B29" s="356"/>
      <c r="C29" s="353"/>
      <c r="D29" s="133"/>
      <c r="E29" s="134"/>
      <c r="F29" s="135"/>
      <c r="G29" s="136"/>
      <c r="H29" s="137"/>
      <c r="I29" s="138">
        <f t="shared" si="0"/>
        <v>0</v>
      </c>
      <c r="J29" s="139"/>
      <c r="K29" s="140">
        <f t="shared" si="49"/>
        <v>0</v>
      </c>
      <c r="L29" s="141"/>
      <c r="M29" s="142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4"/>
      <c r="AN29" s="145">
        <f t="shared" si="2"/>
        <v>0</v>
      </c>
      <c r="AO29" s="146"/>
      <c r="AP29" s="147">
        <f t="shared" si="3"/>
        <v>0</v>
      </c>
      <c r="AQ29" s="148"/>
      <c r="AR29" s="149"/>
      <c r="AS29" s="149"/>
      <c r="AT29" s="135"/>
      <c r="AU29" s="150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0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4"/>
      <c r="CD29" s="150"/>
      <c r="CE29" s="142"/>
      <c r="CF29" s="143"/>
      <c r="CG29" s="143"/>
      <c r="CH29" s="143"/>
      <c r="CI29" s="143"/>
      <c r="CJ29" s="143"/>
      <c r="CK29" s="143"/>
      <c r="CL29" s="143"/>
      <c r="CM29" s="143"/>
      <c r="CN29" s="143"/>
      <c r="CO29" s="346"/>
      <c r="CP29" s="151"/>
      <c r="CQ29" s="152"/>
      <c r="CR29" s="154"/>
      <c r="CS29" s="155">
        <f t="shared" si="48"/>
        <v>0</v>
      </c>
      <c r="CT29" s="146"/>
      <c r="CU29" s="147">
        <f t="shared" si="4"/>
        <v>0</v>
      </c>
      <c r="CV29" s="156"/>
      <c r="CW29" s="157" t="e">
        <f t="shared" si="5"/>
        <v>#DIV/0!</v>
      </c>
      <c r="CX29" s="157" t="e">
        <f t="shared" si="6"/>
        <v>#DIV/0!</v>
      </c>
      <c r="CY29" s="157" t="e">
        <f t="shared" si="7"/>
        <v>#DIV/0!</v>
      </c>
      <c r="CZ29" s="157" t="e">
        <f t="shared" si="8"/>
        <v>#DIV/0!</v>
      </c>
      <c r="DA29" s="157" t="e">
        <f t="shared" si="9"/>
        <v>#DIV/0!</v>
      </c>
      <c r="DB29" s="158" t="e">
        <f t="shared" si="10"/>
        <v>#DIV/0!</v>
      </c>
      <c r="DC29" s="131"/>
      <c r="DD29" s="159">
        <f t="shared" si="11"/>
        <v>0</v>
      </c>
      <c r="DE29" s="160">
        <f t="shared" si="12"/>
        <v>0</v>
      </c>
      <c r="DF29" s="161">
        <f t="shared" si="13"/>
        <v>0</v>
      </c>
      <c r="DG29" s="162" t="e">
        <f t="shared" si="14"/>
        <v>#DIV/0!</v>
      </c>
      <c r="DH29" s="163">
        <f t="shared" si="15"/>
        <v>0</v>
      </c>
      <c r="DI29" s="164"/>
      <c r="DJ29" s="165">
        <f t="shared" si="16"/>
        <v>0</v>
      </c>
      <c r="DK29" s="166">
        <f t="shared" si="16"/>
        <v>0</v>
      </c>
      <c r="DL29" s="167" t="e">
        <f t="shared" si="17"/>
        <v>#DIV/0!</v>
      </c>
      <c r="DM29" s="168" t="e">
        <f t="shared" si="18"/>
        <v>#DIV/0!</v>
      </c>
      <c r="DN29" s="163" t="e">
        <f t="shared" si="19"/>
        <v>#DIV/0!</v>
      </c>
      <c r="DO29" s="169"/>
      <c r="DP29" s="170"/>
      <c r="DQ29" s="171"/>
      <c r="DR29" s="172">
        <f t="shared" si="20"/>
        <v>0</v>
      </c>
      <c r="DS29" s="173" t="e">
        <f t="shared" si="21"/>
        <v>#DIV/0!</v>
      </c>
      <c r="DT29" s="163" t="e">
        <f t="shared" si="22"/>
        <v>#DIV/0!</v>
      </c>
      <c r="DU29" s="174"/>
      <c r="DV29" s="175" t="e">
        <f t="shared" si="23"/>
        <v>#DIV/0!</v>
      </c>
      <c r="DW29" s="163">
        <f t="shared" si="24"/>
        <v>0</v>
      </c>
      <c r="DX29" s="164"/>
      <c r="DY29" s="176">
        <f t="shared" si="25"/>
        <v>0</v>
      </c>
      <c r="DZ29" s="177">
        <f t="shared" si="26"/>
        <v>0</v>
      </c>
      <c r="EA29" s="178">
        <f t="shared" si="27"/>
        <v>0</v>
      </c>
      <c r="EB29" s="179">
        <f t="shared" si="28"/>
        <v>0</v>
      </c>
      <c r="EC29" s="180"/>
      <c r="ED29" s="175" t="e">
        <f t="shared" si="29"/>
        <v>#DIV/0!</v>
      </c>
      <c r="EE29" s="163">
        <f t="shared" si="30"/>
        <v>0</v>
      </c>
      <c r="EF29" s="164"/>
      <c r="EG29" s="181">
        <f t="shared" si="31"/>
        <v>0</v>
      </c>
      <c r="EH29" s="182">
        <f t="shared" si="32"/>
        <v>0</v>
      </c>
      <c r="EI29" s="182">
        <f t="shared" si="33"/>
        <v>0</v>
      </c>
      <c r="EJ29" s="182">
        <f t="shared" si="34"/>
        <v>0</v>
      </c>
      <c r="EK29" s="183">
        <f t="shared" si="35"/>
        <v>0</v>
      </c>
      <c r="EL29" s="184" t="e">
        <f t="shared" si="36"/>
        <v>#DIV/0!</v>
      </c>
      <c r="EM29" s="185">
        <f t="shared" si="37"/>
        <v>0</v>
      </c>
      <c r="EN29" s="164"/>
      <c r="EO29" s="181">
        <f t="shared" si="38"/>
        <v>0</v>
      </c>
      <c r="EP29" s="183">
        <f t="shared" si="39"/>
        <v>0</v>
      </c>
      <c r="EQ29" s="184" t="e">
        <f t="shared" si="40"/>
        <v>#DIV/0!</v>
      </c>
      <c r="ER29" s="185">
        <f t="shared" si="41"/>
        <v>0</v>
      </c>
      <c r="ES29" s="164"/>
      <c r="ET29" s="164"/>
      <c r="EU29" s="186">
        <f t="shared" si="42"/>
        <v>0</v>
      </c>
      <c r="EV29" s="186">
        <f t="shared" si="43"/>
        <v>0</v>
      </c>
      <c r="EW29" s="186">
        <f t="shared" si="44"/>
        <v>0</v>
      </c>
      <c r="EX29" s="186">
        <f t="shared" si="45"/>
        <v>0</v>
      </c>
      <c r="EY29" s="131"/>
      <c r="EZ29" s="187">
        <f t="shared" si="46"/>
        <v>0</v>
      </c>
      <c r="FA29" s="188" t="e">
        <f t="shared" si="47"/>
        <v>#DIV/0!</v>
      </c>
      <c r="FB29" s="189"/>
      <c r="FC29" s="131"/>
      <c r="FD29" s="131"/>
      <c r="FE29" s="131"/>
      <c r="FF29" s="131"/>
      <c r="FG29" s="131"/>
    </row>
    <row r="30" spans="1:163" ht="16" outlineLevel="1" thickBot="1" x14ac:dyDescent="0.4">
      <c r="B30" s="357"/>
      <c r="C30" s="354"/>
      <c r="D30" s="190"/>
      <c r="E30" s="191"/>
      <c r="F30" s="135"/>
      <c r="G30" s="192"/>
      <c r="H30" s="137"/>
      <c r="I30" s="138">
        <f t="shared" si="0"/>
        <v>0</v>
      </c>
      <c r="J30" s="139"/>
      <c r="K30" s="193">
        <f t="shared" si="49"/>
        <v>0</v>
      </c>
      <c r="L30" s="141"/>
      <c r="M30" s="194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4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6"/>
      <c r="AN30" s="197">
        <f t="shared" si="2"/>
        <v>0</v>
      </c>
      <c r="AO30" s="146"/>
      <c r="AP30" s="147">
        <f t="shared" si="3"/>
        <v>0</v>
      </c>
      <c r="AQ30" s="148"/>
      <c r="AR30" s="198"/>
      <c r="AS30" s="198"/>
      <c r="AT30" s="135"/>
      <c r="AU30" s="199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199"/>
      <c r="BS30" s="200"/>
      <c r="BT30" s="200"/>
      <c r="BU30" s="200"/>
      <c r="BV30" s="200"/>
      <c r="BW30" s="200"/>
      <c r="BX30" s="200"/>
      <c r="BY30" s="200"/>
      <c r="BZ30" s="200"/>
      <c r="CA30" s="200"/>
      <c r="CB30" s="200"/>
      <c r="CC30" s="202"/>
      <c r="CD30" s="199"/>
      <c r="CE30" s="194"/>
      <c r="CF30" s="195"/>
      <c r="CG30" s="195"/>
      <c r="CH30" s="195"/>
      <c r="CI30" s="195"/>
      <c r="CJ30" s="195"/>
      <c r="CK30" s="195"/>
      <c r="CL30" s="195"/>
      <c r="CM30" s="195"/>
      <c r="CN30" s="195"/>
      <c r="CO30" s="347"/>
      <c r="CP30" s="200"/>
      <c r="CQ30" s="201"/>
      <c r="CR30" s="202"/>
      <c r="CS30" s="203">
        <f t="shared" si="48"/>
        <v>0</v>
      </c>
      <c r="CT30" s="146"/>
      <c r="CU30" s="147">
        <f t="shared" si="4"/>
        <v>0</v>
      </c>
      <c r="CV30" s="156"/>
      <c r="CW30" s="157" t="e">
        <f t="shared" si="5"/>
        <v>#DIV/0!</v>
      </c>
      <c r="CX30" s="157" t="e">
        <f t="shared" si="6"/>
        <v>#DIV/0!</v>
      </c>
      <c r="CY30" s="157" t="e">
        <f t="shared" si="7"/>
        <v>#DIV/0!</v>
      </c>
      <c r="CZ30" s="157" t="e">
        <f t="shared" si="8"/>
        <v>#DIV/0!</v>
      </c>
      <c r="DA30" s="157" t="e">
        <f t="shared" si="9"/>
        <v>#DIV/0!</v>
      </c>
      <c r="DB30" s="158" t="e">
        <f t="shared" si="10"/>
        <v>#DIV/0!</v>
      </c>
      <c r="DC30" s="131"/>
      <c r="DD30" s="159">
        <f t="shared" si="11"/>
        <v>0</v>
      </c>
      <c r="DE30" s="160">
        <f t="shared" si="12"/>
        <v>0</v>
      </c>
      <c r="DF30" s="161">
        <f t="shared" si="13"/>
        <v>0</v>
      </c>
      <c r="DG30" s="162" t="e">
        <f t="shared" si="14"/>
        <v>#DIV/0!</v>
      </c>
      <c r="DH30" s="163">
        <f t="shared" si="15"/>
        <v>0</v>
      </c>
      <c r="DI30" s="164"/>
      <c r="DJ30" s="165">
        <f t="shared" si="16"/>
        <v>0</v>
      </c>
      <c r="DK30" s="166">
        <f t="shared" si="16"/>
        <v>0</v>
      </c>
      <c r="DL30" s="167" t="e">
        <f t="shared" si="17"/>
        <v>#DIV/0!</v>
      </c>
      <c r="DM30" s="168" t="e">
        <f t="shared" si="18"/>
        <v>#DIV/0!</v>
      </c>
      <c r="DN30" s="163" t="e">
        <f t="shared" si="19"/>
        <v>#DIV/0!</v>
      </c>
      <c r="DO30" s="169"/>
      <c r="DP30" s="170"/>
      <c r="DQ30" s="171"/>
      <c r="DR30" s="172">
        <f t="shared" si="20"/>
        <v>0</v>
      </c>
      <c r="DS30" s="173" t="e">
        <f t="shared" si="21"/>
        <v>#DIV/0!</v>
      </c>
      <c r="DT30" s="163" t="e">
        <f t="shared" si="22"/>
        <v>#DIV/0!</v>
      </c>
      <c r="DU30" s="174"/>
      <c r="DV30" s="175" t="e">
        <f t="shared" si="23"/>
        <v>#DIV/0!</v>
      </c>
      <c r="DW30" s="163">
        <f t="shared" si="24"/>
        <v>0</v>
      </c>
      <c r="DX30" s="164"/>
      <c r="DY30" s="176">
        <f t="shared" si="25"/>
        <v>0</v>
      </c>
      <c r="DZ30" s="177">
        <f t="shared" si="26"/>
        <v>0</v>
      </c>
      <c r="EA30" s="178">
        <f t="shared" si="27"/>
        <v>0</v>
      </c>
      <c r="EB30" s="179">
        <f t="shared" si="28"/>
        <v>0</v>
      </c>
      <c r="EC30" s="180"/>
      <c r="ED30" s="175" t="e">
        <f t="shared" si="29"/>
        <v>#DIV/0!</v>
      </c>
      <c r="EE30" s="163">
        <f t="shared" si="30"/>
        <v>0</v>
      </c>
      <c r="EF30" s="164"/>
      <c r="EG30" s="181">
        <f t="shared" si="31"/>
        <v>0</v>
      </c>
      <c r="EH30" s="182">
        <f t="shared" si="32"/>
        <v>0</v>
      </c>
      <c r="EI30" s="182">
        <f t="shared" si="33"/>
        <v>0</v>
      </c>
      <c r="EJ30" s="182">
        <f t="shared" si="34"/>
        <v>0</v>
      </c>
      <c r="EK30" s="183">
        <f t="shared" si="35"/>
        <v>0</v>
      </c>
      <c r="EL30" s="184" t="e">
        <f t="shared" si="36"/>
        <v>#DIV/0!</v>
      </c>
      <c r="EM30" s="185">
        <f t="shared" si="37"/>
        <v>0</v>
      </c>
      <c r="EN30" s="164"/>
      <c r="EO30" s="181">
        <f t="shared" si="38"/>
        <v>0</v>
      </c>
      <c r="EP30" s="183">
        <f t="shared" si="39"/>
        <v>0</v>
      </c>
      <c r="EQ30" s="184" t="e">
        <f t="shared" si="40"/>
        <v>#DIV/0!</v>
      </c>
      <c r="ER30" s="185">
        <f t="shared" si="41"/>
        <v>0</v>
      </c>
      <c r="ES30" s="164"/>
      <c r="ET30" s="164"/>
      <c r="EU30" s="186">
        <f t="shared" si="42"/>
        <v>0</v>
      </c>
      <c r="EV30" s="186">
        <f t="shared" si="43"/>
        <v>0</v>
      </c>
      <c r="EW30" s="186">
        <f t="shared" si="44"/>
        <v>0</v>
      </c>
      <c r="EX30" s="186">
        <f t="shared" si="45"/>
        <v>0</v>
      </c>
      <c r="EY30" s="131"/>
      <c r="EZ30" s="187">
        <f t="shared" si="46"/>
        <v>0</v>
      </c>
      <c r="FA30" s="188" t="e">
        <f t="shared" si="47"/>
        <v>#DIV/0!</v>
      </c>
      <c r="FB30" s="189"/>
      <c r="FC30" s="131"/>
      <c r="FD30" s="131"/>
      <c r="FE30" s="131"/>
      <c r="FF30" s="131"/>
      <c r="FG30" s="131"/>
    </row>
    <row r="31" spans="1:163" ht="16" outlineLevel="1" thickBot="1" x14ac:dyDescent="0.4">
      <c r="B31" s="358"/>
      <c r="C31" s="355"/>
      <c r="D31" s="204"/>
      <c r="E31" s="205"/>
      <c r="F31" s="135"/>
      <c r="G31" s="206"/>
      <c r="H31" s="207"/>
      <c r="I31" s="138">
        <f t="shared" si="0"/>
        <v>0</v>
      </c>
      <c r="J31" s="139"/>
      <c r="K31" s="208">
        <f t="shared" si="49"/>
        <v>0</v>
      </c>
      <c r="L31" s="141"/>
      <c r="M31" s="209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09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1"/>
      <c r="AN31" s="212">
        <f t="shared" si="2"/>
        <v>0</v>
      </c>
      <c r="AO31" s="146"/>
      <c r="AP31" s="147">
        <f t="shared" si="3"/>
        <v>0</v>
      </c>
      <c r="AQ31" s="148"/>
      <c r="AR31" s="213"/>
      <c r="AS31" s="213"/>
      <c r="AT31" s="135"/>
      <c r="AU31" s="214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4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7"/>
      <c r="CD31" s="214"/>
      <c r="CE31" s="209"/>
      <c r="CF31" s="210"/>
      <c r="CG31" s="210"/>
      <c r="CH31" s="210"/>
      <c r="CI31" s="210"/>
      <c r="CJ31" s="210"/>
      <c r="CK31" s="210"/>
      <c r="CL31" s="210"/>
      <c r="CM31" s="210"/>
      <c r="CN31" s="210"/>
      <c r="CO31" s="348"/>
      <c r="CP31" s="215"/>
      <c r="CQ31" s="216"/>
      <c r="CR31" s="217"/>
      <c r="CS31" s="218">
        <f t="shared" si="48"/>
        <v>0</v>
      </c>
      <c r="CT31" s="146"/>
      <c r="CU31" s="147">
        <f t="shared" si="4"/>
        <v>0</v>
      </c>
      <c r="CV31" s="156"/>
      <c r="CW31" s="157" t="e">
        <f t="shared" si="5"/>
        <v>#DIV/0!</v>
      </c>
      <c r="CX31" s="157" t="e">
        <f t="shared" si="6"/>
        <v>#DIV/0!</v>
      </c>
      <c r="CY31" s="157" t="e">
        <f t="shared" si="7"/>
        <v>#DIV/0!</v>
      </c>
      <c r="CZ31" s="157" t="e">
        <f t="shared" si="8"/>
        <v>#DIV/0!</v>
      </c>
      <c r="DA31" s="157" t="e">
        <f t="shared" si="9"/>
        <v>#DIV/0!</v>
      </c>
      <c r="DB31" s="158" t="e">
        <f t="shared" si="10"/>
        <v>#DIV/0!</v>
      </c>
      <c r="DC31" s="131"/>
      <c r="DD31" s="159">
        <f t="shared" si="11"/>
        <v>0</v>
      </c>
      <c r="DE31" s="160">
        <f t="shared" si="12"/>
        <v>0</v>
      </c>
      <c r="DF31" s="161">
        <f t="shared" si="13"/>
        <v>0</v>
      </c>
      <c r="DG31" s="162" t="e">
        <f t="shared" si="14"/>
        <v>#DIV/0!</v>
      </c>
      <c r="DH31" s="163">
        <f t="shared" si="15"/>
        <v>0</v>
      </c>
      <c r="DI31" s="164"/>
      <c r="DJ31" s="165">
        <f t="shared" si="16"/>
        <v>0</v>
      </c>
      <c r="DK31" s="166">
        <f t="shared" si="16"/>
        <v>0</v>
      </c>
      <c r="DL31" s="167" t="e">
        <f t="shared" si="17"/>
        <v>#DIV/0!</v>
      </c>
      <c r="DM31" s="168" t="e">
        <f t="shared" si="18"/>
        <v>#DIV/0!</v>
      </c>
      <c r="DN31" s="163" t="e">
        <f t="shared" si="19"/>
        <v>#DIV/0!</v>
      </c>
      <c r="DO31" s="169"/>
      <c r="DP31" s="170"/>
      <c r="DQ31" s="171"/>
      <c r="DR31" s="172">
        <f t="shared" si="20"/>
        <v>0</v>
      </c>
      <c r="DS31" s="173" t="e">
        <f t="shared" si="21"/>
        <v>#DIV/0!</v>
      </c>
      <c r="DT31" s="163" t="e">
        <f t="shared" si="22"/>
        <v>#DIV/0!</v>
      </c>
      <c r="DU31" s="174"/>
      <c r="DV31" s="175" t="e">
        <f t="shared" si="23"/>
        <v>#DIV/0!</v>
      </c>
      <c r="DW31" s="163">
        <f t="shared" si="24"/>
        <v>0</v>
      </c>
      <c r="DX31" s="164"/>
      <c r="DY31" s="176">
        <f t="shared" si="25"/>
        <v>0</v>
      </c>
      <c r="DZ31" s="177">
        <f t="shared" si="26"/>
        <v>0</v>
      </c>
      <c r="EA31" s="178">
        <f t="shared" si="27"/>
        <v>0</v>
      </c>
      <c r="EB31" s="179">
        <f t="shared" si="28"/>
        <v>0</v>
      </c>
      <c r="EC31" s="180"/>
      <c r="ED31" s="175" t="e">
        <f t="shared" si="29"/>
        <v>#DIV/0!</v>
      </c>
      <c r="EE31" s="163">
        <f t="shared" si="30"/>
        <v>0</v>
      </c>
      <c r="EF31" s="164"/>
      <c r="EG31" s="181">
        <f t="shared" si="31"/>
        <v>0</v>
      </c>
      <c r="EH31" s="182">
        <f t="shared" si="32"/>
        <v>0</v>
      </c>
      <c r="EI31" s="182">
        <f t="shared" si="33"/>
        <v>0</v>
      </c>
      <c r="EJ31" s="182">
        <f t="shared" si="34"/>
        <v>0</v>
      </c>
      <c r="EK31" s="183">
        <f t="shared" si="35"/>
        <v>0</v>
      </c>
      <c r="EL31" s="184" t="e">
        <f t="shared" si="36"/>
        <v>#DIV/0!</v>
      </c>
      <c r="EM31" s="185">
        <f t="shared" si="37"/>
        <v>0</v>
      </c>
      <c r="EN31" s="164"/>
      <c r="EO31" s="181">
        <f t="shared" si="38"/>
        <v>0</v>
      </c>
      <c r="EP31" s="183">
        <f t="shared" si="39"/>
        <v>0</v>
      </c>
      <c r="EQ31" s="184" t="e">
        <f t="shared" si="40"/>
        <v>#DIV/0!</v>
      </c>
      <c r="ER31" s="185">
        <f t="shared" si="41"/>
        <v>0</v>
      </c>
      <c r="ES31" s="164"/>
      <c r="ET31" s="164"/>
      <c r="EU31" s="186">
        <f t="shared" si="42"/>
        <v>0</v>
      </c>
      <c r="EV31" s="186">
        <f t="shared" si="43"/>
        <v>0</v>
      </c>
      <c r="EW31" s="186">
        <f t="shared" si="44"/>
        <v>0</v>
      </c>
      <c r="EX31" s="186">
        <f t="shared" si="45"/>
        <v>0</v>
      </c>
      <c r="EY31" s="131"/>
      <c r="EZ31" s="187">
        <f t="shared" si="46"/>
        <v>0</v>
      </c>
      <c r="FA31" s="188" t="e">
        <f t="shared" si="47"/>
        <v>#DIV/0!</v>
      </c>
      <c r="FB31" s="189"/>
      <c r="FC31" s="131"/>
      <c r="FD31" s="131"/>
      <c r="FE31" s="131"/>
      <c r="FF31" s="131"/>
      <c r="FG31" s="131"/>
    </row>
    <row r="32" spans="1:163" ht="16" outlineLevel="1" thickBot="1" x14ac:dyDescent="0.4">
      <c r="B32" s="356"/>
      <c r="C32" s="353"/>
      <c r="D32" s="190"/>
      <c r="E32" s="134"/>
      <c r="F32" s="135"/>
      <c r="G32" s="136"/>
      <c r="H32" s="137"/>
      <c r="I32" s="138">
        <f>IF(E32&gt;0.0001,12.5,0)</f>
        <v>0</v>
      </c>
      <c r="J32" s="139"/>
      <c r="K32" s="193">
        <f t="shared" si="49"/>
        <v>0</v>
      </c>
      <c r="L32" s="141"/>
      <c r="M32" s="194"/>
      <c r="N32" s="195"/>
      <c r="O32" s="195"/>
      <c r="P32" s="195"/>
      <c r="Q32" s="195"/>
      <c r="R32" s="143"/>
      <c r="S32" s="195"/>
      <c r="T32" s="195"/>
      <c r="U32" s="195"/>
      <c r="V32" s="195"/>
      <c r="W32" s="195"/>
      <c r="X32" s="195"/>
      <c r="Y32" s="195"/>
      <c r="Z32" s="195"/>
      <c r="AA32" s="194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6"/>
      <c r="AN32" s="197">
        <f t="shared" si="2"/>
        <v>0</v>
      </c>
      <c r="AO32" s="146"/>
      <c r="AP32" s="147">
        <f t="shared" si="3"/>
        <v>0</v>
      </c>
      <c r="AQ32" s="148"/>
      <c r="AR32" s="198"/>
      <c r="AS32" s="198"/>
      <c r="AT32" s="135"/>
      <c r="AU32" s="199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1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1"/>
      <c r="BR32" s="199"/>
      <c r="BS32" s="200"/>
      <c r="BT32" s="200"/>
      <c r="BU32" s="200"/>
      <c r="BV32" s="200"/>
      <c r="BW32" s="200"/>
      <c r="BX32" s="200"/>
      <c r="BY32" s="200"/>
      <c r="BZ32" s="200"/>
      <c r="CA32" s="200"/>
      <c r="CB32" s="200"/>
      <c r="CC32" s="202"/>
      <c r="CD32" s="199"/>
      <c r="CE32" s="194"/>
      <c r="CF32" s="195"/>
      <c r="CG32" s="195"/>
      <c r="CH32" s="195"/>
      <c r="CI32" s="195"/>
      <c r="CJ32" s="195"/>
      <c r="CK32" s="195"/>
      <c r="CL32" s="195"/>
      <c r="CM32" s="195"/>
      <c r="CN32" s="195"/>
      <c r="CO32" s="347"/>
      <c r="CP32" s="200"/>
      <c r="CQ32" s="201"/>
      <c r="CR32" s="202"/>
      <c r="CS32" s="203">
        <f t="shared" si="48"/>
        <v>0</v>
      </c>
      <c r="CT32" s="146"/>
      <c r="CU32" s="147">
        <f t="shared" si="4"/>
        <v>0</v>
      </c>
      <c r="CV32" s="156"/>
      <c r="CW32" s="157" t="e">
        <f t="shared" si="5"/>
        <v>#DIV/0!</v>
      </c>
      <c r="CX32" s="157" t="e">
        <f t="shared" si="6"/>
        <v>#DIV/0!</v>
      </c>
      <c r="CY32" s="157" t="e">
        <f t="shared" si="7"/>
        <v>#DIV/0!</v>
      </c>
      <c r="CZ32" s="157" t="e">
        <f t="shared" si="8"/>
        <v>#DIV/0!</v>
      </c>
      <c r="DA32" s="157" t="e">
        <f t="shared" si="9"/>
        <v>#DIV/0!</v>
      </c>
      <c r="DB32" s="158" t="e">
        <f t="shared" si="10"/>
        <v>#DIV/0!</v>
      </c>
      <c r="DC32" s="131"/>
      <c r="DD32" s="159">
        <f t="shared" si="11"/>
        <v>0</v>
      </c>
      <c r="DE32" s="160">
        <f t="shared" si="12"/>
        <v>0</v>
      </c>
      <c r="DF32" s="161">
        <f t="shared" si="13"/>
        <v>0</v>
      </c>
      <c r="DG32" s="162" t="e">
        <f t="shared" si="14"/>
        <v>#DIV/0!</v>
      </c>
      <c r="DH32" s="163">
        <f t="shared" si="15"/>
        <v>0</v>
      </c>
      <c r="DI32" s="164"/>
      <c r="DJ32" s="165">
        <f t="shared" si="16"/>
        <v>0</v>
      </c>
      <c r="DK32" s="166">
        <f t="shared" si="16"/>
        <v>0</v>
      </c>
      <c r="DL32" s="167" t="e">
        <f t="shared" si="17"/>
        <v>#DIV/0!</v>
      </c>
      <c r="DM32" s="168" t="e">
        <f t="shared" si="18"/>
        <v>#DIV/0!</v>
      </c>
      <c r="DN32" s="163" t="e">
        <f t="shared" si="19"/>
        <v>#DIV/0!</v>
      </c>
      <c r="DO32" s="169"/>
      <c r="DP32" s="170"/>
      <c r="DQ32" s="171"/>
      <c r="DR32" s="172">
        <f t="shared" si="20"/>
        <v>0</v>
      </c>
      <c r="DS32" s="173" t="e">
        <f t="shared" si="21"/>
        <v>#DIV/0!</v>
      </c>
      <c r="DT32" s="163" t="e">
        <f t="shared" si="22"/>
        <v>#DIV/0!</v>
      </c>
      <c r="DU32" s="174"/>
      <c r="DV32" s="175" t="e">
        <f t="shared" si="23"/>
        <v>#DIV/0!</v>
      </c>
      <c r="DW32" s="163">
        <f t="shared" si="24"/>
        <v>0</v>
      </c>
      <c r="DX32" s="164"/>
      <c r="DY32" s="176">
        <f t="shared" si="25"/>
        <v>0</v>
      </c>
      <c r="DZ32" s="177">
        <f t="shared" si="26"/>
        <v>0</v>
      </c>
      <c r="EA32" s="178">
        <f t="shared" si="27"/>
        <v>0</v>
      </c>
      <c r="EB32" s="179">
        <f t="shared" si="28"/>
        <v>0</v>
      </c>
      <c r="EC32" s="180"/>
      <c r="ED32" s="175" t="e">
        <f t="shared" si="29"/>
        <v>#DIV/0!</v>
      </c>
      <c r="EE32" s="163">
        <f t="shared" si="30"/>
        <v>0</v>
      </c>
      <c r="EF32" s="164"/>
      <c r="EG32" s="181">
        <f t="shared" si="31"/>
        <v>0</v>
      </c>
      <c r="EH32" s="182">
        <f t="shared" si="32"/>
        <v>0</v>
      </c>
      <c r="EI32" s="182">
        <f t="shared" si="33"/>
        <v>0</v>
      </c>
      <c r="EJ32" s="182">
        <f t="shared" si="34"/>
        <v>0</v>
      </c>
      <c r="EK32" s="183">
        <f t="shared" si="35"/>
        <v>0</v>
      </c>
      <c r="EL32" s="184" t="e">
        <f t="shared" si="36"/>
        <v>#DIV/0!</v>
      </c>
      <c r="EM32" s="185">
        <f t="shared" si="37"/>
        <v>0</v>
      </c>
      <c r="EN32" s="164"/>
      <c r="EO32" s="181">
        <f t="shared" si="38"/>
        <v>0</v>
      </c>
      <c r="EP32" s="183">
        <f t="shared" si="39"/>
        <v>0</v>
      </c>
      <c r="EQ32" s="184" t="e">
        <f t="shared" si="40"/>
        <v>#DIV/0!</v>
      </c>
      <c r="ER32" s="185">
        <f t="shared" si="41"/>
        <v>0</v>
      </c>
      <c r="ES32" s="164"/>
      <c r="ET32" s="164"/>
      <c r="EU32" s="186">
        <f t="shared" si="42"/>
        <v>0</v>
      </c>
      <c r="EV32" s="186">
        <f t="shared" si="43"/>
        <v>0</v>
      </c>
      <c r="EW32" s="186">
        <f t="shared" si="44"/>
        <v>0</v>
      </c>
      <c r="EX32" s="186">
        <f t="shared" si="45"/>
        <v>0</v>
      </c>
      <c r="EY32" s="131"/>
      <c r="EZ32" s="187">
        <f t="shared" si="46"/>
        <v>0</v>
      </c>
      <c r="FA32" s="188" t="e">
        <f t="shared" si="47"/>
        <v>#DIV/0!</v>
      </c>
      <c r="FB32" s="189"/>
      <c r="FC32" s="131"/>
      <c r="FD32" s="131"/>
      <c r="FE32" s="131"/>
      <c r="FF32" s="131"/>
      <c r="FG32" s="131"/>
    </row>
    <row r="33" spans="2:163" ht="16" outlineLevel="1" thickBot="1" x14ac:dyDescent="0.4">
      <c r="B33" s="357"/>
      <c r="C33" s="354"/>
      <c r="D33" s="204"/>
      <c r="E33" s="205"/>
      <c r="F33" s="135"/>
      <c r="G33" s="206"/>
      <c r="H33" s="137"/>
      <c r="I33" s="138">
        <f>IF(E33&gt;0.0001,12.5,0)</f>
        <v>0</v>
      </c>
      <c r="J33" s="139"/>
      <c r="K33" s="208">
        <f t="shared" si="49"/>
        <v>0</v>
      </c>
      <c r="L33" s="141"/>
      <c r="M33" s="209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09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1"/>
      <c r="AN33" s="212">
        <f t="shared" si="2"/>
        <v>0</v>
      </c>
      <c r="AO33" s="146"/>
      <c r="AP33" s="147">
        <f t="shared" si="3"/>
        <v>0</v>
      </c>
      <c r="AQ33" s="148"/>
      <c r="AR33" s="213"/>
      <c r="AS33" s="213"/>
      <c r="AT33" s="135"/>
      <c r="AU33" s="214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4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7"/>
      <c r="CD33" s="214"/>
      <c r="CE33" s="209"/>
      <c r="CF33" s="210"/>
      <c r="CG33" s="210"/>
      <c r="CH33" s="210"/>
      <c r="CI33" s="210"/>
      <c r="CJ33" s="210"/>
      <c r="CK33" s="210"/>
      <c r="CL33" s="210"/>
      <c r="CM33" s="210"/>
      <c r="CN33" s="210"/>
      <c r="CO33" s="348"/>
      <c r="CP33" s="215"/>
      <c r="CQ33" s="216"/>
      <c r="CR33" s="217"/>
      <c r="CS33" s="218">
        <f t="shared" si="48"/>
        <v>0</v>
      </c>
      <c r="CT33" s="146"/>
      <c r="CU33" s="147">
        <f t="shared" si="4"/>
        <v>0</v>
      </c>
      <c r="CV33" s="156"/>
      <c r="CW33" s="157" t="e">
        <f t="shared" si="5"/>
        <v>#DIV/0!</v>
      </c>
      <c r="CX33" s="157" t="e">
        <f t="shared" si="6"/>
        <v>#DIV/0!</v>
      </c>
      <c r="CY33" s="157" t="e">
        <f t="shared" si="7"/>
        <v>#DIV/0!</v>
      </c>
      <c r="CZ33" s="157" t="e">
        <f t="shared" si="8"/>
        <v>#DIV/0!</v>
      </c>
      <c r="DA33" s="157" t="e">
        <f t="shared" si="9"/>
        <v>#DIV/0!</v>
      </c>
      <c r="DB33" s="158" t="e">
        <f t="shared" si="10"/>
        <v>#DIV/0!</v>
      </c>
      <c r="DC33" s="131"/>
      <c r="DD33" s="159">
        <f t="shared" si="11"/>
        <v>0</v>
      </c>
      <c r="DE33" s="160">
        <f t="shared" si="12"/>
        <v>0</v>
      </c>
      <c r="DF33" s="161">
        <f t="shared" si="13"/>
        <v>0</v>
      </c>
      <c r="DG33" s="162" t="e">
        <f t="shared" si="14"/>
        <v>#DIV/0!</v>
      </c>
      <c r="DH33" s="163">
        <f t="shared" si="15"/>
        <v>0</v>
      </c>
      <c r="DI33" s="164"/>
      <c r="DJ33" s="165">
        <f t="shared" si="16"/>
        <v>0</v>
      </c>
      <c r="DK33" s="166">
        <f t="shared" si="16"/>
        <v>0</v>
      </c>
      <c r="DL33" s="167" t="e">
        <f t="shared" si="17"/>
        <v>#DIV/0!</v>
      </c>
      <c r="DM33" s="168" t="e">
        <f t="shared" si="18"/>
        <v>#DIV/0!</v>
      </c>
      <c r="DN33" s="163" t="e">
        <f t="shared" si="19"/>
        <v>#DIV/0!</v>
      </c>
      <c r="DO33" s="169"/>
      <c r="DP33" s="170"/>
      <c r="DQ33" s="171"/>
      <c r="DR33" s="172">
        <f t="shared" si="20"/>
        <v>0</v>
      </c>
      <c r="DS33" s="173" t="e">
        <f t="shared" si="21"/>
        <v>#DIV/0!</v>
      </c>
      <c r="DT33" s="163" t="e">
        <f t="shared" si="22"/>
        <v>#DIV/0!</v>
      </c>
      <c r="DU33" s="174"/>
      <c r="DV33" s="175" t="e">
        <f t="shared" si="23"/>
        <v>#DIV/0!</v>
      </c>
      <c r="DW33" s="163">
        <f t="shared" si="24"/>
        <v>0</v>
      </c>
      <c r="DX33" s="164"/>
      <c r="DY33" s="176">
        <f t="shared" si="25"/>
        <v>0</v>
      </c>
      <c r="DZ33" s="177">
        <f t="shared" si="26"/>
        <v>0</v>
      </c>
      <c r="EA33" s="178">
        <f t="shared" si="27"/>
        <v>0</v>
      </c>
      <c r="EB33" s="179">
        <f t="shared" si="28"/>
        <v>0</v>
      </c>
      <c r="EC33" s="180"/>
      <c r="ED33" s="175" t="e">
        <f t="shared" si="29"/>
        <v>#DIV/0!</v>
      </c>
      <c r="EE33" s="163">
        <f t="shared" si="30"/>
        <v>0</v>
      </c>
      <c r="EF33" s="164"/>
      <c r="EG33" s="181">
        <f t="shared" si="31"/>
        <v>0</v>
      </c>
      <c r="EH33" s="182">
        <f t="shared" si="32"/>
        <v>0</v>
      </c>
      <c r="EI33" s="182">
        <f t="shared" si="33"/>
        <v>0</v>
      </c>
      <c r="EJ33" s="182">
        <f t="shared" si="34"/>
        <v>0</v>
      </c>
      <c r="EK33" s="183">
        <f t="shared" si="35"/>
        <v>0</v>
      </c>
      <c r="EL33" s="184" t="e">
        <f t="shared" si="36"/>
        <v>#DIV/0!</v>
      </c>
      <c r="EM33" s="185">
        <f t="shared" si="37"/>
        <v>0</v>
      </c>
      <c r="EN33" s="164"/>
      <c r="EO33" s="181">
        <f t="shared" si="38"/>
        <v>0</v>
      </c>
      <c r="EP33" s="183">
        <f t="shared" si="39"/>
        <v>0</v>
      </c>
      <c r="EQ33" s="184" t="e">
        <f t="shared" si="40"/>
        <v>#DIV/0!</v>
      </c>
      <c r="ER33" s="185">
        <f t="shared" si="41"/>
        <v>0</v>
      </c>
      <c r="ES33" s="164"/>
      <c r="ET33" s="164"/>
      <c r="EU33" s="186">
        <f t="shared" si="42"/>
        <v>0</v>
      </c>
      <c r="EV33" s="186">
        <f t="shared" si="43"/>
        <v>0</v>
      </c>
      <c r="EW33" s="186">
        <f t="shared" si="44"/>
        <v>0</v>
      </c>
      <c r="EX33" s="186">
        <f t="shared" si="45"/>
        <v>0</v>
      </c>
      <c r="EY33" s="131"/>
      <c r="EZ33" s="187">
        <f t="shared" si="46"/>
        <v>0</v>
      </c>
      <c r="FA33" s="188" t="e">
        <f t="shared" si="47"/>
        <v>#DIV/0!</v>
      </c>
      <c r="FB33" s="189"/>
      <c r="FC33" s="131"/>
      <c r="FD33" s="131"/>
      <c r="FE33" s="131"/>
      <c r="FF33" s="131"/>
      <c r="FG33" s="131"/>
    </row>
    <row r="34" spans="2:163" ht="16" outlineLevel="1" thickBot="1" x14ac:dyDescent="0.4">
      <c r="B34" s="358"/>
      <c r="C34" s="355"/>
      <c r="D34" s="204"/>
      <c r="E34" s="205"/>
      <c r="F34" s="135"/>
      <c r="G34" s="206"/>
      <c r="H34" s="137"/>
      <c r="I34" s="138">
        <f t="shared" si="0"/>
        <v>0</v>
      </c>
      <c r="J34" s="139"/>
      <c r="K34" s="208">
        <f t="shared" si="49"/>
        <v>0</v>
      </c>
      <c r="L34" s="141"/>
      <c r="M34" s="209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09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1"/>
      <c r="AN34" s="212">
        <f t="shared" si="2"/>
        <v>0</v>
      </c>
      <c r="AO34" s="146"/>
      <c r="AP34" s="147">
        <f t="shared" si="3"/>
        <v>0</v>
      </c>
      <c r="AQ34" s="148"/>
      <c r="AR34" s="213"/>
      <c r="AS34" s="213"/>
      <c r="AT34" s="135"/>
      <c r="AU34" s="214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4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7"/>
      <c r="CD34" s="214"/>
      <c r="CE34" s="209"/>
      <c r="CF34" s="210"/>
      <c r="CG34" s="210"/>
      <c r="CH34" s="210"/>
      <c r="CI34" s="210"/>
      <c r="CJ34" s="210"/>
      <c r="CK34" s="210"/>
      <c r="CL34" s="210"/>
      <c r="CM34" s="210"/>
      <c r="CN34" s="210"/>
      <c r="CO34" s="348"/>
      <c r="CP34" s="215"/>
      <c r="CQ34" s="216"/>
      <c r="CR34" s="217"/>
      <c r="CS34" s="218">
        <f t="shared" si="48"/>
        <v>0</v>
      </c>
      <c r="CT34" s="146"/>
      <c r="CU34" s="147">
        <f t="shared" si="4"/>
        <v>0</v>
      </c>
      <c r="CV34" s="156"/>
      <c r="CW34" s="157" t="e">
        <f t="shared" si="5"/>
        <v>#DIV/0!</v>
      </c>
      <c r="CX34" s="157" t="e">
        <f t="shared" si="6"/>
        <v>#DIV/0!</v>
      </c>
      <c r="CY34" s="157" t="e">
        <f t="shared" si="7"/>
        <v>#DIV/0!</v>
      </c>
      <c r="CZ34" s="157" t="e">
        <f t="shared" si="8"/>
        <v>#DIV/0!</v>
      </c>
      <c r="DA34" s="157" t="e">
        <f t="shared" si="9"/>
        <v>#DIV/0!</v>
      </c>
      <c r="DB34" s="158" t="e">
        <f t="shared" si="10"/>
        <v>#DIV/0!</v>
      </c>
      <c r="DC34" s="131"/>
      <c r="DD34" s="159">
        <f t="shared" si="11"/>
        <v>0</v>
      </c>
      <c r="DE34" s="160">
        <f t="shared" si="12"/>
        <v>0</v>
      </c>
      <c r="DF34" s="161">
        <f t="shared" si="13"/>
        <v>0</v>
      </c>
      <c r="DG34" s="162" t="e">
        <f t="shared" si="14"/>
        <v>#DIV/0!</v>
      </c>
      <c r="DH34" s="163">
        <f t="shared" si="15"/>
        <v>0</v>
      </c>
      <c r="DI34" s="164"/>
      <c r="DJ34" s="165">
        <f t="shared" si="16"/>
        <v>0</v>
      </c>
      <c r="DK34" s="166">
        <f t="shared" si="16"/>
        <v>0</v>
      </c>
      <c r="DL34" s="167" t="e">
        <f t="shared" si="17"/>
        <v>#DIV/0!</v>
      </c>
      <c r="DM34" s="168" t="e">
        <f t="shared" si="18"/>
        <v>#DIV/0!</v>
      </c>
      <c r="DN34" s="163" t="e">
        <f t="shared" si="19"/>
        <v>#DIV/0!</v>
      </c>
      <c r="DO34" s="169"/>
      <c r="DP34" s="170"/>
      <c r="DQ34" s="171"/>
      <c r="DR34" s="172">
        <f t="shared" si="20"/>
        <v>0</v>
      </c>
      <c r="DS34" s="173" t="e">
        <f t="shared" si="21"/>
        <v>#DIV/0!</v>
      </c>
      <c r="DT34" s="163" t="e">
        <f t="shared" si="22"/>
        <v>#DIV/0!</v>
      </c>
      <c r="DU34" s="174"/>
      <c r="DV34" s="175" t="e">
        <f t="shared" si="23"/>
        <v>#DIV/0!</v>
      </c>
      <c r="DW34" s="163">
        <f t="shared" si="24"/>
        <v>0</v>
      </c>
      <c r="DX34" s="164"/>
      <c r="DY34" s="176">
        <f t="shared" si="25"/>
        <v>0</v>
      </c>
      <c r="DZ34" s="177">
        <f t="shared" si="26"/>
        <v>0</v>
      </c>
      <c r="EA34" s="178">
        <f t="shared" si="27"/>
        <v>0</v>
      </c>
      <c r="EB34" s="179">
        <f t="shared" si="28"/>
        <v>0</v>
      </c>
      <c r="EC34" s="180"/>
      <c r="ED34" s="175" t="e">
        <f t="shared" si="29"/>
        <v>#DIV/0!</v>
      </c>
      <c r="EE34" s="163">
        <f t="shared" si="30"/>
        <v>0</v>
      </c>
      <c r="EF34" s="164"/>
      <c r="EG34" s="181">
        <f t="shared" si="31"/>
        <v>0</v>
      </c>
      <c r="EH34" s="182">
        <f t="shared" si="32"/>
        <v>0</v>
      </c>
      <c r="EI34" s="182">
        <f t="shared" si="33"/>
        <v>0</v>
      </c>
      <c r="EJ34" s="182">
        <f t="shared" si="34"/>
        <v>0</v>
      </c>
      <c r="EK34" s="183">
        <f t="shared" si="35"/>
        <v>0</v>
      </c>
      <c r="EL34" s="184" t="e">
        <f t="shared" si="36"/>
        <v>#DIV/0!</v>
      </c>
      <c r="EM34" s="185">
        <f t="shared" si="37"/>
        <v>0</v>
      </c>
      <c r="EN34" s="164"/>
      <c r="EO34" s="181">
        <f t="shared" si="38"/>
        <v>0</v>
      </c>
      <c r="EP34" s="183">
        <f t="shared" si="39"/>
        <v>0</v>
      </c>
      <c r="EQ34" s="184" t="e">
        <f t="shared" si="40"/>
        <v>#DIV/0!</v>
      </c>
      <c r="ER34" s="185">
        <f t="shared" si="41"/>
        <v>0</v>
      </c>
      <c r="ES34" s="164"/>
      <c r="ET34" s="164"/>
      <c r="EU34" s="186">
        <f t="shared" si="42"/>
        <v>0</v>
      </c>
      <c r="EV34" s="186">
        <f t="shared" si="43"/>
        <v>0</v>
      </c>
      <c r="EW34" s="186">
        <f t="shared" si="44"/>
        <v>0</v>
      </c>
      <c r="EX34" s="186">
        <f t="shared" si="45"/>
        <v>0</v>
      </c>
      <c r="EY34" s="131"/>
      <c r="EZ34" s="187">
        <f t="shared" si="46"/>
        <v>0</v>
      </c>
      <c r="FA34" s="188" t="e">
        <f t="shared" si="47"/>
        <v>#DIV/0!</v>
      </c>
      <c r="FB34" s="189"/>
      <c r="FC34" s="131"/>
      <c r="FD34" s="131"/>
      <c r="FE34" s="131"/>
      <c r="FF34" s="131"/>
      <c r="FG34" s="131"/>
    </row>
    <row r="35" spans="2:163" s="220" customFormat="1" ht="16" outlineLevel="1" thickBot="1" x14ac:dyDescent="0.4">
      <c r="B35" s="356"/>
      <c r="C35" s="353"/>
      <c r="D35" s="133"/>
      <c r="E35" s="134"/>
      <c r="F35" s="135"/>
      <c r="G35" s="136"/>
      <c r="H35" s="137"/>
      <c r="I35" s="138">
        <f>IF(E35&gt;0.0001,12.5,0)</f>
        <v>0</v>
      </c>
      <c r="J35" s="139"/>
      <c r="K35" s="140">
        <f t="shared" si="49"/>
        <v>0</v>
      </c>
      <c r="L35" s="141"/>
      <c r="M35" s="142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2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4"/>
      <c r="AN35" s="145">
        <f t="shared" si="2"/>
        <v>0</v>
      </c>
      <c r="AO35" s="146"/>
      <c r="AP35" s="147">
        <f t="shared" si="3"/>
        <v>0</v>
      </c>
      <c r="AQ35" s="221"/>
      <c r="AR35" s="149"/>
      <c r="AS35" s="149"/>
      <c r="AT35" s="222"/>
      <c r="AU35" s="223"/>
      <c r="AV35" s="224"/>
      <c r="AW35" s="224"/>
      <c r="AX35" s="224"/>
      <c r="AY35" s="224"/>
      <c r="AZ35" s="224"/>
      <c r="BA35" s="224"/>
      <c r="BB35" s="151"/>
      <c r="BC35" s="151"/>
      <c r="BD35" s="151"/>
      <c r="BE35" s="151"/>
      <c r="BF35" s="152"/>
      <c r="BG35" s="152"/>
      <c r="BH35" s="152"/>
      <c r="BI35" s="152"/>
      <c r="BJ35" s="225"/>
      <c r="BK35" s="225"/>
      <c r="BL35" s="225"/>
      <c r="BM35" s="152"/>
      <c r="BN35" s="152"/>
      <c r="BO35" s="225"/>
      <c r="BP35" s="225"/>
      <c r="BQ35" s="225"/>
      <c r="BR35" s="223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6"/>
      <c r="CD35" s="223"/>
      <c r="CE35" s="142"/>
      <c r="CF35" s="143"/>
      <c r="CG35" s="143"/>
      <c r="CH35" s="143"/>
      <c r="CI35" s="143"/>
      <c r="CJ35" s="143"/>
      <c r="CK35" s="143"/>
      <c r="CL35" s="143"/>
      <c r="CM35" s="143"/>
      <c r="CN35" s="143"/>
      <c r="CO35" s="349"/>
      <c r="CP35" s="224"/>
      <c r="CQ35" s="225"/>
      <c r="CR35" s="226"/>
      <c r="CS35" s="227">
        <f t="shared" si="48"/>
        <v>0</v>
      </c>
      <c r="CT35" s="146"/>
      <c r="CU35" s="147">
        <f t="shared" si="4"/>
        <v>0</v>
      </c>
      <c r="CV35" s="156"/>
      <c r="CW35" s="157" t="e">
        <f t="shared" si="5"/>
        <v>#DIV/0!</v>
      </c>
      <c r="CX35" s="157" t="e">
        <f t="shared" si="6"/>
        <v>#DIV/0!</v>
      </c>
      <c r="CY35" s="157" t="e">
        <f t="shared" si="7"/>
        <v>#DIV/0!</v>
      </c>
      <c r="CZ35" s="157" t="e">
        <f t="shared" si="8"/>
        <v>#DIV/0!</v>
      </c>
      <c r="DA35" s="157" t="e">
        <f t="shared" si="9"/>
        <v>#DIV/0!</v>
      </c>
      <c r="DB35" s="158" t="e">
        <f t="shared" si="10"/>
        <v>#DIV/0!</v>
      </c>
      <c r="DC35" s="131"/>
      <c r="DD35" s="159">
        <f t="shared" si="11"/>
        <v>0</v>
      </c>
      <c r="DE35" s="160">
        <f t="shared" si="12"/>
        <v>0</v>
      </c>
      <c r="DF35" s="161">
        <f t="shared" si="13"/>
        <v>0</v>
      </c>
      <c r="DG35" s="162" t="e">
        <f t="shared" si="14"/>
        <v>#DIV/0!</v>
      </c>
      <c r="DH35" s="163">
        <f t="shared" si="15"/>
        <v>0</v>
      </c>
      <c r="DI35" s="164"/>
      <c r="DJ35" s="165">
        <f t="shared" si="16"/>
        <v>0</v>
      </c>
      <c r="DK35" s="166">
        <f t="shared" si="16"/>
        <v>0</v>
      </c>
      <c r="DL35" s="167" t="e">
        <f t="shared" si="17"/>
        <v>#DIV/0!</v>
      </c>
      <c r="DM35" s="168" t="e">
        <f t="shared" si="18"/>
        <v>#DIV/0!</v>
      </c>
      <c r="DN35" s="163" t="e">
        <f t="shared" si="19"/>
        <v>#DIV/0!</v>
      </c>
      <c r="DO35" s="169"/>
      <c r="DP35" s="171"/>
      <c r="DQ35" s="171"/>
      <c r="DR35" s="172">
        <f t="shared" si="20"/>
        <v>0</v>
      </c>
      <c r="DS35" s="173" t="e">
        <f t="shared" si="21"/>
        <v>#DIV/0!</v>
      </c>
      <c r="DT35" s="163" t="e">
        <f t="shared" si="22"/>
        <v>#DIV/0!</v>
      </c>
      <c r="DU35" s="174"/>
      <c r="DV35" s="175" t="e">
        <f t="shared" si="23"/>
        <v>#DIV/0!</v>
      </c>
      <c r="DW35" s="163">
        <f t="shared" si="24"/>
        <v>0</v>
      </c>
      <c r="DX35" s="164"/>
      <c r="DY35" s="176">
        <f t="shared" si="25"/>
        <v>0</v>
      </c>
      <c r="DZ35" s="177">
        <f t="shared" si="26"/>
        <v>0</v>
      </c>
      <c r="EA35" s="178">
        <f t="shared" si="27"/>
        <v>0</v>
      </c>
      <c r="EB35" s="179">
        <f t="shared" si="28"/>
        <v>0</v>
      </c>
      <c r="EC35" s="180"/>
      <c r="ED35" s="175" t="e">
        <f t="shared" si="29"/>
        <v>#DIV/0!</v>
      </c>
      <c r="EE35" s="163">
        <f t="shared" si="30"/>
        <v>0</v>
      </c>
      <c r="EF35" s="164"/>
      <c r="EG35" s="181">
        <f t="shared" si="31"/>
        <v>0</v>
      </c>
      <c r="EH35" s="182">
        <f t="shared" si="32"/>
        <v>0</v>
      </c>
      <c r="EI35" s="182">
        <f t="shared" si="33"/>
        <v>0</v>
      </c>
      <c r="EJ35" s="182">
        <f t="shared" si="34"/>
        <v>0</v>
      </c>
      <c r="EK35" s="183">
        <f t="shared" si="35"/>
        <v>0</v>
      </c>
      <c r="EL35" s="184" t="e">
        <f t="shared" si="36"/>
        <v>#DIV/0!</v>
      </c>
      <c r="EM35" s="185">
        <f t="shared" si="37"/>
        <v>0</v>
      </c>
      <c r="EN35" s="164"/>
      <c r="EO35" s="181">
        <f t="shared" si="38"/>
        <v>0</v>
      </c>
      <c r="EP35" s="183">
        <f t="shared" si="39"/>
        <v>0</v>
      </c>
      <c r="EQ35" s="184" t="e">
        <f t="shared" si="40"/>
        <v>#DIV/0!</v>
      </c>
      <c r="ER35" s="185">
        <f t="shared" si="41"/>
        <v>0</v>
      </c>
      <c r="ES35" s="164"/>
      <c r="ET35" s="164"/>
      <c r="EU35" s="186">
        <f t="shared" si="42"/>
        <v>0</v>
      </c>
      <c r="EV35" s="186">
        <f t="shared" si="43"/>
        <v>0</v>
      </c>
      <c r="EW35" s="186">
        <f t="shared" si="44"/>
        <v>0</v>
      </c>
      <c r="EX35" s="186">
        <f t="shared" si="45"/>
        <v>0</v>
      </c>
      <c r="EY35" s="131"/>
      <c r="EZ35" s="187">
        <f t="shared" si="46"/>
        <v>0</v>
      </c>
      <c r="FA35" s="188" t="e">
        <f t="shared" si="47"/>
        <v>#DIV/0!</v>
      </c>
      <c r="FB35" s="189"/>
      <c r="FC35" s="219"/>
      <c r="FD35" s="219"/>
      <c r="FE35" s="219"/>
      <c r="FF35" s="219"/>
      <c r="FG35" s="219"/>
    </row>
    <row r="36" spans="2:163" ht="16" outlineLevel="1" thickBot="1" x14ac:dyDescent="0.4">
      <c r="B36" s="357"/>
      <c r="C36" s="354"/>
      <c r="D36" s="190"/>
      <c r="E36" s="191"/>
      <c r="F36" s="135"/>
      <c r="G36" s="192"/>
      <c r="H36" s="137"/>
      <c r="I36" s="138">
        <f t="shared" si="0"/>
        <v>0</v>
      </c>
      <c r="J36" s="139"/>
      <c r="K36" s="193">
        <f t="shared" si="49"/>
        <v>0</v>
      </c>
      <c r="L36" s="141"/>
      <c r="M36" s="194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4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6"/>
      <c r="AN36" s="197">
        <f t="shared" si="2"/>
        <v>0</v>
      </c>
      <c r="AO36" s="146"/>
      <c r="AP36" s="147">
        <f t="shared" si="3"/>
        <v>0</v>
      </c>
      <c r="AQ36" s="148"/>
      <c r="AR36" s="198"/>
      <c r="AS36" s="198"/>
      <c r="AT36" s="135"/>
      <c r="AU36" s="199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1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1"/>
      <c r="BR36" s="199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2"/>
      <c r="CD36" s="199"/>
      <c r="CE36" s="194"/>
      <c r="CF36" s="195"/>
      <c r="CG36" s="195"/>
      <c r="CH36" s="195"/>
      <c r="CI36" s="195"/>
      <c r="CJ36" s="195"/>
      <c r="CK36" s="195"/>
      <c r="CL36" s="195"/>
      <c r="CM36" s="195"/>
      <c r="CN36" s="195"/>
      <c r="CO36" s="347"/>
      <c r="CP36" s="200"/>
      <c r="CQ36" s="201"/>
      <c r="CR36" s="202"/>
      <c r="CS36" s="203">
        <f t="shared" si="48"/>
        <v>0</v>
      </c>
      <c r="CT36" s="146"/>
      <c r="CU36" s="147">
        <f t="shared" si="4"/>
        <v>0</v>
      </c>
      <c r="CV36" s="156"/>
      <c r="CW36" s="157" t="e">
        <f t="shared" si="5"/>
        <v>#DIV/0!</v>
      </c>
      <c r="CX36" s="157" t="e">
        <f t="shared" si="6"/>
        <v>#DIV/0!</v>
      </c>
      <c r="CY36" s="157" t="e">
        <f t="shared" si="7"/>
        <v>#DIV/0!</v>
      </c>
      <c r="CZ36" s="157" t="e">
        <f t="shared" si="8"/>
        <v>#DIV/0!</v>
      </c>
      <c r="DA36" s="157" t="e">
        <f t="shared" si="9"/>
        <v>#DIV/0!</v>
      </c>
      <c r="DB36" s="158" t="e">
        <f t="shared" si="10"/>
        <v>#DIV/0!</v>
      </c>
      <c r="DC36" s="131"/>
      <c r="DD36" s="159">
        <f t="shared" si="11"/>
        <v>0</v>
      </c>
      <c r="DE36" s="160">
        <f t="shared" si="12"/>
        <v>0</v>
      </c>
      <c r="DF36" s="161">
        <f t="shared" si="13"/>
        <v>0</v>
      </c>
      <c r="DG36" s="162" t="e">
        <f t="shared" si="14"/>
        <v>#DIV/0!</v>
      </c>
      <c r="DH36" s="163">
        <f t="shared" si="15"/>
        <v>0</v>
      </c>
      <c r="DI36" s="164"/>
      <c r="DJ36" s="165">
        <f t="shared" si="16"/>
        <v>0</v>
      </c>
      <c r="DK36" s="166">
        <v>0</v>
      </c>
      <c r="DL36" s="167" t="e">
        <f t="shared" si="17"/>
        <v>#DIV/0!</v>
      </c>
      <c r="DM36" s="168" t="e">
        <f t="shared" si="18"/>
        <v>#DIV/0!</v>
      </c>
      <c r="DN36" s="163" t="e">
        <f t="shared" si="19"/>
        <v>#DIV/0!</v>
      </c>
      <c r="DO36" s="169"/>
      <c r="DP36" s="170"/>
      <c r="DQ36" s="171"/>
      <c r="DR36" s="172">
        <f t="shared" si="20"/>
        <v>0</v>
      </c>
      <c r="DS36" s="173" t="e">
        <f t="shared" si="21"/>
        <v>#DIV/0!</v>
      </c>
      <c r="DT36" s="163" t="e">
        <f t="shared" si="22"/>
        <v>#DIV/0!</v>
      </c>
      <c r="DU36" s="174"/>
      <c r="DV36" s="175" t="e">
        <f t="shared" si="23"/>
        <v>#DIV/0!</v>
      </c>
      <c r="DW36" s="163">
        <f t="shared" si="24"/>
        <v>0</v>
      </c>
      <c r="DX36" s="164"/>
      <c r="DY36" s="176">
        <f t="shared" si="25"/>
        <v>0</v>
      </c>
      <c r="DZ36" s="177">
        <f t="shared" si="26"/>
        <v>0</v>
      </c>
      <c r="EA36" s="178">
        <f t="shared" si="27"/>
        <v>0</v>
      </c>
      <c r="EB36" s="179">
        <f t="shared" si="28"/>
        <v>0</v>
      </c>
      <c r="EC36" s="180"/>
      <c r="ED36" s="175" t="e">
        <f t="shared" si="29"/>
        <v>#DIV/0!</v>
      </c>
      <c r="EE36" s="163">
        <f t="shared" si="30"/>
        <v>0</v>
      </c>
      <c r="EF36" s="164"/>
      <c r="EG36" s="181">
        <f t="shared" si="31"/>
        <v>0</v>
      </c>
      <c r="EH36" s="182">
        <f t="shared" si="32"/>
        <v>0</v>
      </c>
      <c r="EI36" s="182">
        <f t="shared" si="33"/>
        <v>0</v>
      </c>
      <c r="EJ36" s="182">
        <f t="shared" si="34"/>
        <v>0</v>
      </c>
      <c r="EK36" s="183">
        <f t="shared" si="35"/>
        <v>0</v>
      </c>
      <c r="EL36" s="184" t="e">
        <f t="shared" si="36"/>
        <v>#DIV/0!</v>
      </c>
      <c r="EM36" s="185">
        <f t="shared" si="37"/>
        <v>0</v>
      </c>
      <c r="EN36" s="164"/>
      <c r="EO36" s="181">
        <f t="shared" si="38"/>
        <v>0</v>
      </c>
      <c r="EP36" s="183">
        <f t="shared" si="39"/>
        <v>0</v>
      </c>
      <c r="EQ36" s="184" t="e">
        <f t="shared" si="40"/>
        <v>#DIV/0!</v>
      </c>
      <c r="ER36" s="185">
        <f t="shared" si="41"/>
        <v>0</v>
      </c>
      <c r="ES36" s="164"/>
      <c r="ET36" s="164"/>
      <c r="EU36" s="186">
        <f t="shared" si="42"/>
        <v>0</v>
      </c>
      <c r="EV36" s="186">
        <f t="shared" si="43"/>
        <v>0</v>
      </c>
      <c r="EW36" s="186">
        <f t="shared" si="44"/>
        <v>0</v>
      </c>
      <c r="EX36" s="186">
        <f t="shared" si="45"/>
        <v>0</v>
      </c>
      <c r="EY36" s="131"/>
      <c r="EZ36" s="187">
        <f t="shared" si="46"/>
        <v>0</v>
      </c>
      <c r="FA36" s="188" t="e">
        <f t="shared" si="47"/>
        <v>#DIV/0!</v>
      </c>
      <c r="FB36" s="189"/>
      <c r="FC36" s="131"/>
      <c r="FD36" s="131"/>
      <c r="FE36" s="131"/>
      <c r="FF36" s="131"/>
      <c r="FG36" s="131"/>
    </row>
    <row r="37" spans="2:163" ht="16" outlineLevel="1" thickBot="1" x14ac:dyDescent="0.4">
      <c r="B37" s="358"/>
      <c r="C37" s="355"/>
      <c r="D37" s="190"/>
      <c r="E37" s="191"/>
      <c r="F37" s="135"/>
      <c r="G37" s="192"/>
      <c r="H37" s="137"/>
      <c r="I37" s="138">
        <f t="shared" si="0"/>
        <v>0</v>
      </c>
      <c r="J37" s="139"/>
      <c r="K37" s="193">
        <f t="shared" si="49"/>
        <v>0</v>
      </c>
      <c r="L37" s="141"/>
      <c r="M37" s="194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4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6"/>
      <c r="AN37" s="197">
        <f t="shared" si="2"/>
        <v>0</v>
      </c>
      <c r="AO37" s="146"/>
      <c r="AP37" s="147">
        <f t="shared" si="3"/>
        <v>0</v>
      </c>
      <c r="AQ37" s="148"/>
      <c r="AR37" s="198"/>
      <c r="AS37" s="198"/>
      <c r="AT37" s="135"/>
      <c r="AU37" s="199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1"/>
      <c r="BG37" s="201"/>
      <c r="BH37" s="201"/>
      <c r="BI37" s="201"/>
      <c r="BJ37" s="201"/>
      <c r="BK37" s="201"/>
      <c r="BL37" s="201"/>
      <c r="BM37" s="201"/>
      <c r="BN37" s="201"/>
      <c r="BO37" s="201"/>
      <c r="BP37" s="201"/>
      <c r="BQ37" s="201"/>
      <c r="BR37" s="199"/>
      <c r="BS37" s="200"/>
      <c r="BT37" s="200"/>
      <c r="BU37" s="200"/>
      <c r="BV37" s="200"/>
      <c r="BW37" s="200"/>
      <c r="BX37" s="200"/>
      <c r="BY37" s="200"/>
      <c r="BZ37" s="200"/>
      <c r="CA37" s="200"/>
      <c r="CB37" s="200"/>
      <c r="CC37" s="202"/>
      <c r="CD37" s="199"/>
      <c r="CE37" s="194"/>
      <c r="CF37" s="195"/>
      <c r="CG37" s="195"/>
      <c r="CH37" s="195"/>
      <c r="CI37" s="195"/>
      <c r="CJ37" s="195"/>
      <c r="CK37" s="195"/>
      <c r="CL37" s="195"/>
      <c r="CM37" s="195"/>
      <c r="CN37" s="195"/>
      <c r="CO37" s="347"/>
      <c r="CP37" s="200"/>
      <c r="CQ37" s="201"/>
      <c r="CR37" s="202"/>
      <c r="CS37" s="203">
        <f t="shared" si="48"/>
        <v>0</v>
      </c>
      <c r="CT37" s="146"/>
      <c r="CU37" s="147">
        <f t="shared" si="4"/>
        <v>0</v>
      </c>
      <c r="CV37" s="156"/>
      <c r="CW37" s="157" t="e">
        <f t="shared" si="5"/>
        <v>#DIV/0!</v>
      </c>
      <c r="CX37" s="157" t="e">
        <f t="shared" si="6"/>
        <v>#DIV/0!</v>
      </c>
      <c r="CY37" s="157" t="e">
        <f t="shared" si="7"/>
        <v>#DIV/0!</v>
      </c>
      <c r="CZ37" s="157" t="e">
        <f t="shared" si="8"/>
        <v>#DIV/0!</v>
      </c>
      <c r="DA37" s="157" t="e">
        <f t="shared" si="9"/>
        <v>#DIV/0!</v>
      </c>
      <c r="DB37" s="158" t="e">
        <f t="shared" si="10"/>
        <v>#DIV/0!</v>
      </c>
      <c r="DC37" s="131"/>
      <c r="DD37" s="159">
        <f t="shared" si="11"/>
        <v>0</v>
      </c>
      <c r="DE37" s="160">
        <f t="shared" si="12"/>
        <v>0</v>
      </c>
      <c r="DF37" s="161">
        <f t="shared" si="13"/>
        <v>0</v>
      </c>
      <c r="DG37" s="162" t="e">
        <f t="shared" si="14"/>
        <v>#DIV/0!</v>
      </c>
      <c r="DH37" s="163">
        <f t="shared" si="15"/>
        <v>0</v>
      </c>
      <c r="DI37" s="164"/>
      <c r="DJ37" s="165">
        <f t="shared" si="16"/>
        <v>0</v>
      </c>
      <c r="DK37" s="166">
        <v>0</v>
      </c>
      <c r="DL37" s="167" t="e">
        <f t="shared" si="17"/>
        <v>#DIV/0!</v>
      </c>
      <c r="DM37" s="168" t="e">
        <f t="shared" si="18"/>
        <v>#DIV/0!</v>
      </c>
      <c r="DN37" s="163" t="e">
        <f t="shared" si="19"/>
        <v>#DIV/0!</v>
      </c>
      <c r="DO37" s="169"/>
      <c r="DP37" s="170"/>
      <c r="DQ37" s="171"/>
      <c r="DR37" s="172">
        <f t="shared" si="20"/>
        <v>0</v>
      </c>
      <c r="DS37" s="173" t="e">
        <f t="shared" si="21"/>
        <v>#DIV/0!</v>
      </c>
      <c r="DT37" s="163" t="e">
        <f t="shared" si="22"/>
        <v>#DIV/0!</v>
      </c>
      <c r="DU37" s="174"/>
      <c r="DV37" s="175" t="e">
        <f t="shared" si="23"/>
        <v>#DIV/0!</v>
      </c>
      <c r="DW37" s="163">
        <f t="shared" si="24"/>
        <v>0</v>
      </c>
      <c r="DX37" s="164"/>
      <c r="DY37" s="176">
        <f t="shared" si="25"/>
        <v>0</v>
      </c>
      <c r="DZ37" s="177">
        <f t="shared" si="26"/>
        <v>0</v>
      </c>
      <c r="EA37" s="178">
        <f t="shared" si="27"/>
        <v>0</v>
      </c>
      <c r="EB37" s="179">
        <f t="shared" si="28"/>
        <v>0</v>
      </c>
      <c r="EC37" s="180"/>
      <c r="ED37" s="175" t="e">
        <f t="shared" si="29"/>
        <v>#DIV/0!</v>
      </c>
      <c r="EE37" s="163">
        <f t="shared" si="30"/>
        <v>0</v>
      </c>
      <c r="EF37" s="164"/>
      <c r="EG37" s="181">
        <f t="shared" si="31"/>
        <v>0</v>
      </c>
      <c r="EH37" s="182">
        <f t="shared" si="32"/>
        <v>0</v>
      </c>
      <c r="EI37" s="182">
        <f t="shared" si="33"/>
        <v>0</v>
      </c>
      <c r="EJ37" s="182">
        <f t="shared" si="34"/>
        <v>0</v>
      </c>
      <c r="EK37" s="183">
        <f t="shared" si="35"/>
        <v>0</v>
      </c>
      <c r="EL37" s="184" t="e">
        <f t="shared" si="36"/>
        <v>#DIV/0!</v>
      </c>
      <c r="EM37" s="185">
        <f t="shared" si="37"/>
        <v>0</v>
      </c>
      <c r="EN37" s="164"/>
      <c r="EO37" s="181">
        <f t="shared" si="38"/>
        <v>0</v>
      </c>
      <c r="EP37" s="183">
        <f t="shared" si="39"/>
        <v>0</v>
      </c>
      <c r="EQ37" s="184" t="e">
        <f t="shared" si="40"/>
        <v>#DIV/0!</v>
      </c>
      <c r="ER37" s="185">
        <f t="shared" si="41"/>
        <v>0</v>
      </c>
      <c r="ES37" s="164"/>
      <c r="ET37" s="164"/>
      <c r="EU37" s="186">
        <f t="shared" si="42"/>
        <v>0</v>
      </c>
      <c r="EV37" s="186">
        <f t="shared" si="43"/>
        <v>0</v>
      </c>
      <c r="EW37" s="186">
        <f t="shared" si="44"/>
        <v>0</v>
      </c>
      <c r="EX37" s="186">
        <f t="shared" si="45"/>
        <v>0</v>
      </c>
      <c r="EY37" s="131"/>
      <c r="EZ37" s="187">
        <f t="shared" si="46"/>
        <v>0</v>
      </c>
      <c r="FA37" s="188" t="e">
        <f t="shared" si="47"/>
        <v>#DIV/0!</v>
      </c>
      <c r="FB37" s="189"/>
      <c r="FC37" s="131"/>
      <c r="FD37" s="131"/>
      <c r="FE37" s="131"/>
      <c r="FF37" s="131"/>
      <c r="FG37" s="131"/>
    </row>
    <row r="38" spans="2:163" s="220" customFormat="1" ht="16" outlineLevel="1" thickBot="1" x14ac:dyDescent="0.4">
      <c r="B38" s="356"/>
      <c r="C38" s="353"/>
      <c r="D38" s="133"/>
      <c r="E38" s="134"/>
      <c r="F38" s="135"/>
      <c r="G38" s="136"/>
      <c r="H38" s="137"/>
      <c r="I38" s="138">
        <f t="shared" si="0"/>
        <v>0</v>
      </c>
      <c r="J38" s="139"/>
      <c r="K38" s="140">
        <f t="shared" si="49"/>
        <v>0</v>
      </c>
      <c r="L38" s="141"/>
      <c r="M38" s="142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2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4"/>
      <c r="AN38" s="145">
        <f t="shared" si="2"/>
        <v>0</v>
      </c>
      <c r="AO38" s="146"/>
      <c r="AP38" s="147">
        <f t="shared" si="3"/>
        <v>0</v>
      </c>
      <c r="AQ38" s="221"/>
      <c r="AR38" s="149"/>
      <c r="AS38" s="149"/>
      <c r="AT38" s="222"/>
      <c r="AU38" s="223"/>
      <c r="AV38" s="224"/>
      <c r="AW38" s="224"/>
      <c r="AX38" s="224"/>
      <c r="AY38" s="224"/>
      <c r="AZ38" s="224"/>
      <c r="BA38" s="224"/>
      <c r="BB38" s="151"/>
      <c r="BC38" s="151"/>
      <c r="BD38" s="151"/>
      <c r="BE38" s="151"/>
      <c r="BF38" s="152"/>
      <c r="BG38" s="152"/>
      <c r="BH38" s="152"/>
      <c r="BI38" s="152"/>
      <c r="BJ38" s="225"/>
      <c r="BK38" s="225"/>
      <c r="BL38" s="225"/>
      <c r="BM38" s="152"/>
      <c r="BN38" s="152"/>
      <c r="BO38" s="225"/>
      <c r="BP38" s="225"/>
      <c r="BQ38" s="225"/>
      <c r="BR38" s="223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6"/>
      <c r="CD38" s="223"/>
      <c r="CE38" s="142"/>
      <c r="CF38" s="143"/>
      <c r="CG38" s="143"/>
      <c r="CH38" s="143"/>
      <c r="CI38" s="143"/>
      <c r="CJ38" s="143"/>
      <c r="CK38" s="143"/>
      <c r="CL38" s="143"/>
      <c r="CM38" s="143"/>
      <c r="CN38" s="143"/>
      <c r="CO38" s="349"/>
      <c r="CP38" s="224"/>
      <c r="CQ38" s="225"/>
      <c r="CR38" s="226"/>
      <c r="CS38" s="227">
        <f t="shared" si="48"/>
        <v>0</v>
      </c>
      <c r="CT38" s="146"/>
      <c r="CU38" s="147">
        <f t="shared" si="4"/>
        <v>0</v>
      </c>
      <c r="CV38" s="156"/>
      <c r="CW38" s="157" t="e">
        <f t="shared" si="5"/>
        <v>#DIV/0!</v>
      </c>
      <c r="CX38" s="157" t="e">
        <f t="shared" si="6"/>
        <v>#DIV/0!</v>
      </c>
      <c r="CY38" s="157" t="e">
        <f t="shared" si="7"/>
        <v>#DIV/0!</v>
      </c>
      <c r="CZ38" s="157" t="e">
        <f t="shared" si="8"/>
        <v>#DIV/0!</v>
      </c>
      <c r="DA38" s="157" t="e">
        <f t="shared" si="9"/>
        <v>#DIV/0!</v>
      </c>
      <c r="DB38" s="158" t="e">
        <f t="shared" si="10"/>
        <v>#DIV/0!</v>
      </c>
      <c r="DC38" s="131"/>
      <c r="DD38" s="159">
        <f t="shared" si="11"/>
        <v>0</v>
      </c>
      <c r="DE38" s="160">
        <f t="shared" si="12"/>
        <v>0</v>
      </c>
      <c r="DF38" s="161">
        <f t="shared" si="13"/>
        <v>0</v>
      </c>
      <c r="DG38" s="162" t="e">
        <f t="shared" si="14"/>
        <v>#DIV/0!</v>
      </c>
      <c r="DH38" s="163">
        <f t="shared" si="15"/>
        <v>0</v>
      </c>
      <c r="DI38" s="164"/>
      <c r="DJ38" s="165">
        <f t="shared" ref="DJ38:DK67" si="50">H38</f>
        <v>0</v>
      </c>
      <c r="DK38" s="166">
        <f t="shared" si="50"/>
        <v>0</v>
      </c>
      <c r="DL38" s="167" t="e">
        <f t="shared" si="17"/>
        <v>#DIV/0!</v>
      </c>
      <c r="DM38" s="168" t="e">
        <f t="shared" si="18"/>
        <v>#DIV/0!</v>
      </c>
      <c r="DN38" s="163" t="e">
        <f t="shared" si="19"/>
        <v>#DIV/0!</v>
      </c>
      <c r="DO38" s="169"/>
      <c r="DP38" s="170"/>
      <c r="DQ38" s="171"/>
      <c r="DR38" s="172">
        <f t="shared" si="20"/>
        <v>0</v>
      </c>
      <c r="DS38" s="173" t="e">
        <f t="shared" si="21"/>
        <v>#DIV/0!</v>
      </c>
      <c r="DT38" s="163" t="e">
        <f t="shared" si="22"/>
        <v>#DIV/0!</v>
      </c>
      <c r="DU38" s="174"/>
      <c r="DV38" s="175" t="e">
        <f t="shared" si="23"/>
        <v>#DIV/0!</v>
      </c>
      <c r="DW38" s="163">
        <f t="shared" si="24"/>
        <v>0</v>
      </c>
      <c r="DX38" s="164"/>
      <c r="DY38" s="176">
        <f t="shared" si="25"/>
        <v>0</v>
      </c>
      <c r="DZ38" s="177">
        <f t="shared" si="26"/>
        <v>0</v>
      </c>
      <c r="EA38" s="178">
        <f t="shared" si="27"/>
        <v>0</v>
      </c>
      <c r="EB38" s="179">
        <f t="shared" si="28"/>
        <v>0</v>
      </c>
      <c r="EC38" s="180"/>
      <c r="ED38" s="175" t="e">
        <f t="shared" si="29"/>
        <v>#DIV/0!</v>
      </c>
      <c r="EE38" s="163">
        <f t="shared" si="30"/>
        <v>0</v>
      </c>
      <c r="EF38" s="164"/>
      <c r="EG38" s="181">
        <f t="shared" si="31"/>
        <v>0</v>
      </c>
      <c r="EH38" s="182">
        <f t="shared" si="32"/>
        <v>0</v>
      </c>
      <c r="EI38" s="182">
        <f t="shared" si="33"/>
        <v>0</v>
      </c>
      <c r="EJ38" s="182">
        <f t="shared" si="34"/>
        <v>0</v>
      </c>
      <c r="EK38" s="183">
        <f t="shared" si="35"/>
        <v>0</v>
      </c>
      <c r="EL38" s="184" t="e">
        <f t="shared" si="36"/>
        <v>#DIV/0!</v>
      </c>
      <c r="EM38" s="185">
        <f t="shared" si="37"/>
        <v>0</v>
      </c>
      <c r="EN38" s="164"/>
      <c r="EO38" s="181">
        <f t="shared" si="38"/>
        <v>0</v>
      </c>
      <c r="EP38" s="183">
        <f t="shared" si="39"/>
        <v>0</v>
      </c>
      <c r="EQ38" s="184" t="e">
        <f t="shared" si="40"/>
        <v>#DIV/0!</v>
      </c>
      <c r="ER38" s="185">
        <f t="shared" si="41"/>
        <v>0</v>
      </c>
      <c r="ES38" s="164"/>
      <c r="ET38" s="164"/>
      <c r="EU38" s="186">
        <f t="shared" si="42"/>
        <v>0</v>
      </c>
      <c r="EV38" s="186">
        <f t="shared" si="43"/>
        <v>0</v>
      </c>
      <c r="EW38" s="186">
        <f t="shared" si="44"/>
        <v>0</v>
      </c>
      <c r="EX38" s="186">
        <f t="shared" si="45"/>
        <v>0</v>
      </c>
      <c r="EY38" s="131"/>
      <c r="EZ38" s="187">
        <f t="shared" si="46"/>
        <v>0</v>
      </c>
      <c r="FA38" s="188" t="e">
        <f t="shared" si="47"/>
        <v>#DIV/0!</v>
      </c>
      <c r="FB38" s="189"/>
      <c r="FC38" s="219"/>
      <c r="FD38" s="219"/>
      <c r="FE38" s="219"/>
      <c r="FF38" s="219"/>
      <c r="FG38" s="219"/>
    </row>
    <row r="39" spans="2:163" ht="16" outlineLevel="1" thickBot="1" x14ac:dyDescent="0.4">
      <c r="B39" s="357"/>
      <c r="C39" s="354"/>
      <c r="D39" s="190"/>
      <c r="E39" s="191"/>
      <c r="F39" s="135"/>
      <c r="G39" s="192"/>
      <c r="H39" s="137"/>
      <c r="I39" s="138">
        <f t="shared" si="0"/>
        <v>0</v>
      </c>
      <c r="J39" s="139"/>
      <c r="K39" s="193">
        <f t="shared" si="49"/>
        <v>0</v>
      </c>
      <c r="L39" s="141"/>
      <c r="M39" s="194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4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6"/>
      <c r="AN39" s="197">
        <f t="shared" si="2"/>
        <v>0</v>
      </c>
      <c r="AO39" s="146"/>
      <c r="AP39" s="147">
        <f t="shared" si="3"/>
        <v>0</v>
      </c>
      <c r="AQ39" s="148"/>
      <c r="AR39" s="198"/>
      <c r="AS39" s="198"/>
      <c r="AT39" s="135"/>
      <c r="AU39" s="199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1"/>
      <c r="BG39" s="201"/>
      <c r="BH39" s="201"/>
      <c r="BI39" s="201"/>
      <c r="BJ39" s="201"/>
      <c r="BK39" s="201"/>
      <c r="BL39" s="201"/>
      <c r="BM39" s="201"/>
      <c r="BN39" s="201"/>
      <c r="BO39" s="201"/>
      <c r="BP39" s="201"/>
      <c r="BQ39" s="201"/>
      <c r="BR39" s="199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2"/>
      <c r="CD39" s="199"/>
      <c r="CE39" s="194"/>
      <c r="CF39" s="195"/>
      <c r="CG39" s="195"/>
      <c r="CH39" s="195"/>
      <c r="CI39" s="195"/>
      <c r="CJ39" s="195"/>
      <c r="CK39" s="195"/>
      <c r="CL39" s="195"/>
      <c r="CM39" s="195"/>
      <c r="CN39" s="195"/>
      <c r="CO39" s="347"/>
      <c r="CP39" s="200"/>
      <c r="CQ39" s="201"/>
      <c r="CR39" s="202"/>
      <c r="CS39" s="203">
        <f t="shared" si="48"/>
        <v>0</v>
      </c>
      <c r="CT39" s="146"/>
      <c r="CU39" s="147">
        <f t="shared" si="4"/>
        <v>0</v>
      </c>
      <c r="CV39" s="156"/>
      <c r="CW39" s="157" t="e">
        <f t="shared" si="5"/>
        <v>#DIV/0!</v>
      </c>
      <c r="CX39" s="157" t="e">
        <f t="shared" si="6"/>
        <v>#DIV/0!</v>
      </c>
      <c r="CY39" s="157" t="e">
        <f t="shared" si="7"/>
        <v>#DIV/0!</v>
      </c>
      <c r="CZ39" s="157" t="e">
        <f t="shared" si="8"/>
        <v>#DIV/0!</v>
      </c>
      <c r="DA39" s="157" t="e">
        <f t="shared" si="9"/>
        <v>#DIV/0!</v>
      </c>
      <c r="DB39" s="158" t="e">
        <f t="shared" si="10"/>
        <v>#DIV/0!</v>
      </c>
      <c r="DC39" s="131"/>
      <c r="DD39" s="159">
        <f t="shared" si="11"/>
        <v>0</v>
      </c>
      <c r="DE39" s="160">
        <f t="shared" si="12"/>
        <v>0</v>
      </c>
      <c r="DF39" s="161">
        <f t="shared" si="13"/>
        <v>0</v>
      </c>
      <c r="DG39" s="162" t="e">
        <f t="shared" si="14"/>
        <v>#DIV/0!</v>
      </c>
      <c r="DH39" s="163">
        <f t="shared" si="15"/>
        <v>0</v>
      </c>
      <c r="DI39" s="164"/>
      <c r="DJ39" s="165">
        <f t="shared" si="50"/>
        <v>0</v>
      </c>
      <c r="DK39" s="166">
        <v>0</v>
      </c>
      <c r="DL39" s="167" t="e">
        <f t="shared" si="17"/>
        <v>#DIV/0!</v>
      </c>
      <c r="DM39" s="168" t="e">
        <f t="shared" si="18"/>
        <v>#DIV/0!</v>
      </c>
      <c r="DN39" s="163" t="e">
        <f t="shared" si="19"/>
        <v>#DIV/0!</v>
      </c>
      <c r="DO39" s="169"/>
      <c r="DP39" s="170"/>
      <c r="DQ39" s="171"/>
      <c r="DR39" s="172">
        <f t="shared" si="20"/>
        <v>0</v>
      </c>
      <c r="DS39" s="173" t="e">
        <f t="shared" si="21"/>
        <v>#DIV/0!</v>
      </c>
      <c r="DT39" s="163" t="e">
        <f t="shared" si="22"/>
        <v>#DIV/0!</v>
      </c>
      <c r="DU39" s="174"/>
      <c r="DV39" s="175" t="e">
        <f t="shared" si="23"/>
        <v>#DIV/0!</v>
      </c>
      <c r="DW39" s="163">
        <f t="shared" si="24"/>
        <v>0</v>
      </c>
      <c r="DX39" s="164"/>
      <c r="DY39" s="176">
        <f t="shared" si="25"/>
        <v>0</v>
      </c>
      <c r="DZ39" s="177">
        <f t="shared" si="26"/>
        <v>0</v>
      </c>
      <c r="EA39" s="178">
        <f t="shared" si="27"/>
        <v>0</v>
      </c>
      <c r="EB39" s="179">
        <f t="shared" si="28"/>
        <v>0</v>
      </c>
      <c r="EC39" s="180"/>
      <c r="ED39" s="175" t="e">
        <f t="shared" si="29"/>
        <v>#DIV/0!</v>
      </c>
      <c r="EE39" s="163">
        <f t="shared" si="30"/>
        <v>0</v>
      </c>
      <c r="EF39" s="164"/>
      <c r="EG39" s="181">
        <f t="shared" si="31"/>
        <v>0</v>
      </c>
      <c r="EH39" s="182">
        <f t="shared" si="32"/>
        <v>0</v>
      </c>
      <c r="EI39" s="182">
        <f t="shared" si="33"/>
        <v>0</v>
      </c>
      <c r="EJ39" s="182">
        <f t="shared" si="34"/>
        <v>0</v>
      </c>
      <c r="EK39" s="183">
        <f t="shared" si="35"/>
        <v>0</v>
      </c>
      <c r="EL39" s="184" t="e">
        <f t="shared" si="36"/>
        <v>#DIV/0!</v>
      </c>
      <c r="EM39" s="185">
        <f t="shared" si="37"/>
        <v>0</v>
      </c>
      <c r="EN39" s="164"/>
      <c r="EO39" s="181">
        <f t="shared" si="38"/>
        <v>0</v>
      </c>
      <c r="EP39" s="183">
        <f t="shared" si="39"/>
        <v>0</v>
      </c>
      <c r="EQ39" s="184" t="e">
        <f t="shared" si="40"/>
        <v>#DIV/0!</v>
      </c>
      <c r="ER39" s="185">
        <f t="shared" si="41"/>
        <v>0</v>
      </c>
      <c r="ES39" s="164"/>
      <c r="ET39" s="164"/>
      <c r="EU39" s="186">
        <f t="shared" si="42"/>
        <v>0</v>
      </c>
      <c r="EV39" s="186">
        <f t="shared" si="43"/>
        <v>0</v>
      </c>
      <c r="EW39" s="186">
        <f t="shared" si="44"/>
        <v>0</v>
      </c>
      <c r="EX39" s="186">
        <f t="shared" si="45"/>
        <v>0</v>
      </c>
      <c r="EY39" s="131"/>
      <c r="EZ39" s="187">
        <f t="shared" si="46"/>
        <v>0</v>
      </c>
      <c r="FA39" s="188" t="e">
        <f t="shared" si="47"/>
        <v>#DIV/0!</v>
      </c>
      <c r="FB39" s="189"/>
      <c r="FC39" s="131"/>
      <c r="FD39" s="131"/>
      <c r="FE39" s="131"/>
      <c r="FF39" s="131"/>
      <c r="FG39" s="131"/>
    </row>
    <row r="40" spans="2:163" ht="16" outlineLevel="1" thickBot="1" x14ac:dyDescent="0.4">
      <c r="B40" s="358"/>
      <c r="C40" s="355"/>
      <c r="D40" s="190"/>
      <c r="E40" s="191"/>
      <c r="F40" s="135"/>
      <c r="G40" s="192"/>
      <c r="H40" s="137"/>
      <c r="I40" s="138">
        <f t="shared" si="0"/>
        <v>0</v>
      </c>
      <c r="J40" s="139"/>
      <c r="K40" s="193">
        <f t="shared" si="49"/>
        <v>0</v>
      </c>
      <c r="L40" s="141"/>
      <c r="M40" s="194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4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6"/>
      <c r="AN40" s="197">
        <f t="shared" si="2"/>
        <v>0</v>
      </c>
      <c r="AO40" s="146"/>
      <c r="AP40" s="147">
        <f t="shared" si="3"/>
        <v>0</v>
      </c>
      <c r="AQ40" s="148"/>
      <c r="AR40" s="198"/>
      <c r="AS40" s="198"/>
      <c r="AT40" s="135"/>
      <c r="AU40" s="199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1"/>
      <c r="BG40" s="201"/>
      <c r="BH40" s="201"/>
      <c r="BI40" s="201"/>
      <c r="BJ40" s="201"/>
      <c r="BK40" s="201"/>
      <c r="BL40" s="201"/>
      <c r="BM40" s="201"/>
      <c r="BN40" s="201"/>
      <c r="BO40" s="201"/>
      <c r="BP40" s="201"/>
      <c r="BQ40" s="201"/>
      <c r="BR40" s="199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2"/>
      <c r="CD40" s="199"/>
      <c r="CE40" s="194"/>
      <c r="CF40" s="195"/>
      <c r="CG40" s="195"/>
      <c r="CH40" s="195"/>
      <c r="CI40" s="195"/>
      <c r="CJ40" s="195"/>
      <c r="CK40" s="195"/>
      <c r="CL40" s="195"/>
      <c r="CM40" s="195"/>
      <c r="CN40" s="195"/>
      <c r="CO40" s="347"/>
      <c r="CP40" s="200"/>
      <c r="CQ40" s="201"/>
      <c r="CR40" s="202"/>
      <c r="CS40" s="203">
        <f t="shared" si="48"/>
        <v>0</v>
      </c>
      <c r="CT40" s="146"/>
      <c r="CU40" s="147">
        <f t="shared" si="4"/>
        <v>0</v>
      </c>
      <c r="CV40" s="156"/>
      <c r="CW40" s="157" t="e">
        <f t="shared" si="5"/>
        <v>#DIV/0!</v>
      </c>
      <c r="CX40" s="157" t="e">
        <f t="shared" si="6"/>
        <v>#DIV/0!</v>
      </c>
      <c r="CY40" s="157" t="e">
        <f t="shared" si="7"/>
        <v>#DIV/0!</v>
      </c>
      <c r="CZ40" s="157" t="e">
        <f t="shared" si="8"/>
        <v>#DIV/0!</v>
      </c>
      <c r="DA40" s="157" t="e">
        <f t="shared" si="9"/>
        <v>#DIV/0!</v>
      </c>
      <c r="DB40" s="158" t="e">
        <f t="shared" si="10"/>
        <v>#DIV/0!</v>
      </c>
      <c r="DC40" s="131"/>
      <c r="DD40" s="159">
        <f t="shared" si="11"/>
        <v>0</v>
      </c>
      <c r="DE40" s="160">
        <f t="shared" si="12"/>
        <v>0</v>
      </c>
      <c r="DF40" s="161">
        <f t="shared" si="13"/>
        <v>0</v>
      </c>
      <c r="DG40" s="162" t="e">
        <f t="shared" si="14"/>
        <v>#DIV/0!</v>
      </c>
      <c r="DH40" s="163">
        <f t="shared" si="15"/>
        <v>0</v>
      </c>
      <c r="DI40" s="164"/>
      <c r="DJ40" s="165">
        <f t="shared" si="50"/>
        <v>0</v>
      </c>
      <c r="DK40" s="166">
        <v>0</v>
      </c>
      <c r="DL40" s="167" t="e">
        <f t="shared" si="17"/>
        <v>#DIV/0!</v>
      </c>
      <c r="DM40" s="168" t="e">
        <f t="shared" si="18"/>
        <v>#DIV/0!</v>
      </c>
      <c r="DN40" s="163" t="e">
        <f t="shared" si="19"/>
        <v>#DIV/0!</v>
      </c>
      <c r="DO40" s="169"/>
      <c r="DP40" s="170"/>
      <c r="DQ40" s="171"/>
      <c r="DR40" s="172">
        <f t="shared" si="20"/>
        <v>0</v>
      </c>
      <c r="DS40" s="173" t="e">
        <f t="shared" si="21"/>
        <v>#DIV/0!</v>
      </c>
      <c r="DT40" s="163" t="e">
        <f t="shared" si="22"/>
        <v>#DIV/0!</v>
      </c>
      <c r="DU40" s="174"/>
      <c r="DV40" s="175" t="e">
        <f t="shared" si="23"/>
        <v>#DIV/0!</v>
      </c>
      <c r="DW40" s="163">
        <f t="shared" si="24"/>
        <v>0</v>
      </c>
      <c r="DX40" s="164"/>
      <c r="DY40" s="176">
        <f t="shared" si="25"/>
        <v>0</v>
      </c>
      <c r="DZ40" s="177">
        <f t="shared" si="26"/>
        <v>0</v>
      </c>
      <c r="EA40" s="178">
        <f t="shared" si="27"/>
        <v>0</v>
      </c>
      <c r="EB40" s="179">
        <f t="shared" si="28"/>
        <v>0</v>
      </c>
      <c r="EC40" s="180"/>
      <c r="ED40" s="175" t="e">
        <f t="shared" si="29"/>
        <v>#DIV/0!</v>
      </c>
      <c r="EE40" s="163">
        <f t="shared" si="30"/>
        <v>0</v>
      </c>
      <c r="EF40" s="164"/>
      <c r="EG40" s="181">
        <f t="shared" si="31"/>
        <v>0</v>
      </c>
      <c r="EH40" s="182">
        <f t="shared" si="32"/>
        <v>0</v>
      </c>
      <c r="EI40" s="182">
        <f t="shared" si="33"/>
        <v>0</v>
      </c>
      <c r="EJ40" s="182">
        <f t="shared" si="34"/>
        <v>0</v>
      </c>
      <c r="EK40" s="183">
        <f t="shared" si="35"/>
        <v>0</v>
      </c>
      <c r="EL40" s="184" t="e">
        <f t="shared" si="36"/>
        <v>#DIV/0!</v>
      </c>
      <c r="EM40" s="185">
        <f t="shared" si="37"/>
        <v>0</v>
      </c>
      <c r="EN40" s="164"/>
      <c r="EO40" s="181">
        <f t="shared" si="38"/>
        <v>0</v>
      </c>
      <c r="EP40" s="183">
        <f t="shared" si="39"/>
        <v>0</v>
      </c>
      <c r="EQ40" s="184" t="e">
        <f t="shared" si="40"/>
        <v>#DIV/0!</v>
      </c>
      <c r="ER40" s="185">
        <f t="shared" si="41"/>
        <v>0</v>
      </c>
      <c r="ES40" s="164"/>
      <c r="ET40" s="164"/>
      <c r="EU40" s="186">
        <f t="shared" si="42"/>
        <v>0</v>
      </c>
      <c r="EV40" s="186">
        <f t="shared" si="43"/>
        <v>0</v>
      </c>
      <c r="EW40" s="186">
        <f t="shared" si="44"/>
        <v>0</v>
      </c>
      <c r="EX40" s="186">
        <f t="shared" si="45"/>
        <v>0</v>
      </c>
      <c r="EY40" s="131"/>
      <c r="EZ40" s="187">
        <f t="shared" si="46"/>
        <v>0</v>
      </c>
      <c r="FA40" s="188" t="e">
        <f t="shared" si="47"/>
        <v>#DIV/0!</v>
      </c>
      <c r="FB40" s="189"/>
      <c r="FC40" s="131"/>
      <c r="FD40" s="131"/>
      <c r="FE40" s="131"/>
      <c r="FF40" s="131"/>
      <c r="FG40" s="131"/>
    </row>
    <row r="41" spans="2:163" ht="16" outlineLevel="1" thickBot="1" x14ac:dyDescent="0.4">
      <c r="B41" s="356"/>
      <c r="C41" s="353"/>
      <c r="D41" s="133"/>
      <c r="E41" s="134"/>
      <c r="F41" s="135"/>
      <c r="G41" s="136"/>
      <c r="H41" s="137"/>
      <c r="I41" s="138">
        <f t="shared" si="0"/>
        <v>0</v>
      </c>
      <c r="J41" s="139"/>
      <c r="K41" s="140">
        <f t="shared" si="49"/>
        <v>0</v>
      </c>
      <c r="L41" s="141"/>
      <c r="M41" s="142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2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4"/>
      <c r="AN41" s="145">
        <f t="shared" si="2"/>
        <v>0</v>
      </c>
      <c r="AO41" s="146"/>
      <c r="AP41" s="147">
        <f t="shared" si="3"/>
        <v>0</v>
      </c>
      <c r="AQ41" s="148"/>
      <c r="AR41" s="149"/>
      <c r="AS41" s="149"/>
      <c r="AT41" s="135"/>
      <c r="AU41" s="150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0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4"/>
      <c r="CD41" s="150"/>
      <c r="CE41" s="142"/>
      <c r="CF41" s="143"/>
      <c r="CG41" s="143"/>
      <c r="CH41" s="143"/>
      <c r="CI41" s="143"/>
      <c r="CJ41" s="143"/>
      <c r="CK41" s="143"/>
      <c r="CL41" s="143"/>
      <c r="CM41" s="143"/>
      <c r="CN41" s="143"/>
      <c r="CO41" s="346"/>
      <c r="CP41" s="151"/>
      <c r="CQ41" s="152"/>
      <c r="CR41" s="154"/>
      <c r="CS41" s="155">
        <f t="shared" si="48"/>
        <v>0</v>
      </c>
      <c r="CT41" s="146"/>
      <c r="CU41" s="147">
        <f t="shared" si="4"/>
        <v>0</v>
      </c>
      <c r="CV41" s="156"/>
      <c r="CW41" s="157" t="e">
        <f t="shared" si="5"/>
        <v>#DIV/0!</v>
      </c>
      <c r="CX41" s="157" t="e">
        <f t="shared" si="6"/>
        <v>#DIV/0!</v>
      </c>
      <c r="CY41" s="157" t="e">
        <f t="shared" si="7"/>
        <v>#DIV/0!</v>
      </c>
      <c r="CZ41" s="157" t="e">
        <f t="shared" si="8"/>
        <v>#DIV/0!</v>
      </c>
      <c r="DA41" s="157" t="e">
        <f t="shared" si="9"/>
        <v>#DIV/0!</v>
      </c>
      <c r="DB41" s="158" t="e">
        <f t="shared" si="10"/>
        <v>#DIV/0!</v>
      </c>
      <c r="DC41" s="131"/>
      <c r="DD41" s="159">
        <f t="shared" si="11"/>
        <v>0</v>
      </c>
      <c r="DE41" s="160">
        <f t="shared" si="12"/>
        <v>0</v>
      </c>
      <c r="DF41" s="161">
        <f t="shared" si="13"/>
        <v>0</v>
      </c>
      <c r="DG41" s="162" t="e">
        <f t="shared" si="14"/>
        <v>#DIV/0!</v>
      </c>
      <c r="DH41" s="163">
        <f t="shared" si="15"/>
        <v>0</v>
      </c>
      <c r="DI41" s="164"/>
      <c r="DJ41" s="165">
        <f t="shared" si="50"/>
        <v>0</v>
      </c>
      <c r="DK41" s="166">
        <f t="shared" si="50"/>
        <v>0</v>
      </c>
      <c r="DL41" s="167" t="e">
        <f t="shared" si="17"/>
        <v>#DIV/0!</v>
      </c>
      <c r="DM41" s="168" t="e">
        <f t="shared" si="18"/>
        <v>#DIV/0!</v>
      </c>
      <c r="DN41" s="163" t="e">
        <f t="shared" si="19"/>
        <v>#DIV/0!</v>
      </c>
      <c r="DO41" s="169"/>
      <c r="DP41" s="170"/>
      <c r="DQ41" s="171"/>
      <c r="DR41" s="172">
        <f t="shared" si="20"/>
        <v>0</v>
      </c>
      <c r="DS41" s="173" t="e">
        <f t="shared" si="21"/>
        <v>#DIV/0!</v>
      </c>
      <c r="DT41" s="163" t="e">
        <f t="shared" si="22"/>
        <v>#DIV/0!</v>
      </c>
      <c r="DU41" s="174"/>
      <c r="DV41" s="175" t="e">
        <f t="shared" si="23"/>
        <v>#DIV/0!</v>
      </c>
      <c r="DW41" s="163">
        <f t="shared" si="24"/>
        <v>0</v>
      </c>
      <c r="DX41" s="164"/>
      <c r="DY41" s="176">
        <f t="shared" si="25"/>
        <v>0</v>
      </c>
      <c r="DZ41" s="177">
        <f t="shared" si="26"/>
        <v>0</v>
      </c>
      <c r="EA41" s="178">
        <f t="shared" si="27"/>
        <v>0</v>
      </c>
      <c r="EB41" s="179">
        <f t="shared" si="28"/>
        <v>0</v>
      </c>
      <c r="EC41" s="180"/>
      <c r="ED41" s="175" t="e">
        <f t="shared" si="29"/>
        <v>#DIV/0!</v>
      </c>
      <c r="EE41" s="163">
        <f t="shared" si="30"/>
        <v>0</v>
      </c>
      <c r="EF41" s="164"/>
      <c r="EG41" s="181">
        <f t="shared" si="31"/>
        <v>0</v>
      </c>
      <c r="EH41" s="182">
        <f t="shared" si="32"/>
        <v>0</v>
      </c>
      <c r="EI41" s="182">
        <f t="shared" si="33"/>
        <v>0</v>
      </c>
      <c r="EJ41" s="182">
        <f t="shared" si="34"/>
        <v>0</v>
      </c>
      <c r="EK41" s="183">
        <f t="shared" si="35"/>
        <v>0</v>
      </c>
      <c r="EL41" s="184" t="e">
        <f t="shared" si="36"/>
        <v>#DIV/0!</v>
      </c>
      <c r="EM41" s="185">
        <f t="shared" si="37"/>
        <v>0</v>
      </c>
      <c r="EN41" s="164"/>
      <c r="EO41" s="181">
        <f t="shared" si="38"/>
        <v>0</v>
      </c>
      <c r="EP41" s="183">
        <f t="shared" si="39"/>
        <v>0</v>
      </c>
      <c r="EQ41" s="184" t="e">
        <f t="shared" si="40"/>
        <v>#DIV/0!</v>
      </c>
      <c r="ER41" s="185">
        <f t="shared" si="41"/>
        <v>0</v>
      </c>
      <c r="ES41" s="164"/>
      <c r="ET41" s="164"/>
      <c r="EU41" s="186">
        <f t="shared" si="42"/>
        <v>0</v>
      </c>
      <c r="EV41" s="186">
        <f t="shared" si="43"/>
        <v>0</v>
      </c>
      <c r="EW41" s="186">
        <f t="shared" si="44"/>
        <v>0</v>
      </c>
      <c r="EX41" s="186">
        <f t="shared" si="45"/>
        <v>0</v>
      </c>
      <c r="EY41" s="131"/>
      <c r="EZ41" s="187">
        <f t="shared" si="46"/>
        <v>0</v>
      </c>
      <c r="FA41" s="188" t="e">
        <f t="shared" si="47"/>
        <v>#DIV/0!</v>
      </c>
      <c r="FB41" s="189"/>
      <c r="FC41" s="131"/>
      <c r="FD41" s="131"/>
      <c r="FE41" s="131"/>
      <c r="FF41" s="131"/>
      <c r="FG41" s="131"/>
    </row>
    <row r="42" spans="2:163" ht="16" outlineLevel="1" thickBot="1" x14ac:dyDescent="0.4">
      <c r="B42" s="357"/>
      <c r="C42" s="354"/>
      <c r="D42" s="190"/>
      <c r="E42" s="191"/>
      <c r="F42" s="135"/>
      <c r="G42" s="192"/>
      <c r="H42" s="137"/>
      <c r="I42" s="138">
        <f t="shared" si="0"/>
        <v>0</v>
      </c>
      <c r="J42" s="139"/>
      <c r="K42" s="193">
        <f t="shared" si="49"/>
        <v>0</v>
      </c>
      <c r="L42" s="141"/>
      <c r="M42" s="194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4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6"/>
      <c r="AN42" s="197">
        <f t="shared" si="2"/>
        <v>0</v>
      </c>
      <c r="AO42" s="146"/>
      <c r="AP42" s="147">
        <f t="shared" si="3"/>
        <v>0</v>
      </c>
      <c r="AQ42" s="148"/>
      <c r="AR42" s="198"/>
      <c r="AS42" s="198"/>
      <c r="AT42" s="135"/>
      <c r="AU42" s="199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1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199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2"/>
      <c r="CD42" s="199"/>
      <c r="CE42" s="194"/>
      <c r="CF42" s="195"/>
      <c r="CG42" s="195"/>
      <c r="CH42" s="195"/>
      <c r="CI42" s="195"/>
      <c r="CJ42" s="195"/>
      <c r="CK42" s="195"/>
      <c r="CL42" s="195"/>
      <c r="CM42" s="195"/>
      <c r="CN42" s="195"/>
      <c r="CO42" s="347"/>
      <c r="CP42" s="200"/>
      <c r="CQ42" s="201"/>
      <c r="CR42" s="202"/>
      <c r="CS42" s="203">
        <f t="shared" si="48"/>
        <v>0</v>
      </c>
      <c r="CT42" s="146"/>
      <c r="CU42" s="147">
        <f t="shared" si="4"/>
        <v>0</v>
      </c>
      <c r="CV42" s="156"/>
      <c r="CW42" s="157" t="e">
        <f t="shared" si="5"/>
        <v>#DIV/0!</v>
      </c>
      <c r="CX42" s="157" t="e">
        <f t="shared" si="6"/>
        <v>#DIV/0!</v>
      </c>
      <c r="CY42" s="157" t="e">
        <f t="shared" si="7"/>
        <v>#DIV/0!</v>
      </c>
      <c r="CZ42" s="157" t="e">
        <f t="shared" si="8"/>
        <v>#DIV/0!</v>
      </c>
      <c r="DA42" s="157" t="e">
        <f t="shared" si="9"/>
        <v>#DIV/0!</v>
      </c>
      <c r="DB42" s="158" t="e">
        <f t="shared" si="10"/>
        <v>#DIV/0!</v>
      </c>
      <c r="DC42" s="131"/>
      <c r="DD42" s="159">
        <f t="shared" si="11"/>
        <v>0</v>
      </c>
      <c r="DE42" s="160">
        <f t="shared" si="12"/>
        <v>0</v>
      </c>
      <c r="DF42" s="161">
        <f t="shared" si="13"/>
        <v>0</v>
      </c>
      <c r="DG42" s="162" t="e">
        <f t="shared" si="14"/>
        <v>#DIV/0!</v>
      </c>
      <c r="DH42" s="163">
        <f t="shared" si="15"/>
        <v>0</v>
      </c>
      <c r="DI42" s="164"/>
      <c r="DJ42" s="165">
        <f t="shared" si="50"/>
        <v>0</v>
      </c>
      <c r="DK42" s="166">
        <f t="shared" si="50"/>
        <v>0</v>
      </c>
      <c r="DL42" s="167" t="e">
        <f t="shared" si="17"/>
        <v>#DIV/0!</v>
      </c>
      <c r="DM42" s="168" t="e">
        <f t="shared" si="18"/>
        <v>#DIV/0!</v>
      </c>
      <c r="DN42" s="163" t="e">
        <f t="shared" si="19"/>
        <v>#DIV/0!</v>
      </c>
      <c r="DO42" s="169"/>
      <c r="DP42" s="170"/>
      <c r="DQ42" s="171"/>
      <c r="DR42" s="172">
        <f t="shared" si="20"/>
        <v>0</v>
      </c>
      <c r="DS42" s="173" t="e">
        <f t="shared" si="21"/>
        <v>#DIV/0!</v>
      </c>
      <c r="DT42" s="163" t="e">
        <f t="shared" si="22"/>
        <v>#DIV/0!</v>
      </c>
      <c r="DU42" s="174"/>
      <c r="DV42" s="175" t="e">
        <f t="shared" si="23"/>
        <v>#DIV/0!</v>
      </c>
      <c r="DW42" s="163">
        <f t="shared" si="24"/>
        <v>0</v>
      </c>
      <c r="DX42" s="164"/>
      <c r="DY42" s="176">
        <f t="shared" si="25"/>
        <v>0</v>
      </c>
      <c r="DZ42" s="177">
        <f t="shared" si="26"/>
        <v>0</v>
      </c>
      <c r="EA42" s="178">
        <f t="shared" si="27"/>
        <v>0</v>
      </c>
      <c r="EB42" s="179">
        <f t="shared" si="28"/>
        <v>0</v>
      </c>
      <c r="EC42" s="180"/>
      <c r="ED42" s="175" t="e">
        <f t="shared" si="29"/>
        <v>#DIV/0!</v>
      </c>
      <c r="EE42" s="163">
        <f t="shared" si="30"/>
        <v>0</v>
      </c>
      <c r="EF42" s="164"/>
      <c r="EG42" s="181">
        <f t="shared" si="31"/>
        <v>0</v>
      </c>
      <c r="EH42" s="182">
        <f t="shared" si="32"/>
        <v>0</v>
      </c>
      <c r="EI42" s="182">
        <f t="shared" si="33"/>
        <v>0</v>
      </c>
      <c r="EJ42" s="182">
        <f t="shared" si="34"/>
        <v>0</v>
      </c>
      <c r="EK42" s="183">
        <f t="shared" si="35"/>
        <v>0</v>
      </c>
      <c r="EL42" s="184" t="e">
        <f t="shared" si="36"/>
        <v>#DIV/0!</v>
      </c>
      <c r="EM42" s="185">
        <f t="shared" si="37"/>
        <v>0</v>
      </c>
      <c r="EN42" s="164"/>
      <c r="EO42" s="181">
        <f t="shared" si="38"/>
        <v>0</v>
      </c>
      <c r="EP42" s="183">
        <f t="shared" si="39"/>
        <v>0</v>
      </c>
      <c r="EQ42" s="184" t="e">
        <f t="shared" si="40"/>
        <v>#DIV/0!</v>
      </c>
      <c r="ER42" s="185">
        <f t="shared" si="41"/>
        <v>0</v>
      </c>
      <c r="ES42" s="164"/>
      <c r="ET42" s="164"/>
      <c r="EU42" s="186">
        <f t="shared" si="42"/>
        <v>0</v>
      </c>
      <c r="EV42" s="186">
        <f t="shared" si="43"/>
        <v>0</v>
      </c>
      <c r="EW42" s="186">
        <f t="shared" si="44"/>
        <v>0</v>
      </c>
      <c r="EX42" s="186">
        <f t="shared" si="45"/>
        <v>0</v>
      </c>
      <c r="EY42" s="131"/>
      <c r="EZ42" s="187">
        <f t="shared" si="46"/>
        <v>0</v>
      </c>
      <c r="FA42" s="188" t="e">
        <f t="shared" si="47"/>
        <v>#DIV/0!</v>
      </c>
      <c r="FB42" s="189"/>
      <c r="FC42" s="131"/>
      <c r="FD42" s="131"/>
      <c r="FE42" s="131"/>
      <c r="FF42" s="131"/>
      <c r="FG42" s="131"/>
    </row>
    <row r="43" spans="2:163" ht="16" outlineLevel="1" thickBot="1" x14ac:dyDescent="0.4">
      <c r="B43" s="358"/>
      <c r="C43" s="355"/>
      <c r="D43" s="204"/>
      <c r="E43" s="205"/>
      <c r="F43" s="135"/>
      <c r="G43" s="206"/>
      <c r="H43" s="207"/>
      <c r="I43" s="138">
        <f t="shared" si="0"/>
        <v>0</v>
      </c>
      <c r="J43" s="139"/>
      <c r="K43" s="208">
        <f t="shared" si="49"/>
        <v>0</v>
      </c>
      <c r="L43" s="141"/>
      <c r="M43" s="209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09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1"/>
      <c r="AN43" s="212">
        <f t="shared" si="2"/>
        <v>0</v>
      </c>
      <c r="AO43" s="146"/>
      <c r="AP43" s="147">
        <f t="shared" si="3"/>
        <v>0</v>
      </c>
      <c r="AQ43" s="148"/>
      <c r="AR43" s="213"/>
      <c r="AS43" s="213"/>
      <c r="AT43" s="135"/>
      <c r="AU43" s="214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4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7"/>
      <c r="CD43" s="214"/>
      <c r="CE43" s="209"/>
      <c r="CF43" s="210"/>
      <c r="CG43" s="210"/>
      <c r="CH43" s="210"/>
      <c r="CI43" s="210"/>
      <c r="CJ43" s="210"/>
      <c r="CK43" s="210"/>
      <c r="CL43" s="210"/>
      <c r="CM43" s="210"/>
      <c r="CN43" s="210"/>
      <c r="CO43" s="348"/>
      <c r="CP43" s="215"/>
      <c r="CQ43" s="216"/>
      <c r="CR43" s="217"/>
      <c r="CS43" s="218">
        <f t="shared" si="48"/>
        <v>0</v>
      </c>
      <c r="CT43" s="146"/>
      <c r="CU43" s="147">
        <f t="shared" si="4"/>
        <v>0</v>
      </c>
      <c r="CV43" s="156"/>
      <c r="CW43" s="157" t="e">
        <f t="shared" si="5"/>
        <v>#DIV/0!</v>
      </c>
      <c r="CX43" s="157" t="e">
        <f t="shared" si="6"/>
        <v>#DIV/0!</v>
      </c>
      <c r="CY43" s="157" t="e">
        <f t="shared" si="7"/>
        <v>#DIV/0!</v>
      </c>
      <c r="CZ43" s="157" t="e">
        <f t="shared" si="8"/>
        <v>#DIV/0!</v>
      </c>
      <c r="DA43" s="157" t="e">
        <f t="shared" si="9"/>
        <v>#DIV/0!</v>
      </c>
      <c r="DB43" s="158" t="e">
        <f t="shared" si="10"/>
        <v>#DIV/0!</v>
      </c>
      <c r="DC43" s="131"/>
      <c r="DD43" s="159">
        <f t="shared" si="11"/>
        <v>0</v>
      </c>
      <c r="DE43" s="160">
        <f t="shared" si="12"/>
        <v>0</v>
      </c>
      <c r="DF43" s="161">
        <f t="shared" si="13"/>
        <v>0</v>
      </c>
      <c r="DG43" s="162" t="e">
        <f t="shared" si="14"/>
        <v>#DIV/0!</v>
      </c>
      <c r="DH43" s="163">
        <f t="shared" si="15"/>
        <v>0</v>
      </c>
      <c r="DI43" s="164"/>
      <c r="DJ43" s="165">
        <f t="shared" si="50"/>
        <v>0</v>
      </c>
      <c r="DK43" s="166">
        <f t="shared" si="50"/>
        <v>0</v>
      </c>
      <c r="DL43" s="167" t="e">
        <f t="shared" si="17"/>
        <v>#DIV/0!</v>
      </c>
      <c r="DM43" s="168" t="e">
        <f t="shared" si="18"/>
        <v>#DIV/0!</v>
      </c>
      <c r="DN43" s="163" t="e">
        <f t="shared" si="19"/>
        <v>#DIV/0!</v>
      </c>
      <c r="DO43" s="169"/>
      <c r="DP43" s="170"/>
      <c r="DQ43" s="171"/>
      <c r="DR43" s="172">
        <f t="shared" si="20"/>
        <v>0</v>
      </c>
      <c r="DS43" s="173" t="e">
        <f t="shared" si="21"/>
        <v>#DIV/0!</v>
      </c>
      <c r="DT43" s="163" t="e">
        <f t="shared" si="22"/>
        <v>#DIV/0!</v>
      </c>
      <c r="DU43" s="174"/>
      <c r="DV43" s="175" t="e">
        <f t="shared" si="23"/>
        <v>#DIV/0!</v>
      </c>
      <c r="DW43" s="163">
        <f t="shared" si="24"/>
        <v>0</v>
      </c>
      <c r="DX43" s="164"/>
      <c r="DY43" s="176">
        <f t="shared" si="25"/>
        <v>0</v>
      </c>
      <c r="DZ43" s="177">
        <f t="shared" si="26"/>
        <v>0</v>
      </c>
      <c r="EA43" s="178">
        <f t="shared" si="27"/>
        <v>0</v>
      </c>
      <c r="EB43" s="179">
        <f t="shared" si="28"/>
        <v>0</v>
      </c>
      <c r="EC43" s="180"/>
      <c r="ED43" s="175" t="e">
        <f t="shared" si="29"/>
        <v>#DIV/0!</v>
      </c>
      <c r="EE43" s="163">
        <f t="shared" si="30"/>
        <v>0</v>
      </c>
      <c r="EF43" s="164"/>
      <c r="EG43" s="181">
        <f t="shared" si="31"/>
        <v>0</v>
      </c>
      <c r="EH43" s="182">
        <f t="shared" si="32"/>
        <v>0</v>
      </c>
      <c r="EI43" s="182">
        <f t="shared" si="33"/>
        <v>0</v>
      </c>
      <c r="EJ43" s="182">
        <f t="shared" si="34"/>
        <v>0</v>
      </c>
      <c r="EK43" s="183">
        <f t="shared" si="35"/>
        <v>0</v>
      </c>
      <c r="EL43" s="184" t="e">
        <f t="shared" si="36"/>
        <v>#DIV/0!</v>
      </c>
      <c r="EM43" s="185">
        <f t="shared" si="37"/>
        <v>0</v>
      </c>
      <c r="EN43" s="164"/>
      <c r="EO43" s="181">
        <f t="shared" si="38"/>
        <v>0</v>
      </c>
      <c r="EP43" s="183">
        <f t="shared" si="39"/>
        <v>0</v>
      </c>
      <c r="EQ43" s="184" t="e">
        <f t="shared" si="40"/>
        <v>#DIV/0!</v>
      </c>
      <c r="ER43" s="185">
        <f t="shared" si="41"/>
        <v>0</v>
      </c>
      <c r="ES43" s="164"/>
      <c r="ET43" s="164"/>
      <c r="EU43" s="186">
        <f t="shared" si="42"/>
        <v>0</v>
      </c>
      <c r="EV43" s="186">
        <f t="shared" si="43"/>
        <v>0</v>
      </c>
      <c r="EW43" s="186">
        <f t="shared" si="44"/>
        <v>0</v>
      </c>
      <c r="EX43" s="186">
        <f t="shared" si="45"/>
        <v>0</v>
      </c>
      <c r="EY43" s="131"/>
      <c r="EZ43" s="187">
        <f t="shared" si="46"/>
        <v>0</v>
      </c>
      <c r="FA43" s="188" t="e">
        <f t="shared" si="47"/>
        <v>#DIV/0!</v>
      </c>
      <c r="FB43" s="189"/>
      <c r="FC43" s="131"/>
      <c r="FD43" s="131"/>
      <c r="FE43" s="131"/>
      <c r="FF43" s="131"/>
      <c r="FG43" s="131"/>
    </row>
    <row r="44" spans="2:163" s="169" customFormat="1" ht="18" customHeight="1" outlineLevel="1" thickBot="1" x14ac:dyDescent="0.4">
      <c r="B44" s="356"/>
      <c r="C44" s="353"/>
      <c r="D44" s="133"/>
      <c r="E44" s="134"/>
      <c r="F44" s="135"/>
      <c r="G44" s="136"/>
      <c r="H44" s="137"/>
      <c r="I44" s="138">
        <f t="shared" si="0"/>
        <v>0</v>
      </c>
      <c r="J44" s="139"/>
      <c r="K44" s="140">
        <f t="shared" si="49"/>
        <v>0</v>
      </c>
      <c r="L44" s="141"/>
      <c r="M44" s="142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2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5">
        <f t="shared" si="2"/>
        <v>0</v>
      </c>
      <c r="AO44" s="146"/>
      <c r="AP44" s="147">
        <f t="shared" si="3"/>
        <v>0</v>
      </c>
      <c r="AQ44" s="148"/>
      <c r="AR44" s="149"/>
      <c r="AS44" s="149"/>
      <c r="AT44" s="135"/>
      <c r="AU44" s="150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0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4"/>
      <c r="CD44" s="150"/>
      <c r="CE44" s="142"/>
      <c r="CF44" s="143"/>
      <c r="CG44" s="143"/>
      <c r="CH44" s="143"/>
      <c r="CI44" s="143"/>
      <c r="CJ44" s="143"/>
      <c r="CK44" s="143"/>
      <c r="CL44" s="143"/>
      <c r="CM44" s="143"/>
      <c r="CN44" s="143"/>
      <c r="CO44" s="346"/>
      <c r="CP44" s="151"/>
      <c r="CQ44" s="152"/>
      <c r="CR44" s="154"/>
      <c r="CS44" s="155">
        <f t="shared" si="48"/>
        <v>0</v>
      </c>
      <c r="CT44" s="146"/>
      <c r="CU44" s="147">
        <f t="shared" si="4"/>
        <v>0</v>
      </c>
      <c r="CV44" s="156"/>
      <c r="CW44" s="157" t="e">
        <f t="shared" si="5"/>
        <v>#DIV/0!</v>
      </c>
      <c r="CX44" s="157" t="e">
        <f t="shared" si="6"/>
        <v>#DIV/0!</v>
      </c>
      <c r="CY44" s="157" t="e">
        <f t="shared" si="7"/>
        <v>#DIV/0!</v>
      </c>
      <c r="CZ44" s="157" t="e">
        <f t="shared" si="8"/>
        <v>#DIV/0!</v>
      </c>
      <c r="DA44" s="157" t="e">
        <f t="shared" si="9"/>
        <v>#DIV/0!</v>
      </c>
      <c r="DB44" s="158" t="e">
        <f t="shared" si="10"/>
        <v>#DIV/0!</v>
      </c>
      <c r="DC44" s="131"/>
      <c r="DD44" s="159">
        <f t="shared" si="11"/>
        <v>0</v>
      </c>
      <c r="DE44" s="160">
        <f t="shared" si="12"/>
        <v>0</v>
      </c>
      <c r="DF44" s="161">
        <f t="shared" si="13"/>
        <v>0</v>
      </c>
      <c r="DG44" s="162" t="e">
        <f t="shared" si="14"/>
        <v>#DIV/0!</v>
      </c>
      <c r="DH44" s="163">
        <f t="shared" si="15"/>
        <v>0</v>
      </c>
      <c r="DI44" s="164"/>
      <c r="DJ44" s="165">
        <f t="shared" si="50"/>
        <v>0</v>
      </c>
      <c r="DK44" s="166">
        <f t="shared" si="50"/>
        <v>0</v>
      </c>
      <c r="DL44" s="167" t="e">
        <f t="shared" si="17"/>
        <v>#DIV/0!</v>
      </c>
      <c r="DM44" s="168" t="e">
        <f t="shared" si="18"/>
        <v>#DIV/0!</v>
      </c>
      <c r="DN44" s="163" t="e">
        <f t="shared" si="19"/>
        <v>#DIV/0!</v>
      </c>
      <c r="DP44" s="170"/>
      <c r="DQ44" s="171"/>
      <c r="DR44" s="172">
        <f t="shared" si="20"/>
        <v>0</v>
      </c>
      <c r="DS44" s="173" t="e">
        <f t="shared" si="21"/>
        <v>#DIV/0!</v>
      </c>
      <c r="DT44" s="163" t="e">
        <f t="shared" si="22"/>
        <v>#DIV/0!</v>
      </c>
      <c r="DU44" s="174"/>
      <c r="DV44" s="175" t="e">
        <f t="shared" si="23"/>
        <v>#DIV/0!</v>
      </c>
      <c r="DW44" s="163">
        <f t="shared" si="24"/>
        <v>0</v>
      </c>
      <c r="DX44" s="164"/>
      <c r="DY44" s="176">
        <f t="shared" si="25"/>
        <v>0</v>
      </c>
      <c r="DZ44" s="177">
        <f t="shared" si="26"/>
        <v>0</v>
      </c>
      <c r="EA44" s="178">
        <f t="shared" si="27"/>
        <v>0</v>
      </c>
      <c r="EB44" s="179">
        <f t="shared" si="28"/>
        <v>0</v>
      </c>
      <c r="EC44" s="180"/>
      <c r="ED44" s="175" t="e">
        <f t="shared" si="29"/>
        <v>#DIV/0!</v>
      </c>
      <c r="EE44" s="163">
        <f t="shared" si="30"/>
        <v>0</v>
      </c>
      <c r="EF44" s="164"/>
      <c r="EG44" s="181">
        <f t="shared" si="31"/>
        <v>0</v>
      </c>
      <c r="EH44" s="182">
        <f t="shared" si="32"/>
        <v>0</v>
      </c>
      <c r="EI44" s="182">
        <f t="shared" si="33"/>
        <v>0</v>
      </c>
      <c r="EJ44" s="182">
        <f t="shared" si="34"/>
        <v>0</v>
      </c>
      <c r="EK44" s="183">
        <f t="shared" si="35"/>
        <v>0</v>
      </c>
      <c r="EL44" s="184" t="e">
        <f t="shared" si="36"/>
        <v>#DIV/0!</v>
      </c>
      <c r="EM44" s="185">
        <f t="shared" si="37"/>
        <v>0</v>
      </c>
      <c r="EN44" s="164"/>
      <c r="EO44" s="181">
        <f t="shared" si="38"/>
        <v>0</v>
      </c>
      <c r="EP44" s="183">
        <f t="shared" si="39"/>
        <v>0</v>
      </c>
      <c r="EQ44" s="184" t="e">
        <f t="shared" si="40"/>
        <v>#DIV/0!</v>
      </c>
      <c r="ER44" s="185">
        <f t="shared" si="41"/>
        <v>0</v>
      </c>
      <c r="ES44" s="164"/>
      <c r="ET44" s="164"/>
      <c r="EU44" s="186">
        <f t="shared" si="42"/>
        <v>0</v>
      </c>
      <c r="EV44" s="186">
        <f t="shared" si="43"/>
        <v>0</v>
      </c>
      <c r="EW44" s="186">
        <f t="shared" si="44"/>
        <v>0</v>
      </c>
      <c r="EX44" s="186">
        <f t="shared" si="45"/>
        <v>0</v>
      </c>
      <c r="EY44" s="131"/>
      <c r="EZ44" s="187">
        <f t="shared" si="46"/>
        <v>0</v>
      </c>
      <c r="FA44" s="188" t="e">
        <f t="shared" si="47"/>
        <v>#DIV/0!</v>
      </c>
      <c r="FB44" s="189"/>
      <c r="FC44" s="131"/>
      <c r="FD44" s="131"/>
      <c r="FE44" s="131"/>
      <c r="FF44" s="131"/>
      <c r="FG44" s="131"/>
    </row>
    <row r="45" spans="2:163" s="169" customFormat="1" ht="16" outlineLevel="1" thickBot="1" x14ac:dyDescent="0.4">
      <c r="B45" s="357"/>
      <c r="C45" s="354"/>
      <c r="D45" s="190"/>
      <c r="E45" s="191"/>
      <c r="F45" s="135"/>
      <c r="G45" s="192"/>
      <c r="H45" s="137"/>
      <c r="I45" s="138">
        <f t="shared" si="0"/>
        <v>0</v>
      </c>
      <c r="J45" s="139"/>
      <c r="K45" s="193">
        <f t="shared" si="49"/>
        <v>0</v>
      </c>
      <c r="L45" s="141"/>
      <c r="M45" s="194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4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6"/>
      <c r="AN45" s="197">
        <f t="shared" si="2"/>
        <v>0</v>
      </c>
      <c r="AO45" s="146"/>
      <c r="AP45" s="147">
        <f t="shared" si="3"/>
        <v>0</v>
      </c>
      <c r="AQ45" s="148"/>
      <c r="AR45" s="198"/>
      <c r="AS45" s="198"/>
      <c r="AT45" s="135"/>
      <c r="AU45" s="199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1"/>
      <c r="BG45" s="201"/>
      <c r="BH45" s="201"/>
      <c r="BI45" s="201"/>
      <c r="BJ45" s="201"/>
      <c r="BK45" s="201"/>
      <c r="BL45" s="201"/>
      <c r="BM45" s="201"/>
      <c r="BN45" s="201"/>
      <c r="BO45" s="201"/>
      <c r="BP45" s="201"/>
      <c r="BQ45" s="201"/>
      <c r="BR45" s="199"/>
      <c r="BS45" s="200"/>
      <c r="BT45" s="200"/>
      <c r="BU45" s="200"/>
      <c r="BV45" s="200"/>
      <c r="BW45" s="200"/>
      <c r="BX45" s="200"/>
      <c r="BY45" s="200"/>
      <c r="BZ45" s="200"/>
      <c r="CA45" s="200"/>
      <c r="CB45" s="200"/>
      <c r="CC45" s="202"/>
      <c r="CD45" s="199"/>
      <c r="CE45" s="194"/>
      <c r="CF45" s="195"/>
      <c r="CG45" s="195"/>
      <c r="CH45" s="195"/>
      <c r="CI45" s="195"/>
      <c r="CJ45" s="195"/>
      <c r="CK45" s="195"/>
      <c r="CL45" s="195"/>
      <c r="CM45" s="195"/>
      <c r="CN45" s="195"/>
      <c r="CO45" s="347"/>
      <c r="CP45" s="200"/>
      <c r="CQ45" s="201"/>
      <c r="CR45" s="202"/>
      <c r="CS45" s="203">
        <f t="shared" si="48"/>
        <v>0</v>
      </c>
      <c r="CT45" s="146"/>
      <c r="CU45" s="147">
        <f t="shared" si="4"/>
        <v>0</v>
      </c>
      <c r="CV45" s="156"/>
      <c r="CW45" s="157" t="e">
        <f t="shared" si="5"/>
        <v>#DIV/0!</v>
      </c>
      <c r="CX45" s="157" t="e">
        <f t="shared" si="6"/>
        <v>#DIV/0!</v>
      </c>
      <c r="CY45" s="157" t="e">
        <f t="shared" si="7"/>
        <v>#DIV/0!</v>
      </c>
      <c r="CZ45" s="157" t="e">
        <f t="shared" si="8"/>
        <v>#DIV/0!</v>
      </c>
      <c r="DA45" s="157" t="e">
        <f t="shared" si="9"/>
        <v>#DIV/0!</v>
      </c>
      <c r="DB45" s="158" t="e">
        <f t="shared" si="10"/>
        <v>#DIV/0!</v>
      </c>
      <c r="DC45" s="131"/>
      <c r="DD45" s="159">
        <f t="shared" si="11"/>
        <v>0</v>
      </c>
      <c r="DE45" s="160">
        <f t="shared" si="12"/>
        <v>0</v>
      </c>
      <c r="DF45" s="161">
        <f t="shared" si="13"/>
        <v>0</v>
      </c>
      <c r="DG45" s="162" t="e">
        <f t="shared" si="14"/>
        <v>#DIV/0!</v>
      </c>
      <c r="DH45" s="163">
        <f t="shared" si="15"/>
        <v>0</v>
      </c>
      <c r="DI45" s="164"/>
      <c r="DJ45" s="165">
        <f t="shared" si="50"/>
        <v>0</v>
      </c>
      <c r="DK45" s="166">
        <f t="shared" si="50"/>
        <v>0</v>
      </c>
      <c r="DL45" s="167" t="e">
        <f t="shared" si="17"/>
        <v>#DIV/0!</v>
      </c>
      <c r="DM45" s="168" t="e">
        <f t="shared" si="18"/>
        <v>#DIV/0!</v>
      </c>
      <c r="DN45" s="163" t="e">
        <f t="shared" si="19"/>
        <v>#DIV/0!</v>
      </c>
      <c r="DP45" s="170"/>
      <c r="DQ45" s="171"/>
      <c r="DR45" s="172">
        <f t="shared" si="20"/>
        <v>0</v>
      </c>
      <c r="DS45" s="173" t="e">
        <f t="shared" si="21"/>
        <v>#DIV/0!</v>
      </c>
      <c r="DT45" s="163" t="e">
        <f t="shared" si="22"/>
        <v>#DIV/0!</v>
      </c>
      <c r="DU45" s="174"/>
      <c r="DV45" s="175" t="e">
        <f t="shared" si="23"/>
        <v>#DIV/0!</v>
      </c>
      <c r="DW45" s="163">
        <f t="shared" si="24"/>
        <v>0</v>
      </c>
      <c r="DX45" s="164"/>
      <c r="DY45" s="176">
        <f t="shared" si="25"/>
        <v>0</v>
      </c>
      <c r="DZ45" s="177">
        <f t="shared" si="26"/>
        <v>0</v>
      </c>
      <c r="EA45" s="178">
        <f t="shared" si="27"/>
        <v>0</v>
      </c>
      <c r="EB45" s="179">
        <f t="shared" si="28"/>
        <v>0</v>
      </c>
      <c r="EC45" s="180"/>
      <c r="ED45" s="175" t="e">
        <f t="shared" si="29"/>
        <v>#DIV/0!</v>
      </c>
      <c r="EE45" s="163">
        <f t="shared" si="30"/>
        <v>0</v>
      </c>
      <c r="EF45" s="164"/>
      <c r="EG45" s="181">
        <f t="shared" si="31"/>
        <v>0</v>
      </c>
      <c r="EH45" s="182">
        <f t="shared" si="32"/>
        <v>0</v>
      </c>
      <c r="EI45" s="182">
        <f t="shared" si="33"/>
        <v>0</v>
      </c>
      <c r="EJ45" s="182">
        <f t="shared" si="34"/>
        <v>0</v>
      </c>
      <c r="EK45" s="183">
        <f t="shared" si="35"/>
        <v>0</v>
      </c>
      <c r="EL45" s="184" t="e">
        <f t="shared" si="36"/>
        <v>#DIV/0!</v>
      </c>
      <c r="EM45" s="185">
        <f t="shared" si="37"/>
        <v>0</v>
      </c>
      <c r="EN45" s="164"/>
      <c r="EO45" s="181">
        <f t="shared" si="38"/>
        <v>0</v>
      </c>
      <c r="EP45" s="183">
        <f t="shared" si="39"/>
        <v>0</v>
      </c>
      <c r="EQ45" s="184" t="e">
        <f t="shared" si="40"/>
        <v>#DIV/0!</v>
      </c>
      <c r="ER45" s="185">
        <f t="shared" si="41"/>
        <v>0</v>
      </c>
      <c r="ES45" s="164"/>
      <c r="ET45" s="164"/>
      <c r="EU45" s="186">
        <f t="shared" si="42"/>
        <v>0</v>
      </c>
      <c r="EV45" s="186">
        <f t="shared" si="43"/>
        <v>0</v>
      </c>
      <c r="EW45" s="186">
        <f t="shared" si="44"/>
        <v>0</v>
      </c>
      <c r="EX45" s="186">
        <f t="shared" si="45"/>
        <v>0</v>
      </c>
      <c r="EY45" s="131"/>
      <c r="EZ45" s="187">
        <f t="shared" si="46"/>
        <v>0</v>
      </c>
      <c r="FA45" s="188" t="e">
        <f t="shared" si="47"/>
        <v>#DIV/0!</v>
      </c>
      <c r="FB45" s="189"/>
      <c r="FC45" s="131"/>
      <c r="FD45" s="131"/>
      <c r="FE45" s="131"/>
      <c r="FF45" s="131"/>
      <c r="FG45" s="131"/>
    </row>
    <row r="46" spans="2:163" s="169" customFormat="1" ht="16" outlineLevel="1" thickBot="1" x14ac:dyDescent="0.4">
      <c r="B46" s="358"/>
      <c r="C46" s="355"/>
      <c r="D46" s="204"/>
      <c r="E46" s="205"/>
      <c r="F46" s="135"/>
      <c r="G46" s="206"/>
      <c r="H46" s="207"/>
      <c r="I46" s="138">
        <f t="shared" si="0"/>
        <v>0</v>
      </c>
      <c r="J46" s="139"/>
      <c r="K46" s="208">
        <f t="shared" si="49"/>
        <v>0</v>
      </c>
      <c r="L46" s="141"/>
      <c r="M46" s="209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09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1"/>
      <c r="AN46" s="212">
        <f t="shared" si="2"/>
        <v>0</v>
      </c>
      <c r="AO46" s="146"/>
      <c r="AP46" s="147">
        <f t="shared" si="3"/>
        <v>0</v>
      </c>
      <c r="AQ46" s="148"/>
      <c r="AR46" s="213"/>
      <c r="AS46" s="213"/>
      <c r="AT46" s="135"/>
      <c r="AU46" s="214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6"/>
      <c r="BG46" s="216"/>
      <c r="BH46" s="216"/>
      <c r="BI46" s="216"/>
      <c r="BJ46" s="216"/>
      <c r="BK46" s="216"/>
      <c r="BL46" s="216"/>
      <c r="BM46" s="216"/>
      <c r="BN46" s="216"/>
      <c r="BO46" s="216"/>
      <c r="BP46" s="216"/>
      <c r="BQ46" s="216"/>
      <c r="BR46" s="214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7"/>
      <c r="CD46" s="214"/>
      <c r="CE46" s="209"/>
      <c r="CF46" s="210"/>
      <c r="CG46" s="210"/>
      <c r="CH46" s="210"/>
      <c r="CI46" s="210"/>
      <c r="CJ46" s="210"/>
      <c r="CK46" s="210"/>
      <c r="CL46" s="210"/>
      <c r="CM46" s="210"/>
      <c r="CN46" s="210"/>
      <c r="CO46" s="348"/>
      <c r="CP46" s="215"/>
      <c r="CQ46" s="216"/>
      <c r="CR46" s="217"/>
      <c r="CS46" s="218">
        <f t="shared" si="48"/>
        <v>0</v>
      </c>
      <c r="CT46" s="146"/>
      <c r="CU46" s="147">
        <f t="shared" si="4"/>
        <v>0</v>
      </c>
      <c r="CV46" s="156"/>
      <c r="CW46" s="157" t="e">
        <f t="shared" si="5"/>
        <v>#DIV/0!</v>
      </c>
      <c r="CX46" s="157" t="e">
        <f t="shared" si="6"/>
        <v>#DIV/0!</v>
      </c>
      <c r="CY46" s="157" t="e">
        <f t="shared" si="7"/>
        <v>#DIV/0!</v>
      </c>
      <c r="CZ46" s="157" t="e">
        <f t="shared" si="8"/>
        <v>#DIV/0!</v>
      </c>
      <c r="DA46" s="157" t="e">
        <f t="shared" si="9"/>
        <v>#DIV/0!</v>
      </c>
      <c r="DB46" s="158" t="e">
        <f t="shared" si="10"/>
        <v>#DIV/0!</v>
      </c>
      <c r="DC46" s="131"/>
      <c r="DD46" s="159">
        <f t="shared" si="11"/>
        <v>0</v>
      </c>
      <c r="DE46" s="160">
        <f t="shared" si="12"/>
        <v>0</v>
      </c>
      <c r="DF46" s="161">
        <f t="shared" si="13"/>
        <v>0</v>
      </c>
      <c r="DG46" s="162" t="e">
        <f t="shared" si="14"/>
        <v>#DIV/0!</v>
      </c>
      <c r="DH46" s="163">
        <f t="shared" si="15"/>
        <v>0</v>
      </c>
      <c r="DI46" s="164"/>
      <c r="DJ46" s="165">
        <f t="shared" si="50"/>
        <v>0</v>
      </c>
      <c r="DK46" s="166">
        <f t="shared" si="50"/>
        <v>0</v>
      </c>
      <c r="DL46" s="167" t="e">
        <f t="shared" si="17"/>
        <v>#DIV/0!</v>
      </c>
      <c r="DM46" s="168" t="e">
        <f t="shared" si="18"/>
        <v>#DIV/0!</v>
      </c>
      <c r="DN46" s="163" t="e">
        <f t="shared" si="19"/>
        <v>#DIV/0!</v>
      </c>
      <c r="DP46" s="170"/>
      <c r="DQ46" s="171"/>
      <c r="DR46" s="172">
        <f t="shared" si="20"/>
        <v>0</v>
      </c>
      <c r="DS46" s="173" t="e">
        <f t="shared" si="21"/>
        <v>#DIV/0!</v>
      </c>
      <c r="DT46" s="163" t="e">
        <f t="shared" si="22"/>
        <v>#DIV/0!</v>
      </c>
      <c r="DU46" s="174"/>
      <c r="DV46" s="175" t="e">
        <f t="shared" si="23"/>
        <v>#DIV/0!</v>
      </c>
      <c r="DW46" s="163">
        <f t="shared" si="24"/>
        <v>0</v>
      </c>
      <c r="DX46" s="164"/>
      <c r="DY46" s="176">
        <f t="shared" si="25"/>
        <v>0</v>
      </c>
      <c r="DZ46" s="177">
        <f t="shared" si="26"/>
        <v>0</v>
      </c>
      <c r="EA46" s="178">
        <f t="shared" si="27"/>
        <v>0</v>
      </c>
      <c r="EB46" s="179">
        <f t="shared" si="28"/>
        <v>0</v>
      </c>
      <c r="EC46" s="180"/>
      <c r="ED46" s="175" t="e">
        <f t="shared" si="29"/>
        <v>#DIV/0!</v>
      </c>
      <c r="EE46" s="163">
        <f t="shared" si="30"/>
        <v>0</v>
      </c>
      <c r="EF46" s="164"/>
      <c r="EG46" s="181">
        <f t="shared" si="31"/>
        <v>0</v>
      </c>
      <c r="EH46" s="182">
        <f t="shared" si="32"/>
        <v>0</v>
      </c>
      <c r="EI46" s="182">
        <f t="shared" si="33"/>
        <v>0</v>
      </c>
      <c r="EJ46" s="182">
        <f t="shared" si="34"/>
        <v>0</v>
      </c>
      <c r="EK46" s="183">
        <f t="shared" si="35"/>
        <v>0</v>
      </c>
      <c r="EL46" s="184" t="e">
        <f t="shared" si="36"/>
        <v>#DIV/0!</v>
      </c>
      <c r="EM46" s="185">
        <f t="shared" si="37"/>
        <v>0</v>
      </c>
      <c r="EN46" s="164"/>
      <c r="EO46" s="181">
        <f t="shared" si="38"/>
        <v>0</v>
      </c>
      <c r="EP46" s="183">
        <f t="shared" si="39"/>
        <v>0</v>
      </c>
      <c r="EQ46" s="184" t="e">
        <f t="shared" si="40"/>
        <v>#DIV/0!</v>
      </c>
      <c r="ER46" s="185">
        <f t="shared" si="41"/>
        <v>0</v>
      </c>
      <c r="ES46" s="164"/>
      <c r="ET46" s="164"/>
      <c r="EU46" s="186">
        <f t="shared" si="42"/>
        <v>0</v>
      </c>
      <c r="EV46" s="186">
        <f t="shared" si="43"/>
        <v>0</v>
      </c>
      <c r="EW46" s="186">
        <f t="shared" si="44"/>
        <v>0</v>
      </c>
      <c r="EX46" s="186">
        <f t="shared" si="45"/>
        <v>0</v>
      </c>
      <c r="EY46" s="131"/>
      <c r="EZ46" s="187">
        <f t="shared" si="46"/>
        <v>0</v>
      </c>
      <c r="FA46" s="188" t="e">
        <f t="shared" si="47"/>
        <v>#DIV/0!</v>
      </c>
      <c r="FB46" s="189"/>
      <c r="FC46" s="131"/>
      <c r="FD46" s="131"/>
      <c r="FE46" s="131"/>
      <c r="FF46" s="131"/>
      <c r="FG46" s="131"/>
    </row>
    <row r="47" spans="2:163" ht="16" outlineLevel="1" thickBot="1" x14ac:dyDescent="0.4">
      <c r="B47" s="356"/>
      <c r="C47" s="353"/>
      <c r="D47" s="133"/>
      <c r="E47" s="134"/>
      <c r="F47" s="135"/>
      <c r="G47" s="136"/>
      <c r="H47" s="137"/>
      <c r="I47" s="138">
        <f>IF(E47&gt;0.0001,11,0)</f>
        <v>0</v>
      </c>
      <c r="J47" s="139"/>
      <c r="K47" s="140">
        <f t="shared" si="49"/>
        <v>0</v>
      </c>
      <c r="L47" s="141"/>
      <c r="M47" s="142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2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4"/>
      <c r="AN47" s="145">
        <f t="shared" si="2"/>
        <v>0</v>
      </c>
      <c r="AO47" s="146"/>
      <c r="AP47" s="147">
        <f t="shared" si="3"/>
        <v>0</v>
      </c>
      <c r="AQ47" s="148"/>
      <c r="AR47" s="149"/>
      <c r="AS47" s="149"/>
      <c r="AT47" s="135"/>
      <c r="AU47" s="150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0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4"/>
      <c r="CD47" s="150"/>
      <c r="CE47" s="142"/>
      <c r="CF47" s="143"/>
      <c r="CG47" s="143"/>
      <c r="CH47" s="143"/>
      <c r="CI47" s="143"/>
      <c r="CJ47" s="143"/>
      <c r="CK47" s="143"/>
      <c r="CL47" s="143"/>
      <c r="CM47" s="143"/>
      <c r="CN47" s="143"/>
      <c r="CO47" s="346"/>
      <c r="CP47" s="151"/>
      <c r="CQ47" s="152"/>
      <c r="CR47" s="154"/>
      <c r="CS47" s="155">
        <f t="shared" si="48"/>
        <v>0</v>
      </c>
      <c r="CT47" s="146"/>
      <c r="CU47" s="147">
        <f t="shared" si="4"/>
        <v>0</v>
      </c>
      <c r="CV47" s="156"/>
      <c r="CW47" s="157" t="e">
        <f t="shared" si="5"/>
        <v>#DIV/0!</v>
      </c>
      <c r="CX47" s="157" t="e">
        <f t="shared" si="6"/>
        <v>#DIV/0!</v>
      </c>
      <c r="CY47" s="157" t="e">
        <f t="shared" si="7"/>
        <v>#DIV/0!</v>
      </c>
      <c r="CZ47" s="157" t="e">
        <f t="shared" si="8"/>
        <v>#DIV/0!</v>
      </c>
      <c r="DA47" s="157" t="e">
        <f t="shared" si="9"/>
        <v>#DIV/0!</v>
      </c>
      <c r="DB47" s="158" t="e">
        <f t="shared" si="10"/>
        <v>#DIV/0!</v>
      </c>
      <c r="DC47" s="131"/>
      <c r="DD47" s="159">
        <f t="shared" si="11"/>
        <v>0</v>
      </c>
      <c r="DE47" s="160">
        <f t="shared" si="12"/>
        <v>0</v>
      </c>
      <c r="DF47" s="161">
        <f t="shared" si="13"/>
        <v>0</v>
      </c>
      <c r="DG47" s="162" t="e">
        <f t="shared" si="14"/>
        <v>#DIV/0!</v>
      </c>
      <c r="DH47" s="163">
        <f t="shared" si="15"/>
        <v>0</v>
      </c>
      <c r="DI47" s="164"/>
      <c r="DJ47" s="165">
        <f t="shared" si="50"/>
        <v>0</v>
      </c>
      <c r="DK47" s="166">
        <f t="shared" si="50"/>
        <v>0</v>
      </c>
      <c r="DL47" s="167" t="e">
        <f t="shared" si="17"/>
        <v>#DIV/0!</v>
      </c>
      <c r="DM47" s="168" t="e">
        <f t="shared" si="18"/>
        <v>#DIV/0!</v>
      </c>
      <c r="DN47" s="163" t="e">
        <f t="shared" si="19"/>
        <v>#DIV/0!</v>
      </c>
      <c r="DO47" s="169"/>
      <c r="DP47" s="170"/>
      <c r="DQ47" s="171"/>
      <c r="DR47" s="172">
        <f t="shared" si="20"/>
        <v>0</v>
      </c>
      <c r="DS47" s="173" t="e">
        <f t="shared" si="21"/>
        <v>#DIV/0!</v>
      </c>
      <c r="DT47" s="163" t="e">
        <f t="shared" si="22"/>
        <v>#DIV/0!</v>
      </c>
      <c r="DU47" s="174"/>
      <c r="DV47" s="175" t="e">
        <f t="shared" si="23"/>
        <v>#DIV/0!</v>
      </c>
      <c r="DW47" s="163">
        <f t="shared" si="24"/>
        <v>0</v>
      </c>
      <c r="DX47" s="164"/>
      <c r="DY47" s="176">
        <f t="shared" si="25"/>
        <v>0</v>
      </c>
      <c r="DZ47" s="177">
        <f t="shared" si="26"/>
        <v>0</v>
      </c>
      <c r="EA47" s="178">
        <f t="shared" si="27"/>
        <v>0</v>
      </c>
      <c r="EB47" s="179">
        <f t="shared" si="28"/>
        <v>0</v>
      </c>
      <c r="EC47" s="180"/>
      <c r="ED47" s="175" t="e">
        <f t="shared" si="29"/>
        <v>#DIV/0!</v>
      </c>
      <c r="EE47" s="163">
        <f t="shared" si="30"/>
        <v>0</v>
      </c>
      <c r="EF47" s="164"/>
      <c r="EG47" s="181">
        <f t="shared" si="31"/>
        <v>0</v>
      </c>
      <c r="EH47" s="182">
        <f t="shared" si="32"/>
        <v>0</v>
      </c>
      <c r="EI47" s="182">
        <f t="shared" si="33"/>
        <v>0</v>
      </c>
      <c r="EJ47" s="182">
        <f t="shared" si="34"/>
        <v>0</v>
      </c>
      <c r="EK47" s="183">
        <f t="shared" si="35"/>
        <v>0</v>
      </c>
      <c r="EL47" s="184" t="e">
        <f t="shared" si="36"/>
        <v>#DIV/0!</v>
      </c>
      <c r="EM47" s="185">
        <f t="shared" si="37"/>
        <v>0</v>
      </c>
      <c r="EN47" s="164"/>
      <c r="EO47" s="181">
        <f t="shared" si="38"/>
        <v>0</v>
      </c>
      <c r="EP47" s="183">
        <f t="shared" si="39"/>
        <v>0</v>
      </c>
      <c r="EQ47" s="184" t="e">
        <f t="shared" si="40"/>
        <v>#DIV/0!</v>
      </c>
      <c r="ER47" s="185">
        <f t="shared" si="41"/>
        <v>0</v>
      </c>
      <c r="ES47" s="164"/>
      <c r="ET47" s="164"/>
      <c r="EU47" s="186">
        <f t="shared" si="42"/>
        <v>0</v>
      </c>
      <c r="EV47" s="186">
        <f t="shared" si="43"/>
        <v>0</v>
      </c>
      <c r="EW47" s="186">
        <f t="shared" si="44"/>
        <v>0</v>
      </c>
      <c r="EX47" s="186">
        <f t="shared" si="45"/>
        <v>0</v>
      </c>
      <c r="EY47" s="131"/>
      <c r="EZ47" s="187">
        <f t="shared" si="46"/>
        <v>0</v>
      </c>
      <c r="FA47" s="188" t="e">
        <f t="shared" si="47"/>
        <v>#DIV/0!</v>
      </c>
      <c r="FB47" s="189"/>
      <c r="FC47" s="131"/>
      <c r="FD47" s="131"/>
      <c r="FE47" s="131"/>
      <c r="FF47" s="131"/>
      <c r="FG47" s="131"/>
    </row>
    <row r="48" spans="2:163" ht="16" outlineLevel="1" thickBot="1" x14ac:dyDescent="0.4">
      <c r="B48" s="357"/>
      <c r="C48" s="354"/>
      <c r="D48" s="190"/>
      <c r="E48" s="191"/>
      <c r="F48" s="135"/>
      <c r="G48" s="192"/>
      <c r="H48" s="137"/>
      <c r="I48" s="138">
        <f t="shared" si="0"/>
        <v>0</v>
      </c>
      <c r="J48" s="139"/>
      <c r="K48" s="193">
        <f t="shared" si="49"/>
        <v>0</v>
      </c>
      <c r="L48" s="141"/>
      <c r="M48" s="194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4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6"/>
      <c r="AN48" s="197">
        <f t="shared" si="2"/>
        <v>0</v>
      </c>
      <c r="AO48" s="146"/>
      <c r="AP48" s="147">
        <f t="shared" si="3"/>
        <v>0</v>
      </c>
      <c r="AQ48" s="148"/>
      <c r="AR48" s="198"/>
      <c r="AS48" s="198"/>
      <c r="AT48" s="135"/>
      <c r="AU48" s="199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199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2"/>
      <c r="CD48" s="199"/>
      <c r="CE48" s="194"/>
      <c r="CF48" s="195"/>
      <c r="CG48" s="195"/>
      <c r="CH48" s="195"/>
      <c r="CI48" s="195"/>
      <c r="CJ48" s="195"/>
      <c r="CK48" s="195"/>
      <c r="CL48" s="195"/>
      <c r="CM48" s="195"/>
      <c r="CN48" s="195"/>
      <c r="CO48" s="347"/>
      <c r="CP48" s="200"/>
      <c r="CQ48" s="201"/>
      <c r="CR48" s="202"/>
      <c r="CS48" s="203">
        <f t="shared" si="48"/>
        <v>0</v>
      </c>
      <c r="CT48" s="146"/>
      <c r="CU48" s="147">
        <f t="shared" si="4"/>
        <v>0</v>
      </c>
      <c r="CV48" s="156"/>
      <c r="CW48" s="157" t="e">
        <f t="shared" si="5"/>
        <v>#DIV/0!</v>
      </c>
      <c r="CX48" s="157" t="e">
        <f t="shared" si="6"/>
        <v>#DIV/0!</v>
      </c>
      <c r="CY48" s="157" t="e">
        <f t="shared" si="7"/>
        <v>#DIV/0!</v>
      </c>
      <c r="CZ48" s="157" t="e">
        <f t="shared" si="8"/>
        <v>#DIV/0!</v>
      </c>
      <c r="DA48" s="157" t="e">
        <f t="shared" si="9"/>
        <v>#DIV/0!</v>
      </c>
      <c r="DB48" s="158" t="e">
        <f t="shared" si="10"/>
        <v>#DIV/0!</v>
      </c>
      <c r="DC48" s="131"/>
      <c r="DD48" s="159">
        <f t="shared" si="11"/>
        <v>0</v>
      </c>
      <c r="DE48" s="160">
        <f t="shared" si="12"/>
        <v>0</v>
      </c>
      <c r="DF48" s="161">
        <f t="shared" si="13"/>
        <v>0</v>
      </c>
      <c r="DG48" s="162" t="e">
        <f t="shared" si="14"/>
        <v>#DIV/0!</v>
      </c>
      <c r="DH48" s="163">
        <f t="shared" si="15"/>
        <v>0</v>
      </c>
      <c r="DI48" s="164"/>
      <c r="DJ48" s="165">
        <f t="shared" si="50"/>
        <v>0</v>
      </c>
      <c r="DK48" s="166">
        <f t="shared" si="50"/>
        <v>0</v>
      </c>
      <c r="DL48" s="167" t="e">
        <f t="shared" si="17"/>
        <v>#DIV/0!</v>
      </c>
      <c r="DM48" s="168" t="e">
        <f t="shared" si="18"/>
        <v>#DIV/0!</v>
      </c>
      <c r="DN48" s="163" t="e">
        <f t="shared" si="19"/>
        <v>#DIV/0!</v>
      </c>
      <c r="DO48" s="169"/>
      <c r="DP48" s="170"/>
      <c r="DQ48" s="171"/>
      <c r="DR48" s="172">
        <f t="shared" si="20"/>
        <v>0</v>
      </c>
      <c r="DS48" s="173" t="e">
        <f t="shared" si="21"/>
        <v>#DIV/0!</v>
      </c>
      <c r="DT48" s="163" t="e">
        <f t="shared" si="22"/>
        <v>#DIV/0!</v>
      </c>
      <c r="DU48" s="174"/>
      <c r="DV48" s="175" t="e">
        <f t="shared" si="23"/>
        <v>#DIV/0!</v>
      </c>
      <c r="DW48" s="163">
        <f t="shared" si="24"/>
        <v>0</v>
      </c>
      <c r="DX48" s="164"/>
      <c r="DY48" s="176">
        <f t="shared" si="25"/>
        <v>0</v>
      </c>
      <c r="DZ48" s="177">
        <f t="shared" si="26"/>
        <v>0</v>
      </c>
      <c r="EA48" s="178">
        <f t="shared" si="27"/>
        <v>0</v>
      </c>
      <c r="EB48" s="179">
        <f t="shared" si="28"/>
        <v>0</v>
      </c>
      <c r="EC48" s="180"/>
      <c r="ED48" s="175" t="e">
        <f t="shared" si="29"/>
        <v>#DIV/0!</v>
      </c>
      <c r="EE48" s="163">
        <f t="shared" si="30"/>
        <v>0</v>
      </c>
      <c r="EF48" s="164"/>
      <c r="EG48" s="181">
        <f t="shared" si="31"/>
        <v>0</v>
      </c>
      <c r="EH48" s="182">
        <f t="shared" si="32"/>
        <v>0</v>
      </c>
      <c r="EI48" s="182">
        <f t="shared" si="33"/>
        <v>0</v>
      </c>
      <c r="EJ48" s="182">
        <f t="shared" si="34"/>
        <v>0</v>
      </c>
      <c r="EK48" s="183">
        <f t="shared" si="35"/>
        <v>0</v>
      </c>
      <c r="EL48" s="184" t="e">
        <f t="shared" si="36"/>
        <v>#DIV/0!</v>
      </c>
      <c r="EM48" s="185">
        <f t="shared" si="37"/>
        <v>0</v>
      </c>
      <c r="EN48" s="164"/>
      <c r="EO48" s="181">
        <f t="shared" si="38"/>
        <v>0</v>
      </c>
      <c r="EP48" s="183">
        <f t="shared" si="39"/>
        <v>0</v>
      </c>
      <c r="EQ48" s="184" t="e">
        <f t="shared" si="40"/>
        <v>#DIV/0!</v>
      </c>
      <c r="ER48" s="185">
        <f t="shared" si="41"/>
        <v>0</v>
      </c>
      <c r="ES48" s="164"/>
      <c r="ET48" s="164"/>
      <c r="EU48" s="186">
        <f t="shared" si="42"/>
        <v>0</v>
      </c>
      <c r="EV48" s="186">
        <f t="shared" si="43"/>
        <v>0</v>
      </c>
      <c r="EW48" s="186">
        <f t="shared" si="44"/>
        <v>0</v>
      </c>
      <c r="EX48" s="186">
        <f t="shared" si="45"/>
        <v>0</v>
      </c>
      <c r="EY48" s="131"/>
      <c r="EZ48" s="187">
        <f t="shared" si="46"/>
        <v>0</v>
      </c>
      <c r="FA48" s="188" t="e">
        <f t="shared" si="47"/>
        <v>#DIV/0!</v>
      </c>
      <c r="FB48" s="189"/>
      <c r="FC48" s="131"/>
      <c r="FD48" s="131"/>
      <c r="FE48" s="131"/>
      <c r="FF48" s="131"/>
      <c r="FG48" s="131"/>
    </row>
    <row r="49" spans="2:163" ht="16" outlineLevel="1" thickBot="1" x14ac:dyDescent="0.4">
      <c r="B49" s="358"/>
      <c r="C49" s="355"/>
      <c r="D49" s="238"/>
      <c r="E49" s="239"/>
      <c r="F49" s="135"/>
      <c r="G49" s="192"/>
      <c r="H49" s="207"/>
      <c r="I49" s="138">
        <f t="shared" si="0"/>
        <v>0</v>
      </c>
      <c r="J49" s="139"/>
      <c r="K49" s="208">
        <f t="shared" si="49"/>
        <v>0</v>
      </c>
      <c r="L49" s="141"/>
      <c r="M49" s="209"/>
      <c r="N49" s="210"/>
      <c r="O49" s="210"/>
      <c r="P49" s="210"/>
      <c r="Q49" s="195"/>
      <c r="R49" s="210"/>
      <c r="S49" s="210"/>
      <c r="T49" s="210"/>
      <c r="U49" s="210"/>
      <c r="V49" s="210"/>
      <c r="W49" s="210"/>
      <c r="X49" s="210"/>
      <c r="Y49" s="210"/>
      <c r="Z49" s="210"/>
      <c r="AA49" s="209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1"/>
      <c r="AN49" s="212">
        <f t="shared" si="2"/>
        <v>0</v>
      </c>
      <c r="AO49" s="146"/>
      <c r="AP49" s="147">
        <f t="shared" si="3"/>
        <v>0</v>
      </c>
      <c r="AQ49" s="148"/>
      <c r="AR49" s="213"/>
      <c r="AS49" s="213"/>
      <c r="AT49" s="135"/>
      <c r="AU49" s="214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4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7"/>
      <c r="CD49" s="214"/>
      <c r="CE49" s="209"/>
      <c r="CF49" s="210"/>
      <c r="CG49" s="210"/>
      <c r="CH49" s="210"/>
      <c r="CI49" s="210"/>
      <c r="CJ49" s="210"/>
      <c r="CK49" s="210"/>
      <c r="CL49" s="210"/>
      <c r="CM49" s="210"/>
      <c r="CN49" s="210"/>
      <c r="CO49" s="348"/>
      <c r="CP49" s="215"/>
      <c r="CQ49" s="216"/>
      <c r="CR49" s="217"/>
      <c r="CS49" s="218">
        <f t="shared" si="48"/>
        <v>0</v>
      </c>
      <c r="CT49" s="146"/>
      <c r="CU49" s="147">
        <f t="shared" si="4"/>
        <v>0</v>
      </c>
      <c r="CV49" s="156"/>
      <c r="CW49" s="157" t="e">
        <f t="shared" si="5"/>
        <v>#DIV/0!</v>
      </c>
      <c r="CX49" s="157" t="e">
        <f t="shared" si="6"/>
        <v>#DIV/0!</v>
      </c>
      <c r="CY49" s="157" t="e">
        <f t="shared" si="7"/>
        <v>#DIV/0!</v>
      </c>
      <c r="CZ49" s="157" t="e">
        <f t="shared" si="8"/>
        <v>#DIV/0!</v>
      </c>
      <c r="DA49" s="157" t="e">
        <f t="shared" si="9"/>
        <v>#DIV/0!</v>
      </c>
      <c r="DB49" s="158" t="e">
        <f t="shared" si="10"/>
        <v>#DIV/0!</v>
      </c>
      <c r="DC49" s="131"/>
      <c r="DD49" s="159">
        <f t="shared" si="11"/>
        <v>0</v>
      </c>
      <c r="DE49" s="160">
        <f t="shared" si="12"/>
        <v>0</v>
      </c>
      <c r="DF49" s="161">
        <f t="shared" si="13"/>
        <v>0</v>
      </c>
      <c r="DG49" s="162" t="e">
        <f t="shared" si="14"/>
        <v>#DIV/0!</v>
      </c>
      <c r="DH49" s="163">
        <f t="shared" si="15"/>
        <v>0</v>
      </c>
      <c r="DI49" s="164"/>
      <c r="DJ49" s="165">
        <f t="shared" si="50"/>
        <v>0</v>
      </c>
      <c r="DK49" s="166">
        <f t="shared" si="50"/>
        <v>0</v>
      </c>
      <c r="DL49" s="167" t="e">
        <f t="shared" si="17"/>
        <v>#DIV/0!</v>
      </c>
      <c r="DM49" s="168" t="e">
        <f t="shared" si="18"/>
        <v>#DIV/0!</v>
      </c>
      <c r="DN49" s="163" t="e">
        <f t="shared" si="19"/>
        <v>#DIV/0!</v>
      </c>
      <c r="DO49" s="169"/>
      <c r="DP49" s="170"/>
      <c r="DQ49" s="171"/>
      <c r="DR49" s="172">
        <f t="shared" si="20"/>
        <v>0</v>
      </c>
      <c r="DS49" s="173" t="e">
        <f t="shared" si="21"/>
        <v>#DIV/0!</v>
      </c>
      <c r="DT49" s="163" t="e">
        <f t="shared" si="22"/>
        <v>#DIV/0!</v>
      </c>
      <c r="DU49" s="174"/>
      <c r="DV49" s="175" t="e">
        <f t="shared" si="23"/>
        <v>#DIV/0!</v>
      </c>
      <c r="DW49" s="163">
        <f t="shared" si="24"/>
        <v>0</v>
      </c>
      <c r="DX49" s="164"/>
      <c r="DY49" s="176">
        <f t="shared" si="25"/>
        <v>0</v>
      </c>
      <c r="DZ49" s="177">
        <f t="shared" si="26"/>
        <v>0</v>
      </c>
      <c r="EA49" s="178">
        <f t="shared" si="27"/>
        <v>0</v>
      </c>
      <c r="EB49" s="179">
        <f t="shared" si="28"/>
        <v>0</v>
      </c>
      <c r="EC49" s="180"/>
      <c r="ED49" s="175" t="e">
        <f t="shared" si="29"/>
        <v>#DIV/0!</v>
      </c>
      <c r="EE49" s="163">
        <f t="shared" si="30"/>
        <v>0</v>
      </c>
      <c r="EF49" s="164"/>
      <c r="EG49" s="181">
        <f t="shared" si="31"/>
        <v>0</v>
      </c>
      <c r="EH49" s="182">
        <f t="shared" si="32"/>
        <v>0</v>
      </c>
      <c r="EI49" s="182">
        <f t="shared" si="33"/>
        <v>0</v>
      </c>
      <c r="EJ49" s="182">
        <f t="shared" si="34"/>
        <v>0</v>
      </c>
      <c r="EK49" s="183">
        <f t="shared" si="35"/>
        <v>0</v>
      </c>
      <c r="EL49" s="184" t="e">
        <f t="shared" si="36"/>
        <v>#DIV/0!</v>
      </c>
      <c r="EM49" s="185">
        <f t="shared" si="37"/>
        <v>0</v>
      </c>
      <c r="EN49" s="164"/>
      <c r="EO49" s="181">
        <f t="shared" si="38"/>
        <v>0</v>
      </c>
      <c r="EP49" s="183">
        <f t="shared" si="39"/>
        <v>0</v>
      </c>
      <c r="EQ49" s="184" t="e">
        <f t="shared" si="40"/>
        <v>#DIV/0!</v>
      </c>
      <c r="ER49" s="185">
        <f t="shared" si="41"/>
        <v>0</v>
      </c>
      <c r="ES49" s="164"/>
      <c r="ET49" s="164"/>
      <c r="EU49" s="186">
        <f t="shared" si="42"/>
        <v>0</v>
      </c>
      <c r="EV49" s="186">
        <f t="shared" si="43"/>
        <v>0</v>
      </c>
      <c r="EW49" s="186">
        <f t="shared" si="44"/>
        <v>0</v>
      </c>
      <c r="EX49" s="186">
        <f t="shared" si="45"/>
        <v>0</v>
      </c>
      <c r="EY49" s="131"/>
      <c r="EZ49" s="187">
        <f t="shared" si="46"/>
        <v>0</v>
      </c>
      <c r="FA49" s="188" t="e">
        <f t="shared" si="47"/>
        <v>#DIV/0!</v>
      </c>
      <c r="FB49" s="189"/>
      <c r="FC49" s="131"/>
      <c r="FD49" s="131"/>
      <c r="FE49" s="131"/>
      <c r="FF49" s="131"/>
      <c r="FG49" s="131"/>
    </row>
    <row r="50" spans="2:163" ht="16" outlineLevel="1" thickBot="1" x14ac:dyDescent="0.4">
      <c r="B50" s="356"/>
      <c r="C50" s="353"/>
      <c r="D50" s="133"/>
      <c r="E50" s="134"/>
      <c r="F50" s="135"/>
      <c r="G50" s="136"/>
      <c r="H50" s="137"/>
      <c r="I50" s="138">
        <f t="shared" si="0"/>
        <v>0</v>
      </c>
      <c r="J50" s="139"/>
      <c r="K50" s="140">
        <f t="shared" si="49"/>
        <v>0</v>
      </c>
      <c r="L50" s="141"/>
      <c r="M50" s="142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2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4"/>
      <c r="AN50" s="145">
        <f t="shared" si="2"/>
        <v>0</v>
      </c>
      <c r="AO50" s="146"/>
      <c r="AP50" s="147">
        <f t="shared" si="3"/>
        <v>0</v>
      </c>
      <c r="AQ50" s="148"/>
      <c r="AR50" s="149"/>
      <c r="AS50" s="149"/>
      <c r="AT50" s="135"/>
      <c r="AU50" s="150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0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4"/>
      <c r="CD50" s="150"/>
      <c r="CE50" s="194"/>
      <c r="CF50" s="195"/>
      <c r="CG50" s="195"/>
      <c r="CH50" s="195"/>
      <c r="CI50" s="195"/>
      <c r="CJ50" s="195"/>
      <c r="CK50" s="195"/>
      <c r="CL50" s="195"/>
      <c r="CM50" s="195"/>
      <c r="CN50" s="143"/>
      <c r="CO50" s="346"/>
      <c r="CP50" s="151"/>
      <c r="CQ50" s="152"/>
      <c r="CR50" s="154"/>
      <c r="CS50" s="155">
        <f t="shared" si="48"/>
        <v>0</v>
      </c>
      <c r="CT50" s="146"/>
      <c r="CU50" s="147">
        <f t="shared" si="4"/>
        <v>0</v>
      </c>
      <c r="CV50" s="156"/>
      <c r="CW50" s="157" t="e">
        <f t="shared" si="5"/>
        <v>#DIV/0!</v>
      </c>
      <c r="CX50" s="157" t="e">
        <f t="shared" si="6"/>
        <v>#DIV/0!</v>
      </c>
      <c r="CY50" s="157" t="e">
        <f t="shared" si="7"/>
        <v>#DIV/0!</v>
      </c>
      <c r="CZ50" s="157" t="e">
        <f t="shared" si="8"/>
        <v>#DIV/0!</v>
      </c>
      <c r="DA50" s="157" t="e">
        <f t="shared" si="9"/>
        <v>#DIV/0!</v>
      </c>
      <c r="DB50" s="158" t="e">
        <f t="shared" si="10"/>
        <v>#DIV/0!</v>
      </c>
      <c r="DC50" s="131"/>
      <c r="DD50" s="159">
        <f t="shared" si="11"/>
        <v>0</v>
      </c>
      <c r="DE50" s="160">
        <f t="shared" si="12"/>
        <v>0</v>
      </c>
      <c r="DF50" s="161">
        <f t="shared" si="13"/>
        <v>0</v>
      </c>
      <c r="DG50" s="162" t="e">
        <f t="shared" si="14"/>
        <v>#DIV/0!</v>
      </c>
      <c r="DH50" s="163">
        <f t="shared" si="15"/>
        <v>0</v>
      </c>
      <c r="DI50" s="164"/>
      <c r="DJ50" s="165">
        <f t="shared" si="50"/>
        <v>0</v>
      </c>
      <c r="DK50" s="166">
        <f t="shared" si="50"/>
        <v>0</v>
      </c>
      <c r="DL50" s="167" t="e">
        <f t="shared" si="17"/>
        <v>#DIV/0!</v>
      </c>
      <c r="DM50" s="168" t="e">
        <f t="shared" si="18"/>
        <v>#DIV/0!</v>
      </c>
      <c r="DN50" s="163" t="e">
        <f t="shared" si="19"/>
        <v>#DIV/0!</v>
      </c>
      <c r="DO50" s="169"/>
      <c r="DP50" s="170"/>
      <c r="DQ50" s="171"/>
      <c r="DR50" s="172">
        <f t="shared" si="20"/>
        <v>0</v>
      </c>
      <c r="DS50" s="173" t="e">
        <f t="shared" si="21"/>
        <v>#DIV/0!</v>
      </c>
      <c r="DT50" s="163" t="e">
        <f t="shared" si="22"/>
        <v>#DIV/0!</v>
      </c>
      <c r="DU50" s="174"/>
      <c r="DV50" s="175" t="e">
        <f t="shared" si="23"/>
        <v>#DIV/0!</v>
      </c>
      <c r="DW50" s="163">
        <f t="shared" si="24"/>
        <v>0</v>
      </c>
      <c r="DX50" s="164"/>
      <c r="DY50" s="176">
        <f t="shared" si="25"/>
        <v>0</v>
      </c>
      <c r="DZ50" s="177">
        <f t="shared" si="26"/>
        <v>0</v>
      </c>
      <c r="EA50" s="178">
        <f t="shared" si="27"/>
        <v>0</v>
      </c>
      <c r="EB50" s="179">
        <f t="shared" si="28"/>
        <v>0</v>
      </c>
      <c r="EC50" s="180"/>
      <c r="ED50" s="175" t="e">
        <f t="shared" si="29"/>
        <v>#DIV/0!</v>
      </c>
      <c r="EE50" s="163">
        <f t="shared" si="30"/>
        <v>0</v>
      </c>
      <c r="EF50" s="164"/>
      <c r="EG50" s="181">
        <f t="shared" si="31"/>
        <v>0</v>
      </c>
      <c r="EH50" s="182">
        <f t="shared" si="32"/>
        <v>0</v>
      </c>
      <c r="EI50" s="182">
        <f t="shared" si="33"/>
        <v>0</v>
      </c>
      <c r="EJ50" s="182">
        <f t="shared" si="34"/>
        <v>0</v>
      </c>
      <c r="EK50" s="183">
        <f t="shared" si="35"/>
        <v>0</v>
      </c>
      <c r="EL50" s="184" t="e">
        <f t="shared" si="36"/>
        <v>#DIV/0!</v>
      </c>
      <c r="EM50" s="185">
        <f t="shared" si="37"/>
        <v>0</v>
      </c>
      <c r="EN50" s="164"/>
      <c r="EO50" s="181">
        <f t="shared" si="38"/>
        <v>0</v>
      </c>
      <c r="EP50" s="183">
        <f t="shared" si="39"/>
        <v>0</v>
      </c>
      <c r="EQ50" s="184" t="e">
        <f t="shared" si="40"/>
        <v>#DIV/0!</v>
      </c>
      <c r="ER50" s="185">
        <f t="shared" si="41"/>
        <v>0</v>
      </c>
      <c r="ES50" s="164"/>
      <c r="ET50" s="164"/>
      <c r="EU50" s="186">
        <f t="shared" si="42"/>
        <v>0</v>
      </c>
      <c r="EV50" s="186">
        <f t="shared" si="43"/>
        <v>0</v>
      </c>
      <c r="EW50" s="186">
        <f t="shared" si="44"/>
        <v>0</v>
      </c>
      <c r="EX50" s="186">
        <f t="shared" si="45"/>
        <v>0</v>
      </c>
      <c r="EY50" s="131"/>
      <c r="EZ50" s="187">
        <f t="shared" si="46"/>
        <v>0</v>
      </c>
      <c r="FA50" s="188" t="e">
        <f t="shared" si="47"/>
        <v>#DIV/0!</v>
      </c>
      <c r="FB50" s="189"/>
      <c r="FC50" s="131"/>
      <c r="FD50" s="131"/>
      <c r="FE50" s="131"/>
      <c r="FF50" s="131"/>
      <c r="FG50" s="131"/>
    </row>
    <row r="51" spans="2:163" ht="16" outlineLevel="1" thickBot="1" x14ac:dyDescent="0.4">
      <c r="B51" s="357"/>
      <c r="C51" s="354"/>
      <c r="D51" s="190"/>
      <c r="E51" s="191"/>
      <c r="F51" s="135"/>
      <c r="G51" s="192"/>
      <c r="H51" s="137"/>
      <c r="I51" s="138">
        <f t="shared" si="0"/>
        <v>0</v>
      </c>
      <c r="J51" s="139"/>
      <c r="K51" s="193">
        <f t="shared" si="49"/>
        <v>0</v>
      </c>
      <c r="L51" s="141"/>
      <c r="M51" s="194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4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6"/>
      <c r="AN51" s="197">
        <f t="shared" si="2"/>
        <v>0</v>
      </c>
      <c r="AO51" s="146"/>
      <c r="AP51" s="147">
        <f t="shared" si="3"/>
        <v>0</v>
      </c>
      <c r="AQ51" s="148"/>
      <c r="AR51" s="198"/>
      <c r="AS51" s="198"/>
      <c r="AT51" s="135"/>
      <c r="AU51" s="199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199"/>
      <c r="BS51" s="200"/>
      <c r="BT51" s="200"/>
      <c r="BU51" s="200"/>
      <c r="BV51" s="200"/>
      <c r="BW51" s="200"/>
      <c r="BX51" s="200"/>
      <c r="BY51" s="200"/>
      <c r="BZ51" s="200"/>
      <c r="CA51" s="200"/>
      <c r="CB51" s="200"/>
      <c r="CC51" s="202"/>
      <c r="CD51" s="199"/>
      <c r="CE51" s="194"/>
      <c r="CF51" s="195"/>
      <c r="CG51" s="195"/>
      <c r="CH51" s="195"/>
      <c r="CI51" s="195"/>
      <c r="CJ51" s="195"/>
      <c r="CK51" s="195"/>
      <c r="CL51" s="195"/>
      <c r="CM51" s="195"/>
      <c r="CN51" s="195"/>
      <c r="CO51" s="347"/>
      <c r="CP51" s="200"/>
      <c r="CQ51" s="201"/>
      <c r="CR51" s="202"/>
      <c r="CS51" s="203">
        <f t="shared" si="48"/>
        <v>0</v>
      </c>
      <c r="CT51" s="146"/>
      <c r="CU51" s="147">
        <f t="shared" si="4"/>
        <v>0</v>
      </c>
      <c r="CV51" s="156"/>
      <c r="CW51" s="157" t="e">
        <f t="shared" si="5"/>
        <v>#DIV/0!</v>
      </c>
      <c r="CX51" s="157" t="e">
        <f t="shared" si="6"/>
        <v>#DIV/0!</v>
      </c>
      <c r="CY51" s="157" t="e">
        <f t="shared" si="7"/>
        <v>#DIV/0!</v>
      </c>
      <c r="CZ51" s="157" t="e">
        <f t="shared" si="8"/>
        <v>#DIV/0!</v>
      </c>
      <c r="DA51" s="157" t="e">
        <f t="shared" si="9"/>
        <v>#DIV/0!</v>
      </c>
      <c r="DB51" s="158" t="e">
        <f t="shared" si="10"/>
        <v>#DIV/0!</v>
      </c>
      <c r="DC51" s="131"/>
      <c r="DD51" s="159">
        <f t="shared" si="11"/>
        <v>0</v>
      </c>
      <c r="DE51" s="160">
        <f t="shared" si="12"/>
        <v>0</v>
      </c>
      <c r="DF51" s="161">
        <f t="shared" si="13"/>
        <v>0</v>
      </c>
      <c r="DG51" s="162" t="e">
        <f t="shared" si="14"/>
        <v>#DIV/0!</v>
      </c>
      <c r="DH51" s="163">
        <f t="shared" si="15"/>
        <v>0</v>
      </c>
      <c r="DI51" s="164"/>
      <c r="DJ51" s="165">
        <f t="shared" si="50"/>
        <v>0</v>
      </c>
      <c r="DK51" s="166">
        <f t="shared" si="50"/>
        <v>0</v>
      </c>
      <c r="DL51" s="167" t="e">
        <f t="shared" si="17"/>
        <v>#DIV/0!</v>
      </c>
      <c r="DM51" s="168" t="e">
        <f t="shared" si="18"/>
        <v>#DIV/0!</v>
      </c>
      <c r="DN51" s="163" t="e">
        <f t="shared" si="19"/>
        <v>#DIV/0!</v>
      </c>
      <c r="DO51" s="169"/>
      <c r="DP51" s="170"/>
      <c r="DQ51" s="171"/>
      <c r="DR51" s="172">
        <f t="shared" si="20"/>
        <v>0</v>
      </c>
      <c r="DS51" s="173" t="e">
        <f t="shared" si="21"/>
        <v>#DIV/0!</v>
      </c>
      <c r="DT51" s="163" t="e">
        <f t="shared" si="22"/>
        <v>#DIV/0!</v>
      </c>
      <c r="DU51" s="174"/>
      <c r="DV51" s="175" t="e">
        <f t="shared" si="23"/>
        <v>#DIV/0!</v>
      </c>
      <c r="DW51" s="163">
        <f t="shared" si="24"/>
        <v>0</v>
      </c>
      <c r="DX51" s="164"/>
      <c r="DY51" s="176">
        <f t="shared" si="25"/>
        <v>0</v>
      </c>
      <c r="DZ51" s="177">
        <f t="shared" si="26"/>
        <v>0</v>
      </c>
      <c r="EA51" s="178">
        <f t="shared" si="27"/>
        <v>0</v>
      </c>
      <c r="EB51" s="179">
        <f t="shared" si="28"/>
        <v>0</v>
      </c>
      <c r="EC51" s="180"/>
      <c r="ED51" s="175" t="e">
        <f t="shared" si="29"/>
        <v>#DIV/0!</v>
      </c>
      <c r="EE51" s="163">
        <f t="shared" si="30"/>
        <v>0</v>
      </c>
      <c r="EF51" s="164"/>
      <c r="EG51" s="181">
        <f t="shared" si="31"/>
        <v>0</v>
      </c>
      <c r="EH51" s="182">
        <f t="shared" si="32"/>
        <v>0</v>
      </c>
      <c r="EI51" s="182">
        <f t="shared" si="33"/>
        <v>0</v>
      </c>
      <c r="EJ51" s="182">
        <f t="shared" si="34"/>
        <v>0</v>
      </c>
      <c r="EK51" s="183">
        <f t="shared" si="35"/>
        <v>0</v>
      </c>
      <c r="EL51" s="184" t="e">
        <f t="shared" si="36"/>
        <v>#DIV/0!</v>
      </c>
      <c r="EM51" s="185">
        <f t="shared" si="37"/>
        <v>0</v>
      </c>
      <c r="EN51" s="164"/>
      <c r="EO51" s="181">
        <f t="shared" si="38"/>
        <v>0</v>
      </c>
      <c r="EP51" s="183">
        <f t="shared" si="39"/>
        <v>0</v>
      </c>
      <c r="EQ51" s="184" t="e">
        <f t="shared" si="40"/>
        <v>#DIV/0!</v>
      </c>
      <c r="ER51" s="185">
        <f t="shared" si="41"/>
        <v>0</v>
      </c>
      <c r="ES51" s="164"/>
      <c r="ET51" s="164"/>
      <c r="EU51" s="186">
        <f t="shared" si="42"/>
        <v>0</v>
      </c>
      <c r="EV51" s="186">
        <f t="shared" si="43"/>
        <v>0</v>
      </c>
      <c r="EW51" s="186">
        <f t="shared" si="44"/>
        <v>0</v>
      </c>
      <c r="EX51" s="186">
        <f t="shared" si="45"/>
        <v>0</v>
      </c>
      <c r="EY51" s="131"/>
      <c r="EZ51" s="187">
        <f t="shared" si="46"/>
        <v>0</v>
      </c>
      <c r="FA51" s="188" t="e">
        <f t="shared" si="47"/>
        <v>#DIV/0!</v>
      </c>
      <c r="FB51" s="189"/>
      <c r="FC51" s="131"/>
      <c r="FD51" s="131"/>
      <c r="FE51" s="131"/>
      <c r="FF51" s="131"/>
      <c r="FG51" s="131"/>
    </row>
    <row r="52" spans="2:163" ht="16" outlineLevel="1" thickBot="1" x14ac:dyDescent="0.4">
      <c r="B52" s="358"/>
      <c r="C52" s="355"/>
      <c r="D52" s="238"/>
      <c r="E52" s="239"/>
      <c r="F52" s="135"/>
      <c r="G52" s="192"/>
      <c r="H52" s="207"/>
      <c r="I52" s="138">
        <f t="shared" si="0"/>
        <v>0</v>
      </c>
      <c r="J52" s="139"/>
      <c r="K52" s="208">
        <f t="shared" si="49"/>
        <v>0</v>
      </c>
      <c r="L52" s="141"/>
      <c r="M52" s="209"/>
      <c r="N52" s="210"/>
      <c r="O52" s="210"/>
      <c r="P52" s="210"/>
      <c r="Q52" s="195"/>
      <c r="R52" s="210"/>
      <c r="S52" s="210"/>
      <c r="T52" s="210"/>
      <c r="U52" s="210"/>
      <c r="V52" s="210"/>
      <c r="W52" s="210"/>
      <c r="X52" s="210"/>
      <c r="Y52" s="210"/>
      <c r="Z52" s="210"/>
      <c r="AA52" s="209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1"/>
      <c r="AN52" s="212">
        <f t="shared" si="2"/>
        <v>0</v>
      </c>
      <c r="AO52" s="146"/>
      <c r="AP52" s="147">
        <f t="shared" si="3"/>
        <v>0</v>
      </c>
      <c r="AQ52" s="148"/>
      <c r="AR52" s="213"/>
      <c r="AS52" s="213"/>
      <c r="AT52" s="135"/>
      <c r="AU52" s="214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6"/>
      <c r="BG52" s="216"/>
      <c r="BH52" s="216"/>
      <c r="BI52" s="216"/>
      <c r="BJ52" s="216"/>
      <c r="BK52" s="216"/>
      <c r="BL52" s="216"/>
      <c r="BM52" s="216"/>
      <c r="BN52" s="216"/>
      <c r="BO52" s="216"/>
      <c r="BP52" s="216"/>
      <c r="BQ52" s="216"/>
      <c r="BR52" s="214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7"/>
      <c r="CD52" s="214"/>
      <c r="CE52" s="194"/>
      <c r="CF52" s="195"/>
      <c r="CG52" s="195"/>
      <c r="CH52" s="195"/>
      <c r="CI52" s="195"/>
      <c r="CJ52" s="195"/>
      <c r="CK52" s="195"/>
      <c r="CL52" s="195"/>
      <c r="CM52" s="195"/>
      <c r="CN52" s="210"/>
      <c r="CO52" s="348"/>
      <c r="CP52" s="215"/>
      <c r="CQ52" s="216"/>
      <c r="CR52" s="217"/>
      <c r="CS52" s="218">
        <f t="shared" si="48"/>
        <v>0</v>
      </c>
      <c r="CT52" s="146"/>
      <c r="CU52" s="147">
        <f t="shared" si="4"/>
        <v>0</v>
      </c>
      <c r="CV52" s="156"/>
      <c r="CW52" s="157" t="e">
        <f t="shared" si="5"/>
        <v>#DIV/0!</v>
      </c>
      <c r="CX52" s="157" t="e">
        <f t="shared" si="6"/>
        <v>#DIV/0!</v>
      </c>
      <c r="CY52" s="157" t="e">
        <f t="shared" si="7"/>
        <v>#DIV/0!</v>
      </c>
      <c r="CZ52" s="157" t="e">
        <f t="shared" si="8"/>
        <v>#DIV/0!</v>
      </c>
      <c r="DA52" s="157" t="e">
        <f t="shared" si="9"/>
        <v>#DIV/0!</v>
      </c>
      <c r="DB52" s="158" t="e">
        <f t="shared" si="10"/>
        <v>#DIV/0!</v>
      </c>
      <c r="DC52" s="131"/>
      <c r="DD52" s="159">
        <f t="shared" si="11"/>
        <v>0</v>
      </c>
      <c r="DE52" s="160">
        <f t="shared" si="12"/>
        <v>0</v>
      </c>
      <c r="DF52" s="161">
        <f t="shared" si="13"/>
        <v>0</v>
      </c>
      <c r="DG52" s="162" t="e">
        <f t="shared" si="14"/>
        <v>#DIV/0!</v>
      </c>
      <c r="DH52" s="163">
        <f t="shared" si="15"/>
        <v>0</v>
      </c>
      <c r="DI52" s="164"/>
      <c r="DJ52" s="165">
        <f t="shared" si="50"/>
        <v>0</v>
      </c>
      <c r="DK52" s="166">
        <f t="shared" si="50"/>
        <v>0</v>
      </c>
      <c r="DL52" s="167" t="e">
        <f t="shared" si="17"/>
        <v>#DIV/0!</v>
      </c>
      <c r="DM52" s="168" t="e">
        <f t="shared" si="18"/>
        <v>#DIV/0!</v>
      </c>
      <c r="DN52" s="163" t="e">
        <f t="shared" si="19"/>
        <v>#DIV/0!</v>
      </c>
      <c r="DO52" s="169"/>
      <c r="DP52" s="170"/>
      <c r="DQ52" s="171"/>
      <c r="DR52" s="172">
        <f t="shared" si="20"/>
        <v>0</v>
      </c>
      <c r="DS52" s="173" t="e">
        <f t="shared" si="21"/>
        <v>#DIV/0!</v>
      </c>
      <c r="DT52" s="163" t="e">
        <f t="shared" si="22"/>
        <v>#DIV/0!</v>
      </c>
      <c r="DU52" s="174"/>
      <c r="DV52" s="175" t="e">
        <f t="shared" si="23"/>
        <v>#DIV/0!</v>
      </c>
      <c r="DW52" s="163">
        <f t="shared" si="24"/>
        <v>0</v>
      </c>
      <c r="DX52" s="164"/>
      <c r="DY52" s="176">
        <f t="shared" si="25"/>
        <v>0</v>
      </c>
      <c r="DZ52" s="177">
        <f t="shared" si="26"/>
        <v>0</v>
      </c>
      <c r="EA52" s="178">
        <f t="shared" si="27"/>
        <v>0</v>
      </c>
      <c r="EB52" s="179">
        <f t="shared" si="28"/>
        <v>0</v>
      </c>
      <c r="EC52" s="180"/>
      <c r="ED52" s="175" t="e">
        <f t="shared" si="29"/>
        <v>#DIV/0!</v>
      </c>
      <c r="EE52" s="163">
        <f t="shared" si="30"/>
        <v>0</v>
      </c>
      <c r="EF52" s="164"/>
      <c r="EG52" s="181">
        <f t="shared" si="31"/>
        <v>0</v>
      </c>
      <c r="EH52" s="182">
        <f t="shared" si="32"/>
        <v>0</v>
      </c>
      <c r="EI52" s="182">
        <f t="shared" si="33"/>
        <v>0</v>
      </c>
      <c r="EJ52" s="182">
        <f t="shared" si="34"/>
        <v>0</v>
      </c>
      <c r="EK52" s="183">
        <f t="shared" si="35"/>
        <v>0</v>
      </c>
      <c r="EL52" s="184" t="e">
        <f t="shared" si="36"/>
        <v>#DIV/0!</v>
      </c>
      <c r="EM52" s="185">
        <f t="shared" si="37"/>
        <v>0</v>
      </c>
      <c r="EN52" s="164"/>
      <c r="EO52" s="181">
        <f t="shared" si="38"/>
        <v>0</v>
      </c>
      <c r="EP52" s="183">
        <f t="shared" si="39"/>
        <v>0</v>
      </c>
      <c r="EQ52" s="184" t="e">
        <f t="shared" si="40"/>
        <v>#DIV/0!</v>
      </c>
      <c r="ER52" s="185">
        <f t="shared" si="41"/>
        <v>0</v>
      </c>
      <c r="ES52" s="164"/>
      <c r="ET52" s="164"/>
      <c r="EU52" s="186">
        <f t="shared" si="42"/>
        <v>0</v>
      </c>
      <c r="EV52" s="186">
        <f t="shared" si="43"/>
        <v>0</v>
      </c>
      <c r="EW52" s="186">
        <f t="shared" si="44"/>
        <v>0</v>
      </c>
      <c r="EX52" s="186">
        <f t="shared" si="45"/>
        <v>0</v>
      </c>
      <c r="EY52" s="131"/>
      <c r="EZ52" s="187">
        <f t="shared" si="46"/>
        <v>0</v>
      </c>
      <c r="FA52" s="188" t="e">
        <f t="shared" si="47"/>
        <v>#DIV/0!</v>
      </c>
      <c r="FB52" s="189"/>
      <c r="FC52" s="131"/>
      <c r="FD52" s="131"/>
      <c r="FE52" s="131"/>
      <c r="FF52" s="131"/>
      <c r="FG52" s="131"/>
    </row>
    <row r="53" spans="2:163" ht="16" outlineLevel="1" thickBot="1" x14ac:dyDescent="0.4">
      <c r="B53" s="356"/>
      <c r="C53" s="353"/>
      <c r="D53" s="133"/>
      <c r="E53" s="134"/>
      <c r="F53" s="135"/>
      <c r="G53" s="136"/>
      <c r="H53" s="137"/>
      <c r="I53" s="138">
        <f>IF(E53&gt;0.0001,11,0)</f>
        <v>0</v>
      </c>
      <c r="J53" s="139"/>
      <c r="K53" s="140">
        <f t="shared" si="49"/>
        <v>0</v>
      </c>
      <c r="L53" s="141"/>
      <c r="M53" s="142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2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4"/>
      <c r="AN53" s="145">
        <f t="shared" si="2"/>
        <v>0</v>
      </c>
      <c r="AO53" s="146"/>
      <c r="AP53" s="147">
        <f t="shared" si="3"/>
        <v>0</v>
      </c>
      <c r="AQ53" s="148"/>
      <c r="AR53" s="149"/>
      <c r="AS53" s="149"/>
      <c r="AT53" s="135"/>
      <c r="AU53" s="150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0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4"/>
      <c r="CD53" s="150"/>
      <c r="CE53" s="142"/>
      <c r="CF53" s="143"/>
      <c r="CG53" s="143"/>
      <c r="CH53" s="143"/>
      <c r="CI53" s="143"/>
      <c r="CJ53" s="143"/>
      <c r="CK53" s="143"/>
      <c r="CL53" s="143"/>
      <c r="CM53" s="143"/>
      <c r="CN53" s="143"/>
      <c r="CO53" s="346"/>
      <c r="CP53" s="151"/>
      <c r="CQ53" s="152"/>
      <c r="CR53" s="154"/>
      <c r="CS53" s="155">
        <f t="shared" si="48"/>
        <v>0</v>
      </c>
      <c r="CT53" s="146"/>
      <c r="CU53" s="147">
        <f t="shared" si="4"/>
        <v>0</v>
      </c>
      <c r="CV53" s="156"/>
      <c r="CW53" s="157" t="e">
        <f t="shared" si="5"/>
        <v>#DIV/0!</v>
      </c>
      <c r="CX53" s="157" t="e">
        <f t="shared" si="6"/>
        <v>#DIV/0!</v>
      </c>
      <c r="CY53" s="157" t="e">
        <f t="shared" si="7"/>
        <v>#DIV/0!</v>
      </c>
      <c r="CZ53" s="157" t="e">
        <f t="shared" si="8"/>
        <v>#DIV/0!</v>
      </c>
      <c r="DA53" s="157" t="e">
        <f t="shared" si="9"/>
        <v>#DIV/0!</v>
      </c>
      <c r="DB53" s="158" t="e">
        <f t="shared" si="10"/>
        <v>#DIV/0!</v>
      </c>
      <c r="DC53" s="131"/>
      <c r="DD53" s="159">
        <f t="shared" si="11"/>
        <v>0</v>
      </c>
      <c r="DE53" s="160">
        <f t="shared" si="12"/>
        <v>0</v>
      </c>
      <c r="DF53" s="161">
        <f t="shared" si="13"/>
        <v>0</v>
      </c>
      <c r="DG53" s="162" t="e">
        <f t="shared" si="14"/>
        <v>#DIV/0!</v>
      </c>
      <c r="DH53" s="163">
        <f t="shared" si="15"/>
        <v>0</v>
      </c>
      <c r="DI53" s="164"/>
      <c r="DJ53" s="165">
        <f t="shared" si="50"/>
        <v>0</v>
      </c>
      <c r="DK53" s="166">
        <f t="shared" si="50"/>
        <v>0</v>
      </c>
      <c r="DL53" s="167" t="e">
        <f t="shared" si="17"/>
        <v>#DIV/0!</v>
      </c>
      <c r="DM53" s="168" t="e">
        <f t="shared" si="18"/>
        <v>#DIV/0!</v>
      </c>
      <c r="DN53" s="163" t="e">
        <f t="shared" si="19"/>
        <v>#DIV/0!</v>
      </c>
      <c r="DO53" s="169"/>
      <c r="DP53" s="170"/>
      <c r="DQ53" s="171"/>
      <c r="DR53" s="172">
        <f t="shared" si="20"/>
        <v>0</v>
      </c>
      <c r="DS53" s="173" t="e">
        <f t="shared" si="21"/>
        <v>#DIV/0!</v>
      </c>
      <c r="DT53" s="163" t="e">
        <f t="shared" si="22"/>
        <v>#DIV/0!</v>
      </c>
      <c r="DU53" s="174"/>
      <c r="DV53" s="175" t="e">
        <f t="shared" si="23"/>
        <v>#DIV/0!</v>
      </c>
      <c r="DW53" s="163">
        <f t="shared" si="24"/>
        <v>0</v>
      </c>
      <c r="DX53" s="164"/>
      <c r="DY53" s="176">
        <f t="shared" si="25"/>
        <v>0</v>
      </c>
      <c r="DZ53" s="177">
        <f t="shared" si="26"/>
        <v>0</v>
      </c>
      <c r="EA53" s="178">
        <f t="shared" si="27"/>
        <v>0</v>
      </c>
      <c r="EB53" s="179">
        <f t="shared" si="28"/>
        <v>0</v>
      </c>
      <c r="EC53" s="180"/>
      <c r="ED53" s="175" t="e">
        <f t="shared" si="29"/>
        <v>#DIV/0!</v>
      </c>
      <c r="EE53" s="163">
        <f t="shared" si="30"/>
        <v>0</v>
      </c>
      <c r="EF53" s="164"/>
      <c r="EG53" s="181">
        <f t="shared" si="31"/>
        <v>0</v>
      </c>
      <c r="EH53" s="182">
        <f t="shared" si="32"/>
        <v>0</v>
      </c>
      <c r="EI53" s="182">
        <f t="shared" si="33"/>
        <v>0</v>
      </c>
      <c r="EJ53" s="182">
        <f t="shared" si="34"/>
        <v>0</v>
      </c>
      <c r="EK53" s="183">
        <f t="shared" si="35"/>
        <v>0</v>
      </c>
      <c r="EL53" s="184" t="e">
        <f t="shared" si="36"/>
        <v>#DIV/0!</v>
      </c>
      <c r="EM53" s="185">
        <f t="shared" si="37"/>
        <v>0</v>
      </c>
      <c r="EN53" s="164"/>
      <c r="EO53" s="181">
        <f t="shared" si="38"/>
        <v>0</v>
      </c>
      <c r="EP53" s="183">
        <f t="shared" si="39"/>
        <v>0</v>
      </c>
      <c r="EQ53" s="184" t="e">
        <f t="shared" si="40"/>
        <v>#DIV/0!</v>
      </c>
      <c r="ER53" s="185">
        <f t="shared" si="41"/>
        <v>0</v>
      </c>
      <c r="ES53" s="164"/>
      <c r="ET53" s="164"/>
      <c r="EU53" s="186">
        <f t="shared" si="42"/>
        <v>0</v>
      </c>
      <c r="EV53" s="186">
        <f t="shared" si="43"/>
        <v>0</v>
      </c>
      <c r="EW53" s="186">
        <f t="shared" si="44"/>
        <v>0</v>
      </c>
      <c r="EX53" s="186">
        <f t="shared" si="45"/>
        <v>0</v>
      </c>
      <c r="EY53" s="131"/>
      <c r="EZ53" s="187">
        <f t="shared" si="46"/>
        <v>0</v>
      </c>
      <c r="FA53" s="188" t="e">
        <f t="shared" si="47"/>
        <v>#DIV/0!</v>
      </c>
      <c r="FB53" s="189"/>
      <c r="FC53" s="131"/>
      <c r="FD53" s="131"/>
      <c r="FE53" s="131"/>
      <c r="FF53" s="131"/>
      <c r="FG53" s="131"/>
    </row>
    <row r="54" spans="2:163" ht="16" outlineLevel="1" thickBot="1" x14ac:dyDescent="0.4">
      <c r="B54" s="357"/>
      <c r="C54" s="354"/>
      <c r="D54" s="190"/>
      <c r="E54" s="191"/>
      <c r="F54" s="135"/>
      <c r="G54" s="192"/>
      <c r="H54" s="137"/>
      <c r="I54" s="138">
        <f>IF(E54&gt;0.0001,11,0)</f>
        <v>0</v>
      </c>
      <c r="J54" s="139"/>
      <c r="K54" s="193">
        <f t="shared" si="49"/>
        <v>0</v>
      </c>
      <c r="L54" s="141"/>
      <c r="M54" s="194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4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6"/>
      <c r="AN54" s="197">
        <f t="shared" si="2"/>
        <v>0</v>
      </c>
      <c r="AO54" s="146"/>
      <c r="AP54" s="147">
        <f t="shared" si="3"/>
        <v>0</v>
      </c>
      <c r="AQ54" s="148"/>
      <c r="AR54" s="198"/>
      <c r="AS54" s="198"/>
      <c r="AT54" s="135"/>
      <c r="AU54" s="199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1"/>
      <c r="BG54" s="201"/>
      <c r="BH54" s="201"/>
      <c r="BI54" s="201"/>
      <c r="BJ54" s="201"/>
      <c r="BK54" s="201"/>
      <c r="BL54" s="201"/>
      <c r="BM54" s="201"/>
      <c r="BN54" s="201"/>
      <c r="BO54" s="201"/>
      <c r="BP54" s="201"/>
      <c r="BQ54" s="201"/>
      <c r="BR54" s="199"/>
      <c r="BS54" s="200"/>
      <c r="BT54" s="200"/>
      <c r="BU54" s="200"/>
      <c r="BV54" s="200"/>
      <c r="BW54" s="200"/>
      <c r="BX54" s="200"/>
      <c r="BY54" s="200"/>
      <c r="BZ54" s="200"/>
      <c r="CA54" s="200"/>
      <c r="CB54" s="200"/>
      <c r="CC54" s="202"/>
      <c r="CD54" s="199"/>
      <c r="CE54" s="194"/>
      <c r="CF54" s="195"/>
      <c r="CG54" s="195"/>
      <c r="CH54" s="195"/>
      <c r="CI54" s="195"/>
      <c r="CJ54" s="195"/>
      <c r="CK54" s="195"/>
      <c r="CL54" s="195"/>
      <c r="CM54" s="195"/>
      <c r="CN54" s="195"/>
      <c r="CO54" s="347"/>
      <c r="CP54" s="200"/>
      <c r="CQ54" s="201"/>
      <c r="CR54" s="202"/>
      <c r="CS54" s="203">
        <f t="shared" si="48"/>
        <v>0</v>
      </c>
      <c r="CT54" s="146"/>
      <c r="CU54" s="147">
        <f t="shared" si="4"/>
        <v>0</v>
      </c>
      <c r="CV54" s="156"/>
      <c r="CW54" s="157" t="e">
        <f t="shared" si="5"/>
        <v>#DIV/0!</v>
      </c>
      <c r="CX54" s="157" t="e">
        <f t="shared" si="6"/>
        <v>#DIV/0!</v>
      </c>
      <c r="CY54" s="157" t="e">
        <f t="shared" si="7"/>
        <v>#DIV/0!</v>
      </c>
      <c r="CZ54" s="157" t="e">
        <f t="shared" si="8"/>
        <v>#DIV/0!</v>
      </c>
      <c r="DA54" s="157" t="e">
        <f t="shared" si="9"/>
        <v>#DIV/0!</v>
      </c>
      <c r="DB54" s="158" t="e">
        <f t="shared" si="10"/>
        <v>#DIV/0!</v>
      </c>
      <c r="DC54" s="131"/>
      <c r="DD54" s="159">
        <f t="shared" si="11"/>
        <v>0</v>
      </c>
      <c r="DE54" s="160">
        <f t="shared" si="12"/>
        <v>0</v>
      </c>
      <c r="DF54" s="161">
        <f t="shared" si="13"/>
        <v>0</v>
      </c>
      <c r="DG54" s="162" t="e">
        <f t="shared" si="14"/>
        <v>#DIV/0!</v>
      </c>
      <c r="DH54" s="163">
        <f t="shared" si="15"/>
        <v>0</v>
      </c>
      <c r="DI54" s="164"/>
      <c r="DJ54" s="165">
        <f t="shared" si="50"/>
        <v>0</v>
      </c>
      <c r="DK54" s="166">
        <f t="shared" si="50"/>
        <v>0</v>
      </c>
      <c r="DL54" s="167" t="e">
        <f t="shared" si="17"/>
        <v>#DIV/0!</v>
      </c>
      <c r="DM54" s="168" t="e">
        <f t="shared" si="18"/>
        <v>#DIV/0!</v>
      </c>
      <c r="DN54" s="163" t="e">
        <f t="shared" si="19"/>
        <v>#DIV/0!</v>
      </c>
      <c r="DO54" s="169"/>
      <c r="DP54" s="170"/>
      <c r="DQ54" s="171"/>
      <c r="DR54" s="172">
        <f t="shared" si="20"/>
        <v>0</v>
      </c>
      <c r="DS54" s="173" t="e">
        <f t="shared" si="21"/>
        <v>#DIV/0!</v>
      </c>
      <c r="DT54" s="163" t="e">
        <f t="shared" si="22"/>
        <v>#DIV/0!</v>
      </c>
      <c r="DU54" s="174"/>
      <c r="DV54" s="175" t="e">
        <f t="shared" si="23"/>
        <v>#DIV/0!</v>
      </c>
      <c r="DW54" s="163">
        <f t="shared" si="24"/>
        <v>0</v>
      </c>
      <c r="DX54" s="164"/>
      <c r="DY54" s="176">
        <f t="shared" si="25"/>
        <v>0</v>
      </c>
      <c r="DZ54" s="177">
        <f t="shared" si="26"/>
        <v>0</v>
      </c>
      <c r="EA54" s="178">
        <f t="shared" si="27"/>
        <v>0</v>
      </c>
      <c r="EB54" s="179">
        <f t="shared" si="28"/>
        <v>0</v>
      </c>
      <c r="EC54" s="180"/>
      <c r="ED54" s="175" t="e">
        <f t="shared" si="29"/>
        <v>#DIV/0!</v>
      </c>
      <c r="EE54" s="163">
        <f t="shared" si="30"/>
        <v>0</v>
      </c>
      <c r="EF54" s="164"/>
      <c r="EG54" s="181">
        <f t="shared" si="31"/>
        <v>0</v>
      </c>
      <c r="EH54" s="182">
        <f t="shared" si="32"/>
        <v>0</v>
      </c>
      <c r="EI54" s="182">
        <f t="shared" si="33"/>
        <v>0</v>
      </c>
      <c r="EJ54" s="182">
        <f t="shared" si="34"/>
        <v>0</v>
      </c>
      <c r="EK54" s="183">
        <f t="shared" si="35"/>
        <v>0</v>
      </c>
      <c r="EL54" s="184" t="e">
        <f t="shared" si="36"/>
        <v>#DIV/0!</v>
      </c>
      <c r="EM54" s="185">
        <f t="shared" si="37"/>
        <v>0</v>
      </c>
      <c r="EN54" s="164"/>
      <c r="EO54" s="181">
        <f t="shared" si="38"/>
        <v>0</v>
      </c>
      <c r="EP54" s="183">
        <f t="shared" si="39"/>
        <v>0</v>
      </c>
      <c r="EQ54" s="184" t="e">
        <f t="shared" si="40"/>
        <v>#DIV/0!</v>
      </c>
      <c r="ER54" s="185">
        <f t="shared" si="41"/>
        <v>0</v>
      </c>
      <c r="ES54" s="164"/>
      <c r="ET54" s="164"/>
      <c r="EU54" s="186">
        <f t="shared" si="42"/>
        <v>0</v>
      </c>
      <c r="EV54" s="186">
        <f t="shared" si="43"/>
        <v>0</v>
      </c>
      <c r="EW54" s="186">
        <f t="shared" si="44"/>
        <v>0</v>
      </c>
      <c r="EX54" s="186">
        <f t="shared" si="45"/>
        <v>0</v>
      </c>
      <c r="EY54" s="131"/>
      <c r="EZ54" s="187">
        <f t="shared" si="46"/>
        <v>0</v>
      </c>
      <c r="FA54" s="188" t="e">
        <f t="shared" si="47"/>
        <v>#DIV/0!</v>
      </c>
      <c r="FB54" s="189"/>
      <c r="FC54" s="131"/>
      <c r="FD54" s="131"/>
      <c r="FE54" s="131"/>
      <c r="FF54" s="131"/>
      <c r="FG54" s="131"/>
    </row>
    <row r="55" spans="2:163" ht="16" outlineLevel="1" thickBot="1" x14ac:dyDescent="0.4">
      <c r="B55" s="358"/>
      <c r="C55" s="355"/>
      <c r="D55" s="204"/>
      <c r="E55" s="205"/>
      <c r="F55" s="135"/>
      <c r="G55" s="206"/>
      <c r="H55" s="137"/>
      <c r="I55" s="138">
        <f t="shared" si="0"/>
        <v>0</v>
      </c>
      <c r="J55" s="139"/>
      <c r="K55" s="208">
        <f t="shared" si="49"/>
        <v>0</v>
      </c>
      <c r="L55" s="141"/>
      <c r="M55" s="209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09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1"/>
      <c r="AN55" s="197">
        <f t="shared" si="2"/>
        <v>0</v>
      </c>
      <c r="AO55" s="146"/>
      <c r="AP55" s="147">
        <f t="shared" si="3"/>
        <v>0</v>
      </c>
      <c r="AQ55" s="148"/>
      <c r="AR55" s="198"/>
      <c r="AS55" s="198"/>
      <c r="AT55" s="135"/>
      <c r="AU55" s="199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1"/>
      <c r="BG55" s="201"/>
      <c r="BH55" s="201"/>
      <c r="BI55" s="201"/>
      <c r="BJ55" s="201"/>
      <c r="BK55" s="201"/>
      <c r="BL55" s="201"/>
      <c r="BM55" s="201"/>
      <c r="BN55" s="201"/>
      <c r="BO55" s="201"/>
      <c r="BP55" s="201"/>
      <c r="BQ55" s="201"/>
      <c r="BR55" s="199"/>
      <c r="BS55" s="200"/>
      <c r="BT55" s="200"/>
      <c r="BU55" s="200"/>
      <c r="BV55" s="200"/>
      <c r="BW55" s="200"/>
      <c r="BX55" s="200"/>
      <c r="BY55" s="200"/>
      <c r="BZ55" s="200"/>
      <c r="CA55" s="200"/>
      <c r="CB55" s="200"/>
      <c r="CC55" s="202"/>
      <c r="CD55" s="199"/>
      <c r="CE55" s="194"/>
      <c r="CF55" s="195"/>
      <c r="CG55" s="195"/>
      <c r="CH55" s="195"/>
      <c r="CI55" s="195"/>
      <c r="CJ55" s="195"/>
      <c r="CK55" s="195"/>
      <c r="CL55" s="195"/>
      <c r="CM55" s="195"/>
      <c r="CN55" s="195"/>
      <c r="CO55" s="347"/>
      <c r="CP55" s="200"/>
      <c r="CQ55" s="201"/>
      <c r="CR55" s="202"/>
      <c r="CS55" s="203">
        <f>SUM(AU55:CR55)</f>
        <v>0</v>
      </c>
      <c r="CT55" s="146"/>
      <c r="CU55" s="147">
        <f t="shared" si="4"/>
        <v>0</v>
      </c>
      <c r="CV55" s="156"/>
      <c r="CW55" s="157" t="e">
        <f t="shared" si="5"/>
        <v>#DIV/0!</v>
      </c>
      <c r="CX55" s="157" t="e">
        <f t="shared" si="6"/>
        <v>#DIV/0!</v>
      </c>
      <c r="CY55" s="157" t="e">
        <f>(SUM(AU55:BQ55))/$K55</f>
        <v>#DIV/0!</v>
      </c>
      <c r="CZ55" s="157" t="e">
        <f t="shared" si="8"/>
        <v>#DIV/0!</v>
      </c>
      <c r="DA55" s="157" t="e">
        <f t="shared" si="9"/>
        <v>#DIV/0!</v>
      </c>
      <c r="DB55" s="158" t="e">
        <f t="shared" si="10"/>
        <v>#DIV/0!</v>
      </c>
      <c r="DC55" s="131"/>
      <c r="DD55" s="159">
        <f>AP55</f>
        <v>0</v>
      </c>
      <c r="DE55" s="160">
        <f>CS55</f>
        <v>0</v>
      </c>
      <c r="DF55" s="161">
        <f>$DD55-DE55</f>
        <v>0</v>
      </c>
      <c r="DG55" s="162" t="e">
        <f>DF55/$DD55</f>
        <v>#DIV/0!</v>
      </c>
      <c r="DH55" s="163">
        <f>IF(AP55&gt;0.01,1,0)</f>
        <v>0</v>
      </c>
      <c r="DI55" s="164"/>
      <c r="DJ55" s="165">
        <f t="shared" si="50"/>
        <v>0</v>
      </c>
      <c r="DK55" s="166">
        <f t="shared" si="50"/>
        <v>0</v>
      </c>
      <c r="DL55" s="167" t="e">
        <f>DR55/DF55</f>
        <v>#DIV/0!</v>
      </c>
      <c r="DM55" s="168" t="e">
        <f>DL55/DK55</f>
        <v>#DIV/0!</v>
      </c>
      <c r="DN55" s="163" t="e">
        <f>IF(DM55&gt;0.01,1,0)</f>
        <v>#DIV/0!</v>
      </c>
      <c r="DO55" s="169"/>
      <c r="DP55" s="170"/>
      <c r="DQ55" s="171"/>
      <c r="DR55" s="172">
        <f>DP55+DQ55</f>
        <v>0</v>
      </c>
      <c r="DS55" s="173" t="e">
        <f>IF(DL55=0,0,DP55/DR55)</f>
        <v>#DIV/0!</v>
      </c>
      <c r="DT55" s="163" t="e">
        <f>IF(DS55&gt;0.01,1,0)</f>
        <v>#DIV/0!</v>
      </c>
      <c r="DU55" s="174"/>
      <c r="DV55" s="175" t="e">
        <f>DG55*DM55*DS55</f>
        <v>#DIV/0!</v>
      </c>
      <c r="DW55" s="163">
        <f t="shared" si="24"/>
        <v>0</v>
      </c>
      <c r="DX55" s="164"/>
      <c r="DY55" s="176">
        <f>DP55</f>
        <v>0</v>
      </c>
      <c r="DZ55" s="177">
        <f>DK55</f>
        <v>0</v>
      </c>
      <c r="EA55" s="178">
        <f>+AP55</f>
        <v>0</v>
      </c>
      <c r="EB55" s="179">
        <f>DZ55*EA55</f>
        <v>0</v>
      </c>
      <c r="EC55" s="180"/>
      <c r="ED55" s="175" t="e">
        <f>DY55/EB55</f>
        <v>#DIV/0!</v>
      </c>
      <c r="EE55" s="163">
        <f t="shared" si="30"/>
        <v>0</v>
      </c>
      <c r="EF55" s="164"/>
      <c r="EG55" s="181">
        <f>DP55</f>
        <v>0</v>
      </c>
      <c r="EH55" s="182">
        <f t="shared" si="32"/>
        <v>0</v>
      </c>
      <c r="EI55" s="182">
        <f t="shared" si="33"/>
        <v>0</v>
      </c>
      <c r="EJ55" s="182">
        <f t="shared" si="34"/>
        <v>0</v>
      </c>
      <c r="EK55" s="183">
        <f>(EH55-EI55)*EJ55</f>
        <v>0</v>
      </c>
      <c r="EL55" s="184" t="e">
        <f>EG55/EK55</f>
        <v>#DIV/0!</v>
      </c>
      <c r="EM55" s="185">
        <f>IF(EK55&gt;0.01,1,0)</f>
        <v>0</v>
      </c>
      <c r="EN55" s="164"/>
      <c r="EO55" s="181">
        <f>EG55</f>
        <v>0</v>
      </c>
      <c r="EP55" s="183">
        <f>EJ55</f>
        <v>0</v>
      </c>
      <c r="EQ55" s="184" t="e">
        <f t="shared" si="40"/>
        <v>#DIV/0!</v>
      </c>
      <c r="ER55" s="185">
        <f t="shared" si="41"/>
        <v>0</v>
      </c>
      <c r="ES55" s="164"/>
      <c r="ET55" s="164"/>
      <c r="EU55" s="186">
        <f>DK55</f>
        <v>0</v>
      </c>
      <c r="EV55" s="186">
        <f>CU55</f>
        <v>0</v>
      </c>
      <c r="EW55" s="186">
        <f t="shared" si="44"/>
        <v>0</v>
      </c>
      <c r="EX55" s="186">
        <f>DR55</f>
        <v>0</v>
      </c>
      <c r="EY55" s="131"/>
      <c r="EZ55" s="187">
        <f>EW55-EX55</f>
        <v>0</v>
      </c>
      <c r="FA55" s="188" t="e">
        <f t="shared" si="47"/>
        <v>#DIV/0!</v>
      </c>
      <c r="FB55" s="189"/>
      <c r="FC55" s="131"/>
      <c r="FD55" s="131"/>
      <c r="FE55" s="131"/>
      <c r="FF55" s="131"/>
      <c r="FG55" s="131"/>
    </row>
    <row r="56" spans="2:163" ht="16" outlineLevel="1" thickBot="1" x14ac:dyDescent="0.4">
      <c r="B56" s="356"/>
      <c r="C56" s="353"/>
      <c r="D56" s="133"/>
      <c r="E56" s="134"/>
      <c r="F56" s="135"/>
      <c r="G56" s="136"/>
      <c r="H56" s="137"/>
      <c r="I56" s="138">
        <f>IF(E56&gt;0.0001,11,0)</f>
        <v>0</v>
      </c>
      <c r="J56" s="139"/>
      <c r="K56" s="140">
        <f>E56*60</f>
        <v>0</v>
      </c>
      <c r="L56" s="141"/>
      <c r="M56" s="142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2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4"/>
      <c r="AN56" s="145">
        <f t="shared" si="2"/>
        <v>0</v>
      </c>
      <c r="AO56" s="146"/>
      <c r="AP56" s="147">
        <f t="shared" si="3"/>
        <v>0</v>
      </c>
      <c r="AQ56" s="148"/>
      <c r="AR56" s="149"/>
      <c r="AS56" s="149"/>
      <c r="AT56" s="135"/>
      <c r="AU56" s="150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0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4"/>
      <c r="CD56" s="150"/>
      <c r="CE56" s="142"/>
      <c r="CF56" s="143"/>
      <c r="CG56" s="143"/>
      <c r="CH56" s="143"/>
      <c r="CI56" s="143"/>
      <c r="CJ56" s="143"/>
      <c r="CK56" s="143"/>
      <c r="CL56" s="143"/>
      <c r="CM56" s="143"/>
      <c r="CN56" s="143"/>
      <c r="CO56" s="346"/>
      <c r="CP56" s="151"/>
      <c r="CQ56" s="152"/>
      <c r="CR56" s="154"/>
      <c r="CS56" s="155">
        <f t="shared" si="48"/>
        <v>0</v>
      </c>
      <c r="CT56" s="146"/>
      <c r="CU56" s="147">
        <f t="shared" si="4"/>
        <v>0</v>
      </c>
      <c r="CV56" s="156"/>
      <c r="CW56" s="157" t="e">
        <f t="shared" si="5"/>
        <v>#DIV/0!</v>
      </c>
      <c r="CX56" s="157" t="e">
        <f t="shared" si="6"/>
        <v>#DIV/0!</v>
      </c>
      <c r="CY56" s="157" t="e">
        <f t="shared" si="7"/>
        <v>#DIV/0!</v>
      </c>
      <c r="CZ56" s="157" t="e">
        <f t="shared" si="8"/>
        <v>#DIV/0!</v>
      </c>
      <c r="DA56" s="157" t="e">
        <f t="shared" si="9"/>
        <v>#DIV/0!</v>
      </c>
      <c r="DB56" s="158" t="e">
        <f t="shared" si="10"/>
        <v>#DIV/0!</v>
      </c>
      <c r="DC56" s="131"/>
      <c r="DD56" s="159">
        <f t="shared" si="11"/>
        <v>0</v>
      </c>
      <c r="DE56" s="160">
        <f t="shared" si="12"/>
        <v>0</v>
      </c>
      <c r="DF56" s="161">
        <f t="shared" si="13"/>
        <v>0</v>
      </c>
      <c r="DG56" s="162" t="e">
        <f t="shared" si="14"/>
        <v>#DIV/0!</v>
      </c>
      <c r="DH56" s="163">
        <f t="shared" si="15"/>
        <v>0</v>
      </c>
      <c r="DI56" s="164"/>
      <c r="DJ56" s="165">
        <f t="shared" si="50"/>
        <v>0</v>
      </c>
      <c r="DK56" s="166">
        <f t="shared" si="50"/>
        <v>0</v>
      </c>
      <c r="DL56" s="167" t="e">
        <f t="shared" si="17"/>
        <v>#DIV/0!</v>
      </c>
      <c r="DM56" s="168" t="e">
        <f t="shared" si="18"/>
        <v>#DIV/0!</v>
      </c>
      <c r="DN56" s="163" t="e">
        <f t="shared" si="19"/>
        <v>#DIV/0!</v>
      </c>
      <c r="DO56" s="169"/>
      <c r="DP56" s="170"/>
      <c r="DQ56" s="171"/>
      <c r="DR56" s="172">
        <f t="shared" si="20"/>
        <v>0</v>
      </c>
      <c r="DS56" s="173" t="e">
        <f t="shared" si="21"/>
        <v>#DIV/0!</v>
      </c>
      <c r="DT56" s="163" t="e">
        <f t="shared" si="22"/>
        <v>#DIV/0!</v>
      </c>
      <c r="DU56" s="174"/>
      <c r="DV56" s="175" t="e">
        <f t="shared" si="23"/>
        <v>#DIV/0!</v>
      </c>
      <c r="DW56" s="163">
        <f t="shared" si="24"/>
        <v>0</v>
      </c>
      <c r="DX56" s="164"/>
      <c r="DY56" s="176">
        <f t="shared" si="25"/>
        <v>0</v>
      </c>
      <c r="DZ56" s="177">
        <f t="shared" si="26"/>
        <v>0</v>
      </c>
      <c r="EA56" s="178">
        <f t="shared" si="27"/>
        <v>0</v>
      </c>
      <c r="EB56" s="179">
        <f t="shared" si="28"/>
        <v>0</v>
      </c>
      <c r="EC56" s="180"/>
      <c r="ED56" s="175" t="e">
        <f t="shared" si="29"/>
        <v>#DIV/0!</v>
      </c>
      <c r="EE56" s="163">
        <f t="shared" si="30"/>
        <v>0</v>
      </c>
      <c r="EF56" s="164"/>
      <c r="EG56" s="181">
        <f t="shared" si="31"/>
        <v>0</v>
      </c>
      <c r="EH56" s="182">
        <f t="shared" si="32"/>
        <v>0</v>
      </c>
      <c r="EI56" s="182">
        <f t="shared" si="33"/>
        <v>0</v>
      </c>
      <c r="EJ56" s="182">
        <f t="shared" si="34"/>
        <v>0</v>
      </c>
      <c r="EK56" s="183">
        <f t="shared" si="35"/>
        <v>0</v>
      </c>
      <c r="EL56" s="184" t="e">
        <f t="shared" si="36"/>
        <v>#DIV/0!</v>
      </c>
      <c r="EM56" s="185">
        <f t="shared" si="37"/>
        <v>0</v>
      </c>
      <c r="EN56" s="164"/>
      <c r="EO56" s="181">
        <f t="shared" si="38"/>
        <v>0</v>
      </c>
      <c r="EP56" s="183">
        <f t="shared" si="39"/>
        <v>0</v>
      </c>
      <c r="EQ56" s="184" t="e">
        <f t="shared" si="40"/>
        <v>#DIV/0!</v>
      </c>
      <c r="ER56" s="185">
        <f t="shared" si="41"/>
        <v>0</v>
      </c>
      <c r="ES56" s="164"/>
      <c r="ET56" s="164"/>
      <c r="EU56" s="186">
        <f t="shared" si="42"/>
        <v>0</v>
      </c>
      <c r="EV56" s="186">
        <f t="shared" si="43"/>
        <v>0</v>
      </c>
      <c r="EW56" s="186">
        <f t="shared" si="44"/>
        <v>0</v>
      </c>
      <c r="EX56" s="186">
        <f t="shared" si="45"/>
        <v>0</v>
      </c>
      <c r="EY56" s="131"/>
      <c r="EZ56" s="187">
        <f t="shared" si="46"/>
        <v>0</v>
      </c>
      <c r="FA56" s="188" t="e">
        <f t="shared" si="47"/>
        <v>#DIV/0!</v>
      </c>
      <c r="FB56" s="189"/>
      <c r="FC56" s="131"/>
      <c r="FD56" s="131"/>
      <c r="FE56" s="131"/>
      <c r="FF56" s="131"/>
      <c r="FG56" s="131"/>
    </row>
    <row r="57" spans="2:163" s="220" customFormat="1" ht="16" outlineLevel="1" thickBot="1" x14ac:dyDescent="0.4">
      <c r="B57" s="357"/>
      <c r="C57" s="354"/>
      <c r="D57" s="240"/>
      <c r="E57" s="191"/>
      <c r="F57" s="135"/>
      <c r="G57" s="192"/>
      <c r="H57" s="137"/>
      <c r="I57" s="138">
        <f>IF(E57&gt;0.0001,11,0)</f>
        <v>0</v>
      </c>
      <c r="J57" s="139"/>
      <c r="K57" s="193">
        <f t="shared" ref="K57:K58" si="51">E57*60</f>
        <v>0</v>
      </c>
      <c r="L57" s="141"/>
      <c r="M57" s="194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4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6"/>
      <c r="AN57" s="197">
        <f t="shared" si="2"/>
        <v>0</v>
      </c>
      <c r="AO57" s="146"/>
      <c r="AP57" s="147">
        <f t="shared" si="3"/>
        <v>0</v>
      </c>
      <c r="AQ57" s="221"/>
      <c r="AR57" s="198"/>
      <c r="AS57" s="198"/>
      <c r="AT57" s="222"/>
      <c r="AU57" s="228"/>
      <c r="AV57" s="229"/>
      <c r="AW57" s="229"/>
      <c r="AX57" s="229"/>
      <c r="AY57" s="229"/>
      <c r="AZ57" s="229"/>
      <c r="BA57" s="229"/>
      <c r="BB57" s="229"/>
      <c r="BC57" s="229"/>
      <c r="BD57" s="229"/>
      <c r="BE57" s="229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28"/>
      <c r="BS57" s="229"/>
      <c r="BT57" s="229"/>
      <c r="BU57" s="229"/>
      <c r="BV57" s="229"/>
      <c r="BW57" s="229"/>
      <c r="BX57" s="229"/>
      <c r="BY57" s="229"/>
      <c r="BZ57" s="229"/>
      <c r="CA57" s="229"/>
      <c r="CB57" s="229"/>
      <c r="CC57" s="231"/>
      <c r="CD57" s="228"/>
      <c r="CE57" s="194"/>
      <c r="CF57" s="195"/>
      <c r="CG57" s="195"/>
      <c r="CH57" s="195"/>
      <c r="CI57" s="195"/>
      <c r="CJ57" s="195"/>
      <c r="CK57" s="195"/>
      <c r="CL57" s="195"/>
      <c r="CM57" s="195"/>
      <c r="CN57" s="195"/>
      <c r="CO57" s="350"/>
      <c r="CP57" s="229"/>
      <c r="CQ57" s="230"/>
      <c r="CR57" s="231"/>
      <c r="CS57" s="232">
        <f t="shared" si="48"/>
        <v>0</v>
      </c>
      <c r="CT57" s="146"/>
      <c r="CU57" s="147">
        <f t="shared" si="4"/>
        <v>0</v>
      </c>
      <c r="CV57" s="156"/>
      <c r="CW57" s="157" t="e">
        <f t="shared" si="5"/>
        <v>#DIV/0!</v>
      </c>
      <c r="CX57" s="157" t="e">
        <f t="shared" si="6"/>
        <v>#DIV/0!</v>
      </c>
      <c r="CY57" s="157" t="e">
        <f t="shared" si="7"/>
        <v>#DIV/0!</v>
      </c>
      <c r="CZ57" s="157" t="e">
        <f t="shared" si="8"/>
        <v>#DIV/0!</v>
      </c>
      <c r="DA57" s="157" t="e">
        <f t="shared" si="9"/>
        <v>#DIV/0!</v>
      </c>
      <c r="DB57" s="158" t="e">
        <f t="shared" si="10"/>
        <v>#DIV/0!</v>
      </c>
      <c r="DC57" s="131"/>
      <c r="DD57" s="159">
        <f t="shared" si="11"/>
        <v>0</v>
      </c>
      <c r="DE57" s="160">
        <f t="shared" si="12"/>
        <v>0</v>
      </c>
      <c r="DF57" s="161">
        <f t="shared" si="13"/>
        <v>0</v>
      </c>
      <c r="DG57" s="162" t="e">
        <f t="shared" si="14"/>
        <v>#DIV/0!</v>
      </c>
      <c r="DH57" s="163">
        <f t="shared" si="15"/>
        <v>0</v>
      </c>
      <c r="DI57" s="164"/>
      <c r="DJ57" s="165">
        <f t="shared" si="50"/>
        <v>0</v>
      </c>
      <c r="DK57" s="166">
        <f t="shared" si="50"/>
        <v>0</v>
      </c>
      <c r="DL57" s="167" t="e">
        <f t="shared" si="17"/>
        <v>#DIV/0!</v>
      </c>
      <c r="DM57" s="168" t="e">
        <f t="shared" si="18"/>
        <v>#DIV/0!</v>
      </c>
      <c r="DN57" s="163" t="e">
        <f t="shared" si="19"/>
        <v>#DIV/0!</v>
      </c>
      <c r="DO57" s="169"/>
      <c r="DP57" s="170"/>
      <c r="DQ57" s="171"/>
      <c r="DR57" s="172">
        <f t="shared" si="20"/>
        <v>0</v>
      </c>
      <c r="DS57" s="173" t="e">
        <f t="shared" si="21"/>
        <v>#DIV/0!</v>
      </c>
      <c r="DT57" s="163" t="e">
        <f t="shared" si="22"/>
        <v>#DIV/0!</v>
      </c>
      <c r="DU57" s="174"/>
      <c r="DV57" s="175" t="e">
        <f t="shared" si="23"/>
        <v>#DIV/0!</v>
      </c>
      <c r="DW57" s="163">
        <f t="shared" si="24"/>
        <v>0</v>
      </c>
      <c r="DX57" s="164"/>
      <c r="DY57" s="176">
        <f t="shared" si="25"/>
        <v>0</v>
      </c>
      <c r="DZ57" s="177">
        <f t="shared" si="26"/>
        <v>0</v>
      </c>
      <c r="EA57" s="178">
        <f t="shared" si="27"/>
        <v>0</v>
      </c>
      <c r="EB57" s="179">
        <f t="shared" si="28"/>
        <v>0</v>
      </c>
      <c r="EC57" s="180"/>
      <c r="ED57" s="175" t="e">
        <f t="shared" si="29"/>
        <v>#DIV/0!</v>
      </c>
      <c r="EE57" s="163">
        <f t="shared" si="30"/>
        <v>0</v>
      </c>
      <c r="EF57" s="164"/>
      <c r="EG57" s="181">
        <f t="shared" si="31"/>
        <v>0</v>
      </c>
      <c r="EH57" s="182">
        <f t="shared" si="32"/>
        <v>0</v>
      </c>
      <c r="EI57" s="182">
        <f t="shared" si="33"/>
        <v>0</v>
      </c>
      <c r="EJ57" s="182">
        <f t="shared" si="34"/>
        <v>0</v>
      </c>
      <c r="EK57" s="183">
        <f t="shared" si="35"/>
        <v>0</v>
      </c>
      <c r="EL57" s="184" t="e">
        <f t="shared" si="36"/>
        <v>#DIV/0!</v>
      </c>
      <c r="EM57" s="185">
        <f t="shared" si="37"/>
        <v>0</v>
      </c>
      <c r="EN57" s="164"/>
      <c r="EO57" s="181">
        <f t="shared" si="38"/>
        <v>0</v>
      </c>
      <c r="EP57" s="183">
        <f t="shared" si="39"/>
        <v>0</v>
      </c>
      <c r="EQ57" s="184" t="e">
        <f t="shared" si="40"/>
        <v>#DIV/0!</v>
      </c>
      <c r="ER57" s="185">
        <f t="shared" si="41"/>
        <v>0</v>
      </c>
      <c r="ES57" s="164"/>
      <c r="ET57" s="164"/>
      <c r="EU57" s="186">
        <f t="shared" si="42"/>
        <v>0</v>
      </c>
      <c r="EV57" s="186">
        <f t="shared" si="43"/>
        <v>0</v>
      </c>
      <c r="EW57" s="186">
        <f t="shared" si="44"/>
        <v>0</v>
      </c>
      <c r="EX57" s="186">
        <f t="shared" si="45"/>
        <v>0</v>
      </c>
      <c r="EY57" s="131"/>
      <c r="EZ57" s="187">
        <f t="shared" si="46"/>
        <v>0</v>
      </c>
      <c r="FA57" s="188" t="e">
        <f t="shared" si="47"/>
        <v>#DIV/0!</v>
      </c>
      <c r="FB57" s="189"/>
      <c r="FC57" s="219"/>
      <c r="FD57" s="219"/>
      <c r="FE57" s="219"/>
      <c r="FF57" s="219"/>
      <c r="FG57" s="219"/>
    </row>
    <row r="58" spans="2:163" ht="16" outlineLevel="1" thickBot="1" x14ac:dyDescent="0.4">
      <c r="B58" s="358"/>
      <c r="C58" s="355"/>
      <c r="D58" s="243"/>
      <c r="E58" s="244"/>
      <c r="F58" s="135"/>
      <c r="G58" s="192"/>
      <c r="H58" s="137"/>
      <c r="I58" s="138">
        <f t="shared" si="0"/>
        <v>0</v>
      </c>
      <c r="J58" s="139"/>
      <c r="K58" s="208">
        <f t="shared" si="51"/>
        <v>0</v>
      </c>
      <c r="L58" s="141"/>
      <c r="M58" s="209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09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1"/>
      <c r="AN58" s="212">
        <f t="shared" si="2"/>
        <v>0</v>
      </c>
      <c r="AO58" s="146"/>
      <c r="AP58" s="147">
        <f t="shared" si="3"/>
        <v>0</v>
      </c>
      <c r="AQ58" s="148"/>
      <c r="AR58" s="213"/>
      <c r="AS58" s="213"/>
      <c r="AT58" s="135"/>
      <c r="AU58" s="214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4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7"/>
      <c r="CD58" s="214"/>
      <c r="CE58" s="209"/>
      <c r="CF58" s="210"/>
      <c r="CG58" s="210"/>
      <c r="CH58" s="210"/>
      <c r="CI58" s="210"/>
      <c r="CJ58" s="210"/>
      <c r="CK58" s="210"/>
      <c r="CL58" s="210"/>
      <c r="CM58" s="210"/>
      <c r="CN58" s="210"/>
      <c r="CO58" s="348"/>
      <c r="CP58" s="215"/>
      <c r="CQ58" s="216"/>
      <c r="CR58" s="217"/>
      <c r="CS58" s="218">
        <f t="shared" si="48"/>
        <v>0</v>
      </c>
      <c r="CT58" s="146"/>
      <c r="CU58" s="147">
        <f t="shared" si="4"/>
        <v>0</v>
      </c>
      <c r="CV58" s="156"/>
      <c r="CW58" s="157" t="e">
        <f t="shared" si="5"/>
        <v>#DIV/0!</v>
      </c>
      <c r="CX58" s="157" t="e">
        <f t="shared" si="6"/>
        <v>#DIV/0!</v>
      </c>
      <c r="CY58" s="157" t="e">
        <f t="shared" si="7"/>
        <v>#DIV/0!</v>
      </c>
      <c r="CZ58" s="157" t="e">
        <f t="shared" si="8"/>
        <v>#DIV/0!</v>
      </c>
      <c r="DA58" s="157" t="e">
        <f t="shared" si="9"/>
        <v>#DIV/0!</v>
      </c>
      <c r="DB58" s="158" t="e">
        <f t="shared" si="10"/>
        <v>#DIV/0!</v>
      </c>
      <c r="DC58" s="131"/>
      <c r="DD58" s="159">
        <f t="shared" si="11"/>
        <v>0</v>
      </c>
      <c r="DE58" s="160">
        <f t="shared" si="12"/>
        <v>0</v>
      </c>
      <c r="DF58" s="161">
        <f t="shared" si="13"/>
        <v>0</v>
      </c>
      <c r="DG58" s="162" t="e">
        <f t="shared" si="14"/>
        <v>#DIV/0!</v>
      </c>
      <c r="DH58" s="163">
        <f t="shared" si="15"/>
        <v>0</v>
      </c>
      <c r="DI58" s="164"/>
      <c r="DJ58" s="165">
        <f t="shared" si="50"/>
        <v>0</v>
      </c>
      <c r="DK58" s="166">
        <f t="shared" si="50"/>
        <v>0</v>
      </c>
      <c r="DL58" s="167" t="e">
        <f t="shared" si="17"/>
        <v>#DIV/0!</v>
      </c>
      <c r="DM58" s="168" t="e">
        <f t="shared" si="18"/>
        <v>#DIV/0!</v>
      </c>
      <c r="DN58" s="163" t="e">
        <f t="shared" si="19"/>
        <v>#DIV/0!</v>
      </c>
      <c r="DO58" s="169"/>
      <c r="DP58" s="170"/>
      <c r="DQ58" s="171"/>
      <c r="DR58" s="172">
        <f t="shared" si="20"/>
        <v>0</v>
      </c>
      <c r="DS58" s="173" t="e">
        <f t="shared" si="21"/>
        <v>#DIV/0!</v>
      </c>
      <c r="DT58" s="163" t="e">
        <f t="shared" si="22"/>
        <v>#DIV/0!</v>
      </c>
      <c r="DU58" s="174"/>
      <c r="DV58" s="175" t="e">
        <f t="shared" si="23"/>
        <v>#DIV/0!</v>
      </c>
      <c r="DW58" s="163">
        <f t="shared" si="24"/>
        <v>0</v>
      </c>
      <c r="DX58" s="164"/>
      <c r="DY58" s="176">
        <f t="shared" si="25"/>
        <v>0</v>
      </c>
      <c r="DZ58" s="177">
        <f t="shared" si="26"/>
        <v>0</v>
      </c>
      <c r="EA58" s="178">
        <f t="shared" si="27"/>
        <v>0</v>
      </c>
      <c r="EB58" s="179">
        <f t="shared" si="28"/>
        <v>0</v>
      </c>
      <c r="EC58" s="180"/>
      <c r="ED58" s="175" t="e">
        <f t="shared" si="29"/>
        <v>#DIV/0!</v>
      </c>
      <c r="EE58" s="163">
        <f t="shared" si="30"/>
        <v>0</v>
      </c>
      <c r="EF58" s="164"/>
      <c r="EG58" s="181">
        <f t="shared" si="31"/>
        <v>0</v>
      </c>
      <c r="EH58" s="182">
        <f t="shared" si="32"/>
        <v>0</v>
      </c>
      <c r="EI58" s="182">
        <f t="shared" si="33"/>
        <v>0</v>
      </c>
      <c r="EJ58" s="182">
        <f t="shared" si="34"/>
        <v>0</v>
      </c>
      <c r="EK58" s="183">
        <f t="shared" si="35"/>
        <v>0</v>
      </c>
      <c r="EL58" s="184" t="e">
        <f t="shared" si="36"/>
        <v>#DIV/0!</v>
      </c>
      <c r="EM58" s="185">
        <f t="shared" si="37"/>
        <v>0</v>
      </c>
      <c r="EN58" s="164"/>
      <c r="EO58" s="181">
        <f t="shared" si="38"/>
        <v>0</v>
      </c>
      <c r="EP58" s="183">
        <f t="shared" si="39"/>
        <v>0</v>
      </c>
      <c r="EQ58" s="184" t="e">
        <f t="shared" si="40"/>
        <v>#DIV/0!</v>
      </c>
      <c r="ER58" s="185">
        <f t="shared" si="41"/>
        <v>0</v>
      </c>
      <c r="ES58" s="164"/>
      <c r="ET58" s="164"/>
      <c r="EU58" s="186">
        <f t="shared" si="42"/>
        <v>0</v>
      </c>
      <c r="EV58" s="186">
        <f t="shared" si="43"/>
        <v>0</v>
      </c>
      <c r="EW58" s="186">
        <f t="shared" si="44"/>
        <v>0</v>
      </c>
      <c r="EX58" s="186">
        <f t="shared" si="45"/>
        <v>0</v>
      </c>
      <c r="EY58" s="131"/>
      <c r="EZ58" s="187">
        <f t="shared" si="46"/>
        <v>0</v>
      </c>
      <c r="FA58" s="188" t="e">
        <f t="shared" si="47"/>
        <v>#DIV/0!</v>
      </c>
      <c r="FB58" s="189"/>
      <c r="FC58" s="219"/>
      <c r="FD58" s="219"/>
      <c r="FE58" s="131"/>
      <c r="FF58" s="131"/>
      <c r="FG58" s="131"/>
    </row>
    <row r="59" spans="2:163" s="220" customFormat="1" ht="16" outlineLevel="1" thickBot="1" x14ac:dyDescent="0.4">
      <c r="B59" s="356"/>
      <c r="C59" s="353"/>
      <c r="D59" s="133"/>
      <c r="E59" s="134"/>
      <c r="F59" s="135"/>
      <c r="G59" s="136"/>
      <c r="H59" s="137"/>
      <c r="I59" s="138">
        <f t="shared" si="0"/>
        <v>0</v>
      </c>
      <c r="J59" s="139"/>
      <c r="K59" s="140">
        <f>E59*60</f>
        <v>0</v>
      </c>
      <c r="L59" s="141"/>
      <c r="M59" s="142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2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4"/>
      <c r="AN59" s="145">
        <f t="shared" si="2"/>
        <v>0</v>
      </c>
      <c r="AO59" s="146"/>
      <c r="AP59" s="147">
        <f t="shared" si="3"/>
        <v>0</v>
      </c>
      <c r="AQ59" s="221"/>
      <c r="AR59" s="149"/>
      <c r="AS59" s="149"/>
      <c r="AT59" s="222"/>
      <c r="AU59" s="223"/>
      <c r="AV59" s="224"/>
      <c r="AW59" s="224"/>
      <c r="AX59" s="224"/>
      <c r="AY59" s="224"/>
      <c r="AZ59" s="224"/>
      <c r="BA59" s="224"/>
      <c r="BB59" s="224"/>
      <c r="BC59" s="224"/>
      <c r="BD59" s="224"/>
      <c r="BE59" s="224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3"/>
      <c r="BS59" s="224"/>
      <c r="BT59" s="224"/>
      <c r="BU59" s="224"/>
      <c r="BV59" s="224"/>
      <c r="BW59" s="224"/>
      <c r="BX59" s="224"/>
      <c r="BY59" s="224"/>
      <c r="BZ59" s="224"/>
      <c r="CA59" s="224"/>
      <c r="CB59" s="224"/>
      <c r="CC59" s="226"/>
      <c r="CD59" s="223"/>
      <c r="CE59" s="142"/>
      <c r="CF59" s="143"/>
      <c r="CG59" s="143"/>
      <c r="CH59" s="143"/>
      <c r="CI59" s="143"/>
      <c r="CJ59" s="143"/>
      <c r="CK59" s="143"/>
      <c r="CL59" s="143"/>
      <c r="CM59" s="143"/>
      <c r="CN59" s="143"/>
      <c r="CO59" s="349"/>
      <c r="CP59" s="224"/>
      <c r="CQ59" s="225"/>
      <c r="CR59" s="226"/>
      <c r="CS59" s="227">
        <f t="shared" si="48"/>
        <v>0</v>
      </c>
      <c r="CT59" s="146"/>
      <c r="CU59" s="147">
        <f t="shared" si="4"/>
        <v>0</v>
      </c>
      <c r="CV59" s="156"/>
      <c r="CW59" s="157" t="e">
        <f t="shared" si="5"/>
        <v>#DIV/0!</v>
      </c>
      <c r="CX59" s="157" t="e">
        <f t="shared" si="6"/>
        <v>#DIV/0!</v>
      </c>
      <c r="CY59" s="157" t="e">
        <f t="shared" si="7"/>
        <v>#DIV/0!</v>
      </c>
      <c r="CZ59" s="157" t="e">
        <f t="shared" si="8"/>
        <v>#DIV/0!</v>
      </c>
      <c r="DA59" s="157" t="e">
        <f t="shared" si="9"/>
        <v>#DIV/0!</v>
      </c>
      <c r="DB59" s="158" t="e">
        <f t="shared" si="10"/>
        <v>#DIV/0!</v>
      </c>
      <c r="DC59" s="131"/>
      <c r="DD59" s="159">
        <f t="shared" si="11"/>
        <v>0</v>
      </c>
      <c r="DE59" s="160">
        <f t="shared" si="12"/>
        <v>0</v>
      </c>
      <c r="DF59" s="161">
        <f t="shared" si="13"/>
        <v>0</v>
      </c>
      <c r="DG59" s="162" t="e">
        <f t="shared" si="14"/>
        <v>#DIV/0!</v>
      </c>
      <c r="DH59" s="163">
        <f t="shared" si="15"/>
        <v>0</v>
      </c>
      <c r="DI59" s="164"/>
      <c r="DJ59" s="165">
        <f t="shared" si="50"/>
        <v>0</v>
      </c>
      <c r="DK59" s="166">
        <f t="shared" si="50"/>
        <v>0</v>
      </c>
      <c r="DL59" s="167" t="e">
        <f t="shared" si="17"/>
        <v>#DIV/0!</v>
      </c>
      <c r="DM59" s="168" t="e">
        <f t="shared" si="18"/>
        <v>#DIV/0!</v>
      </c>
      <c r="DN59" s="163" t="e">
        <f t="shared" si="19"/>
        <v>#DIV/0!</v>
      </c>
      <c r="DO59" s="169"/>
      <c r="DP59" s="170"/>
      <c r="DQ59" s="171"/>
      <c r="DR59" s="172">
        <f t="shared" si="20"/>
        <v>0</v>
      </c>
      <c r="DS59" s="173" t="e">
        <f t="shared" si="21"/>
        <v>#DIV/0!</v>
      </c>
      <c r="DT59" s="163" t="e">
        <f t="shared" si="22"/>
        <v>#DIV/0!</v>
      </c>
      <c r="DU59" s="174"/>
      <c r="DV59" s="175" t="e">
        <f t="shared" si="23"/>
        <v>#DIV/0!</v>
      </c>
      <c r="DW59" s="163">
        <f t="shared" si="24"/>
        <v>0</v>
      </c>
      <c r="DX59" s="164"/>
      <c r="DY59" s="176">
        <f t="shared" si="25"/>
        <v>0</v>
      </c>
      <c r="DZ59" s="177">
        <f t="shared" si="26"/>
        <v>0</v>
      </c>
      <c r="EA59" s="178">
        <f t="shared" si="27"/>
        <v>0</v>
      </c>
      <c r="EB59" s="179">
        <f t="shared" si="28"/>
        <v>0</v>
      </c>
      <c r="EC59" s="180"/>
      <c r="ED59" s="175" t="e">
        <f t="shared" si="29"/>
        <v>#DIV/0!</v>
      </c>
      <c r="EE59" s="163">
        <f t="shared" si="30"/>
        <v>0</v>
      </c>
      <c r="EF59" s="164"/>
      <c r="EG59" s="181">
        <f t="shared" si="31"/>
        <v>0</v>
      </c>
      <c r="EH59" s="182">
        <f t="shared" si="32"/>
        <v>0</v>
      </c>
      <c r="EI59" s="182">
        <f t="shared" si="33"/>
        <v>0</v>
      </c>
      <c r="EJ59" s="182">
        <f t="shared" si="34"/>
        <v>0</v>
      </c>
      <c r="EK59" s="183">
        <f t="shared" si="35"/>
        <v>0</v>
      </c>
      <c r="EL59" s="184" t="e">
        <f t="shared" si="36"/>
        <v>#DIV/0!</v>
      </c>
      <c r="EM59" s="185">
        <f t="shared" si="37"/>
        <v>0</v>
      </c>
      <c r="EN59" s="164"/>
      <c r="EO59" s="181">
        <f t="shared" si="38"/>
        <v>0</v>
      </c>
      <c r="EP59" s="183">
        <f t="shared" si="39"/>
        <v>0</v>
      </c>
      <c r="EQ59" s="184" t="e">
        <f t="shared" si="40"/>
        <v>#DIV/0!</v>
      </c>
      <c r="ER59" s="185">
        <f t="shared" si="41"/>
        <v>0</v>
      </c>
      <c r="ES59" s="164"/>
      <c r="ET59" s="164"/>
      <c r="EU59" s="186">
        <f t="shared" si="42"/>
        <v>0</v>
      </c>
      <c r="EV59" s="186">
        <f t="shared" si="43"/>
        <v>0</v>
      </c>
      <c r="EW59" s="186">
        <f t="shared" si="44"/>
        <v>0</v>
      </c>
      <c r="EX59" s="186">
        <f t="shared" si="45"/>
        <v>0</v>
      </c>
      <c r="EY59" s="131"/>
      <c r="EZ59" s="187">
        <f t="shared" si="46"/>
        <v>0</v>
      </c>
      <c r="FA59" s="188" t="e">
        <f t="shared" si="47"/>
        <v>#DIV/0!</v>
      </c>
      <c r="FB59" s="189"/>
      <c r="FC59" s="219"/>
      <c r="FD59" s="219"/>
      <c r="FE59" s="219"/>
      <c r="FF59" s="219"/>
      <c r="FG59" s="219"/>
    </row>
    <row r="60" spans="2:163" s="220" customFormat="1" ht="16" outlineLevel="1" thickBot="1" x14ac:dyDescent="0.4">
      <c r="B60" s="357"/>
      <c r="C60" s="354"/>
      <c r="D60" s="240"/>
      <c r="E60" s="241"/>
      <c r="F60" s="135"/>
      <c r="G60" s="192"/>
      <c r="H60" s="242"/>
      <c r="I60" s="138">
        <f t="shared" si="0"/>
        <v>0</v>
      </c>
      <c r="J60" s="139"/>
      <c r="K60" s="193">
        <f t="shared" ref="K60:K61" si="52">E60*60</f>
        <v>0</v>
      </c>
      <c r="L60" s="141"/>
      <c r="M60" s="194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4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6"/>
      <c r="AN60" s="197">
        <f t="shared" si="2"/>
        <v>0</v>
      </c>
      <c r="AO60" s="146"/>
      <c r="AP60" s="147">
        <f t="shared" si="3"/>
        <v>0</v>
      </c>
      <c r="AQ60" s="221"/>
      <c r="AR60" s="198"/>
      <c r="AS60" s="198"/>
      <c r="AT60" s="222"/>
      <c r="AU60" s="228"/>
      <c r="AV60" s="229"/>
      <c r="AW60" s="229"/>
      <c r="AX60" s="229"/>
      <c r="AY60" s="229"/>
      <c r="AZ60" s="229"/>
      <c r="BA60" s="229"/>
      <c r="BB60" s="229"/>
      <c r="BC60" s="229"/>
      <c r="BD60" s="229"/>
      <c r="BE60" s="229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28"/>
      <c r="BS60" s="229"/>
      <c r="BT60" s="229"/>
      <c r="BU60" s="229"/>
      <c r="BV60" s="229"/>
      <c r="BW60" s="229"/>
      <c r="BX60" s="229"/>
      <c r="BY60" s="229"/>
      <c r="BZ60" s="229"/>
      <c r="CA60" s="229"/>
      <c r="CB60" s="229"/>
      <c r="CC60" s="231"/>
      <c r="CD60" s="228"/>
      <c r="CE60" s="194"/>
      <c r="CF60" s="195"/>
      <c r="CG60" s="195"/>
      <c r="CH60" s="195"/>
      <c r="CI60" s="195"/>
      <c r="CJ60" s="195"/>
      <c r="CK60" s="195"/>
      <c r="CL60" s="195"/>
      <c r="CM60" s="195"/>
      <c r="CN60" s="195"/>
      <c r="CO60" s="350"/>
      <c r="CP60" s="229"/>
      <c r="CQ60" s="230"/>
      <c r="CR60" s="231"/>
      <c r="CS60" s="232">
        <f t="shared" si="48"/>
        <v>0</v>
      </c>
      <c r="CT60" s="146"/>
      <c r="CU60" s="147">
        <f t="shared" si="4"/>
        <v>0</v>
      </c>
      <c r="CV60" s="156"/>
      <c r="CW60" s="157" t="e">
        <f t="shared" si="5"/>
        <v>#DIV/0!</v>
      </c>
      <c r="CX60" s="157" t="e">
        <f t="shared" si="6"/>
        <v>#DIV/0!</v>
      </c>
      <c r="CY60" s="157" t="e">
        <f t="shared" si="7"/>
        <v>#DIV/0!</v>
      </c>
      <c r="CZ60" s="157" t="e">
        <f t="shared" si="8"/>
        <v>#DIV/0!</v>
      </c>
      <c r="DA60" s="157" t="e">
        <f t="shared" si="9"/>
        <v>#DIV/0!</v>
      </c>
      <c r="DB60" s="158" t="e">
        <f t="shared" si="10"/>
        <v>#DIV/0!</v>
      </c>
      <c r="DC60" s="131"/>
      <c r="DD60" s="159">
        <f t="shared" si="11"/>
        <v>0</v>
      </c>
      <c r="DE60" s="160">
        <f t="shared" si="12"/>
        <v>0</v>
      </c>
      <c r="DF60" s="161">
        <f t="shared" si="13"/>
        <v>0</v>
      </c>
      <c r="DG60" s="162" t="e">
        <f t="shared" si="14"/>
        <v>#DIV/0!</v>
      </c>
      <c r="DH60" s="163">
        <f t="shared" si="15"/>
        <v>0</v>
      </c>
      <c r="DI60" s="164"/>
      <c r="DJ60" s="165">
        <f t="shared" si="50"/>
        <v>0</v>
      </c>
      <c r="DK60" s="166">
        <f t="shared" si="50"/>
        <v>0</v>
      </c>
      <c r="DL60" s="167" t="e">
        <f t="shared" si="17"/>
        <v>#DIV/0!</v>
      </c>
      <c r="DM60" s="168" t="e">
        <f t="shared" si="18"/>
        <v>#DIV/0!</v>
      </c>
      <c r="DN60" s="163" t="e">
        <f t="shared" si="19"/>
        <v>#DIV/0!</v>
      </c>
      <c r="DO60" s="169"/>
      <c r="DP60" s="170"/>
      <c r="DQ60" s="171"/>
      <c r="DR60" s="172">
        <f t="shared" si="20"/>
        <v>0</v>
      </c>
      <c r="DS60" s="173" t="e">
        <f t="shared" si="21"/>
        <v>#DIV/0!</v>
      </c>
      <c r="DT60" s="163" t="e">
        <f t="shared" si="22"/>
        <v>#DIV/0!</v>
      </c>
      <c r="DU60" s="174"/>
      <c r="DV60" s="175" t="e">
        <f t="shared" si="23"/>
        <v>#DIV/0!</v>
      </c>
      <c r="DW60" s="163">
        <f t="shared" si="24"/>
        <v>0</v>
      </c>
      <c r="DX60" s="164"/>
      <c r="DY60" s="176">
        <f t="shared" si="25"/>
        <v>0</v>
      </c>
      <c r="DZ60" s="177">
        <f t="shared" si="26"/>
        <v>0</v>
      </c>
      <c r="EA60" s="178">
        <f t="shared" si="27"/>
        <v>0</v>
      </c>
      <c r="EB60" s="179">
        <f t="shared" si="28"/>
        <v>0</v>
      </c>
      <c r="EC60" s="180"/>
      <c r="ED60" s="175" t="e">
        <f t="shared" si="29"/>
        <v>#DIV/0!</v>
      </c>
      <c r="EE60" s="163">
        <f t="shared" si="30"/>
        <v>0</v>
      </c>
      <c r="EF60" s="164"/>
      <c r="EG60" s="181">
        <f t="shared" si="31"/>
        <v>0</v>
      </c>
      <c r="EH60" s="182">
        <f t="shared" si="32"/>
        <v>0</v>
      </c>
      <c r="EI60" s="182">
        <f t="shared" si="33"/>
        <v>0</v>
      </c>
      <c r="EJ60" s="182">
        <f t="shared" si="34"/>
        <v>0</v>
      </c>
      <c r="EK60" s="183">
        <f t="shared" si="35"/>
        <v>0</v>
      </c>
      <c r="EL60" s="184" t="e">
        <f t="shared" si="36"/>
        <v>#DIV/0!</v>
      </c>
      <c r="EM60" s="185">
        <f t="shared" si="37"/>
        <v>0</v>
      </c>
      <c r="EN60" s="164"/>
      <c r="EO60" s="181">
        <f t="shared" si="38"/>
        <v>0</v>
      </c>
      <c r="EP60" s="183">
        <f t="shared" si="39"/>
        <v>0</v>
      </c>
      <c r="EQ60" s="184" t="e">
        <f t="shared" si="40"/>
        <v>#DIV/0!</v>
      </c>
      <c r="ER60" s="185">
        <f t="shared" si="41"/>
        <v>0</v>
      </c>
      <c r="ES60" s="164"/>
      <c r="ET60" s="164"/>
      <c r="EU60" s="186">
        <f t="shared" si="42"/>
        <v>0</v>
      </c>
      <c r="EV60" s="186">
        <f t="shared" si="43"/>
        <v>0</v>
      </c>
      <c r="EW60" s="186">
        <f t="shared" si="44"/>
        <v>0</v>
      </c>
      <c r="EX60" s="186">
        <f t="shared" si="45"/>
        <v>0</v>
      </c>
      <c r="EY60" s="131"/>
      <c r="EZ60" s="187">
        <f t="shared" si="46"/>
        <v>0</v>
      </c>
      <c r="FA60" s="188" t="e">
        <f t="shared" si="47"/>
        <v>#DIV/0!</v>
      </c>
      <c r="FB60" s="189"/>
      <c r="FC60" s="219"/>
      <c r="FD60" s="219"/>
      <c r="FE60" s="219"/>
      <c r="FF60" s="219"/>
      <c r="FG60" s="219"/>
    </row>
    <row r="61" spans="2:163" s="220" customFormat="1" ht="16" outlineLevel="1" thickBot="1" x14ac:dyDescent="0.4">
      <c r="B61" s="358"/>
      <c r="C61" s="355"/>
      <c r="D61" s="243"/>
      <c r="E61" s="244"/>
      <c r="F61" s="135"/>
      <c r="G61" s="192"/>
      <c r="H61" s="245"/>
      <c r="I61" s="138">
        <f t="shared" si="0"/>
        <v>0</v>
      </c>
      <c r="J61" s="139"/>
      <c r="K61" s="208">
        <f t="shared" si="52"/>
        <v>0</v>
      </c>
      <c r="L61" s="141"/>
      <c r="M61" s="209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09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1"/>
      <c r="AN61" s="212">
        <f t="shared" si="2"/>
        <v>0</v>
      </c>
      <c r="AO61" s="146"/>
      <c r="AP61" s="147">
        <f t="shared" si="3"/>
        <v>0</v>
      </c>
      <c r="AQ61" s="221"/>
      <c r="AR61" s="213"/>
      <c r="AS61" s="213"/>
      <c r="AT61" s="222"/>
      <c r="AU61" s="233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3"/>
      <c r="BS61" s="234"/>
      <c r="BT61" s="234"/>
      <c r="BU61" s="234"/>
      <c r="BV61" s="234"/>
      <c r="BW61" s="234"/>
      <c r="BX61" s="234"/>
      <c r="BY61" s="234"/>
      <c r="BZ61" s="234"/>
      <c r="CA61" s="234"/>
      <c r="CB61" s="234"/>
      <c r="CC61" s="236"/>
      <c r="CD61" s="233"/>
      <c r="CE61" s="209"/>
      <c r="CF61" s="210"/>
      <c r="CG61" s="210"/>
      <c r="CH61" s="210"/>
      <c r="CI61" s="210"/>
      <c r="CJ61" s="210"/>
      <c r="CK61" s="210"/>
      <c r="CL61" s="210"/>
      <c r="CM61" s="210"/>
      <c r="CN61" s="210"/>
      <c r="CO61" s="351"/>
      <c r="CP61" s="234"/>
      <c r="CQ61" s="235"/>
      <c r="CR61" s="236"/>
      <c r="CS61" s="237">
        <f t="shared" si="48"/>
        <v>0</v>
      </c>
      <c r="CT61" s="146"/>
      <c r="CU61" s="147">
        <f t="shared" si="4"/>
        <v>0</v>
      </c>
      <c r="CV61" s="156"/>
      <c r="CW61" s="157" t="e">
        <f t="shared" si="5"/>
        <v>#DIV/0!</v>
      </c>
      <c r="CX61" s="157" t="e">
        <f t="shared" si="6"/>
        <v>#DIV/0!</v>
      </c>
      <c r="CY61" s="157" t="e">
        <f t="shared" si="7"/>
        <v>#DIV/0!</v>
      </c>
      <c r="CZ61" s="157" t="e">
        <f t="shared" si="8"/>
        <v>#DIV/0!</v>
      </c>
      <c r="DA61" s="157" t="e">
        <f t="shared" si="9"/>
        <v>#DIV/0!</v>
      </c>
      <c r="DB61" s="158" t="e">
        <f t="shared" si="10"/>
        <v>#DIV/0!</v>
      </c>
      <c r="DC61" s="131"/>
      <c r="DD61" s="159">
        <f t="shared" si="11"/>
        <v>0</v>
      </c>
      <c r="DE61" s="160">
        <f t="shared" si="12"/>
        <v>0</v>
      </c>
      <c r="DF61" s="161">
        <f t="shared" si="13"/>
        <v>0</v>
      </c>
      <c r="DG61" s="162" t="e">
        <f t="shared" si="14"/>
        <v>#DIV/0!</v>
      </c>
      <c r="DH61" s="163">
        <f t="shared" si="15"/>
        <v>0</v>
      </c>
      <c r="DI61" s="164"/>
      <c r="DJ61" s="165">
        <f t="shared" si="50"/>
        <v>0</v>
      </c>
      <c r="DK61" s="166">
        <f t="shared" si="50"/>
        <v>0</v>
      </c>
      <c r="DL61" s="167" t="e">
        <f t="shared" si="17"/>
        <v>#DIV/0!</v>
      </c>
      <c r="DM61" s="168" t="e">
        <f t="shared" si="18"/>
        <v>#DIV/0!</v>
      </c>
      <c r="DN61" s="163" t="e">
        <f t="shared" si="19"/>
        <v>#DIV/0!</v>
      </c>
      <c r="DO61" s="169"/>
      <c r="DP61" s="170"/>
      <c r="DQ61" s="171"/>
      <c r="DR61" s="172">
        <f t="shared" si="20"/>
        <v>0</v>
      </c>
      <c r="DS61" s="173" t="e">
        <f t="shared" si="21"/>
        <v>#DIV/0!</v>
      </c>
      <c r="DT61" s="163" t="e">
        <f t="shared" si="22"/>
        <v>#DIV/0!</v>
      </c>
      <c r="DU61" s="174"/>
      <c r="DV61" s="175" t="e">
        <f t="shared" si="23"/>
        <v>#DIV/0!</v>
      </c>
      <c r="DW61" s="163">
        <f t="shared" si="24"/>
        <v>0</v>
      </c>
      <c r="DX61" s="164"/>
      <c r="DY61" s="176">
        <f t="shared" si="25"/>
        <v>0</v>
      </c>
      <c r="DZ61" s="177">
        <f t="shared" si="26"/>
        <v>0</v>
      </c>
      <c r="EA61" s="178">
        <f t="shared" si="27"/>
        <v>0</v>
      </c>
      <c r="EB61" s="179">
        <f t="shared" si="28"/>
        <v>0</v>
      </c>
      <c r="EC61" s="180"/>
      <c r="ED61" s="175" t="e">
        <f t="shared" si="29"/>
        <v>#DIV/0!</v>
      </c>
      <c r="EE61" s="163">
        <f t="shared" si="30"/>
        <v>0</v>
      </c>
      <c r="EF61" s="164"/>
      <c r="EG61" s="181">
        <f t="shared" si="31"/>
        <v>0</v>
      </c>
      <c r="EH61" s="182">
        <f t="shared" si="32"/>
        <v>0</v>
      </c>
      <c r="EI61" s="182">
        <f t="shared" si="33"/>
        <v>0</v>
      </c>
      <c r="EJ61" s="182">
        <f t="shared" si="34"/>
        <v>0</v>
      </c>
      <c r="EK61" s="183">
        <f t="shared" si="35"/>
        <v>0</v>
      </c>
      <c r="EL61" s="184" t="e">
        <f t="shared" si="36"/>
        <v>#DIV/0!</v>
      </c>
      <c r="EM61" s="185">
        <f t="shared" si="37"/>
        <v>0</v>
      </c>
      <c r="EN61" s="164"/>
      <c r="EO61" s="181">
        <f t="shared" si="38"/>
        <v>0</v>
      </c>
      <c r="EP61" s="183">
        <f t="shared" si="39"/>
        <v>0</v>
      </c>
      <c r="EQ61" s="184" t="e">
        <f t="shared" si="40"/>
        <v>#DIV/0!</v>
      </c>
      <c r="ER61" s="185">
        <f t="shared" si="41"/>
        <v>0</v>
      </c>
      <c r="ES61" s="164"/>
      <c r="ET61" s="164"/>
      <c r="EU61" s="186">
        <f t="shared" si="42"/>
        <v>0</v>
      </c>
      <c r="EV61" s="186">
        <f t="shared" si="43"/>
        <v>0</v>
      </c>
      <c r="EW61" s="186">
        <f t="shared" si="44"/>
        <v>0</v>
      </c>
      <c r="EX61" s="186">
        <f t="shared" si="45"/>
        <v>0</v>
      </c>
      <c r="EY61" s="131"/>
      <c r="EZ61" s="187">
        <f t="shared" si="46"/>
        <v>0</v>
      </c>
      <c r="FA61" s="188" t="e">
        <f t="shared" si="47"/>
        <v>#DIV/0!</v>
      </c>
      <c r="FB61" s="189"/>
      <c r="FC61" s="131"/>
      <c r="FD61" s="131"/>
      <c r="FE61" s="219"/>
      <c r="FF61" s="219"/>
      <c r="FG61" s="219"/>
    </row>
    <row r="62" spans="2:163" ht="16" outlineLevel="1" thickBot="1" x14ac:dyDescent="0.4">
      <c r="B62" s="356"/>
      <c r="C62" s="353"/>
      <c r="D62" s="133"/>
      <c r="E62" s="134"/>
      <c r="F62" s="135"/>
      <c r="G62" s="136"/>
      <c r="H62" s="137"/>
      <c r="I62" s="138">
        <f t="shared" si="0"/>
        <v>0</v>
      </c>
      <c r="J62" s="139"/>
      <c r="K62" s="140">
        <f>E62*60</f>
        <v>0</v>
      </c>
      <c r="L62" s="141"/>
      <c r="M62" s="142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2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4"/>
      <c r="AN62" s="145">
        <f t="shared" si="2"/>
        <v>0</v>
      </c>
      <c r="AO62" s="146"/>
      <c r="AP62" s="147">
        <f t="shared" si="3"/>
        <v>0</v>
      </c>
      <c r="AQ62" s="148"/>
      <c r="AR62" s="149"/>
      <c r="AS62" s="149"/>
      <c r="AT62" s="135"/>
      <c r="AU62" s="150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0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4"/>
      <c r="CD62" s="150"/>
      <c r="CE62" s="142"/>
      <c r="CF62" s="143"/>
      <c r="CG62" s="143"/>
      <c r="CH62" s="143"/>
      <c r="CI62" s="143"/>
      <c r="CJ62" s="143"/>
      <c r="CK62" s="143"/>
      <c r="CL62" s="143"/>
      <c r="CM62" s="143"/>
      <c r="CN62" s="143"/>
      <c r="CO62" s="346"/>
      <c r="CP62" s="151"/>
      <c r="CQ62" s="152"/>
      <c r="CR62" s="154"/>
      <c r="CS62" s="155">
        <f t="shared" si="48"/>
        <v>0</v>
      </c>
      <c r="CT62" s="146"/>
      <c r="CU62" s="147">
        <f t="shared" si="4"/>
        <v>0</v>
      </c>
      <c r="CV62" s="156"/>
      <c r="CW62" s="157" t="e">
        <f t="shared" si="5"/>
        <v>#DIV/0!</v>
      </c>
      <c r="CX62" s="157" t="e">
        <f t="shared" si="6"/>
        <v>#DIV/0!</v>
      </c>
      <c r="CY62" s="157" t="e">
        <f t="shared" si="7"/>
        <v>#DIV/0!</v>
      </c>
      <c r="CZ62" s="157" t="e">
        <f t="shared" si="8"/>
        <v>#DIV/0!</v>
      </c>
      <c r="DA62" s="157" t="e">
        <f t="shared" si="9"/>
        <v>#DIV/0!</v>
      </c>
      <c r="DB62" s="158" t="e">
        <f t="shared" si="10"/>
        <v>#DIV/0!</v>
      </c>
      <c r="DC62" s="131"/>
      <c r="DD62" s="159">
        <f t="shared" si="11"/>
        <v>0</v>
      </c>
      <c r="DE62" s="160">
        <f t="shared" si="12"/>
        <v>0</v>
      </c>
      <c r="DF62" s="161">
        <f t="shared" si="13"/>
        <v>0</v>
      </c>
      <c r="DG62" s="162" t="e">
        <f t="shared" si="14"/>
        <v>#DIV/0!</v>
      </c>
      <c r="DH62" s="163">
        <f t="shared" si="15"/>
        <v>0</v>
      </c>
      <c r="DI62" s="164"/>
      <c r="DJ62" s="165">
        <f t="shared" si="50"/>
        <v>0</v>
      </c>
      <c r="DK62" s="166">
        <f t="shared" si="50"/>
        <v>0</v>
      </c>
      <c r="DL62" s="167" t="e">
        <f t="shared" si="17"/>
        <v>#DIV/0!</v>
      </c>
      <c r="DM62" s="168" t="e">
        <f t="shared" si="18"/>
        <v>#DIV/0!</v>
      </c>
      <c r="DN62" s="163" t="e">
        <f t="shared" si="19"/>
        <v>#DIV/0!</v>
      </c>
      <c r="DO62" s="169"/>
      <c r="DP62" s="170"/>
      <c r="DQ62" s="171"/>
      <c r="DR62" s="172">
        <f t="shared" si="20"/>
        <v>0</v>
      </c>
      <c r="DS62" s="173" t="e">
        <f t="shared" si="21"/>
        <v>#DIV/0!</v>
      </c>
      <c r="DT62" s="163" t="e">
        <f t="shared" si="22"/>
        <v>#DIV/0!</v>
      </c>
      <c r="DU62" s="174"/>
      <c r="DV62" s="175" t="e">
        <f t="shared" si="23"/>
        <v>#DIV/0!</v>
      </c>
      <c r="DW62" s="163">
        <f t="shared" si="24"/>
        <v>0</v>
      </c>
      <c r="DX62" s="164"/>
      <c r="DY62" s="176">
        <f t="shared" si="25"/>
        <v>0</v>
      </c>
      <c r="DZ62" s="177">
        <f t="shared" si="26"/>
        <v>0</v>
      </c>
      <c r="EA62" s="178">
        <f t="shared" si="27"/>
        <v>0</v>
      </c>
      <c r="EB62" s="179">
        <f t="shared" si="28"/>
        <v>0</v>
      </c>
      <c r="EC62" s="180"/>
      <c r="ED62" s="175" t="e">
        <f t="shared" si="29"/>
        <v>#DIV/0!</v>
      </c>
      <c r="EE62" s="163">
        <f t="shared" si="30"/>
        <v>0</v>
      </c>
      <c r="EF62" s="164"/>
      <c r="EG62" s="181">
        <f t="shared" si="31"/>
        <v>0</v>
      </c>
      <c r="EH62" s="182">
        <f t="shared" si="32"/>
        <v>0</v>
      </c>
      <c r="EI62" s="182">
        <f t="shared" si="33"/>
        <v>0</v>
      </c>
      <c r="EJ62" s="182">
        <f t="shared" si="34"/>
        <v>0</v>
      </c>
      <c r="EK62" s="183">
        <f t="shared" si="35"/>
        <v>0</v>
      </c>
      <c r="EL62" s="184" t="e">
        <f t="shared" si="36"/>
        <v>#DIV/0!</v>
      </c>
      <c r="EM62" s="185">
        <f t="shared" si="37"/>
        <v>0</v>
      </c>
      <c r="EN62" s="164"/>
      <c r="EO62" s="181">
        <f t="shared" si="38"/>
        <v>0</v>
      </c>
      <c r="EP62" s="183">
        <f t="shared" si="39"/>
        <v>0</v>
      </c>
      <c r="EQ62" s="184" t="e">
        <f t="shared" si="40"/>
        <v>#DIV/0!</v>
      </c>
      <c r="ER62" s="185">
        <f t="shared" si="41"/>
        <v>0</v>
      </c>
      <c r="ES62" s="164"/>
      <c r="ET62" s="164"/>
      <c r="EU62" s="186">
        <f t="shared" si="42"/>
        <v>0</v>
      </c>
      <c r="EV62" s="186">
        <f t="shared" si="43"/>
        <v>0</v>
      </c>
      <c r="EW62" s="186">
        <f t="shared" si="44"/>
        <v>0</v>
      </c>
      <c r="EX62" s="186">
        <f t="shared" si="45"/>
        <v>0</v>
      </c>
      <c r="EY62" s="131"/>
      <c r="EZ62" s="187">
        <f t="shared" si="46"/>
        <v>0</v>
      </c>
      <c r="FA62" s="188" t="e">
        <f t="shared" si="47"/>
        <v>#DIV/0!</v>
      </c>
      <c r="FB62" s="189"/>
      <c r="FC62" s="131"/>
      <c r="FD62" s="131"/>
      <c r="FE62" s="131"/>
      <c r="FF62" s="131"/>
      <c r="FG62" s="131"/>
    </row>
    <row r="63" spans="2:163" ht="16" outlineLevel="1" thickBot="1" x14ac:dyDescent="0.4">
      <c r="B63" s="357"/>
      <c r="C63" s="354"/>
      <c r="D63" s="240"/>
      <c r="E63" s="241"/>
      <c r="F63" s="135"/>
      <c r="G63" s="192"/>
      <c r="H63" s="242"/>
      <c r="I63" s="138">
        <f t="shared" si="0"/>
        <v>0</v>
      </c>
      <c r="J63" s="139"/>
      <c r="K63" s="193">
        <f t="shared" ref="K63:K64" si="53">E63*60</f>
        <v>0</v>
      </c>
      <c r="L63" s="141"/>
      <c r="M63" s="194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4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6"/>
      <c r="AN63" s="197">
        <f t="shared" si="2"/>
        <v>0</v>
      </c>
      <c r="AO63" s="146"/>
      <c r="AP63" s="147">
        <f t="shared" si="3"/>
        <v>0</v>
      </c>
      <c r="AQ63" s="148"/>
      <c r="AR63" s="198"/>
      <c r="AS63" s="198"/>
      <c r="AT63" s="135"/>
      <c r="AU63" s="199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1"/>
      <c r="BG63" s="201"/>
      <c r="BH63" s="201"/>
      <c r="BI63" s="201"/>
      <c r="BJ63" s="201"/>
      <c r="BK63" s="201"/>
      <c r="BL63" s="201"/>
      <c r="BM63" s="201"/>
      <c r="BN63" s="201"/>
      <c r="BO63" s="201"/>
      <c r="BP63" s="201"/>
      <c r="BQ63" s="201"/>
      <c r="BR63" s="199"/>
      <c r="BS63" s="200"/>
      <c r="BT63" s="200"/>
      <c r="BU63" s="200"/>
      <c r="BV63" s="200"/>
      <c r="BW63" s="200"/>
      <c r="BX63" s="200"/>
      <c r="BY63" s="200"/>
      <c r="BZ63" s="200"/>
      <c r="CA63" s="200"/>
      <c r="CB63" s="200"/>
      <c r="CC63" s="202"/>
      <c r="CD63" s="199"/>
      <c r="CE63" s="194"/>
      <c r="CF63" s="195"/>
      <c r="CG63" s="195"/>
      <c r="CH63" s="195"/>
      <c r="CI63" s="195"/>
      <c r="CJ63" s="195"/>
      <c r="CK63" s="195"/>
      <c r="CL63" s="195"/>
      <c r="CM63" s="195"/>
      <c r="CN63" s="195"/>
      <c r="CO63" s="347"/>
      <c r="CP63" s="200"/>
      <c r="CQ63" s="201"/>
      <c r="CR63" s="202"/>
      <c r="CS63" s="203">
        <f t="shared" si="48"/>
        <v>0</v>
      </c>
      <c r="CT63" s="146"/>
      <c r="CU63" s="147">
        <f t="shared" si="4"/>
        <v>0</v>
      </c>
      <c r="CV63" s="156"/>
      <c r="CW63" s="157" t="e">
        <f t="shared" si="5"/>
        <v>#DIV/0!</v>
      </c>
      <c r="CX63" s="157" t="e">
        <f t="shared" si="6"/>
        <v>#DIV/0!</v>
      </c>
      <c r="CY63" s="157" t="e">
        <f t="shared" si="7"/>
        <v>#DIV/0!</v>
      </c>
      <c r="CZ63" s="157" t="e">
        <f t="shared" si="8"/>
        <v>#DIV/0!</v>
      </c>
      <c r="DA63" s="157" t="e">
        <f t="shared" si="9"/>
        <v>#DIV/0!</v>
      </c>
      <c r="DB63" s="158" t="e">
        <f t="shared" si="10"/>
        <v>#DIV/0!</v>
      </c>
      <c r="DC63" s="131"/>
      <c r="DD63" s="159">
        <f t="shared" si="11"/>
        <v>0</v>
      </c>
      <c r="DE63" s="160">
        <f t="shared" si="12"/>
        <v>0</v>
      </c>
      <c r="DF63" s="161">
        <f t="shared" si="13"/>
        <v>0</v>
      </c>
      <c r="DG63" s="162" t="e">
        <f t="shared" si="14"/>
        <v>#DIV/0!</v>
      </c>
      <c r="DH63" s="163">
        <f t="shared" si="15"/>
        <v>0</v>
      </c>
      <c r="DI63" s="164"/>
      <c r="DJ63" s="165">
        <f t="shared" si="50"/>
        <v>0</v>
      </c>
      <c r="DK63" s="166">
        <f t="shared" si="50"/>
        <v>0</v>
      </c>
      <c r="DL63" s="167" t="e">
        <f t="shared" si="17"/>
        <v>#DIV/0!</v>
      </c>
      <c r="DM63" s="168" t="e">
        <f t="shared" si="18"/>
        <v>#DIV/0!</v>
      </c>
      <c r="DN63" s="163" t="e">
        <f t="shared" si="19"/>
        <v>#DIV/0!</v>
      </c>
      <c r="DO63" s="169"/>
      <c r="DP63" s="170"/>
      <c r="DQ63" s="171"/>
      <c r="DR63" s="172">
        <f t="shared" si="20"/>
        <v>0</v>
      </c>
      <c r="DS63" s="173" t="e">
        <f t="shared" si="21"/>
        <v>#DIV/0!</v>
      </c>
      <c r="DT63" s="163" t="e">
        <f t="shared" si="22"/>
        <v>#DIV/0!</v>
      </c>
      <c r="DU63" s="174"/>
      <c r="DV63" s="175" t="e">
        <f t="shared" si="23"/>
        <v>#DIV/0!</v>
      </c>
      <c r="DW63" s="163">
        <f t="shared" si="24"/>
        <v>0</v>
      </c>
      <c r="DX63" s="164"/>
      <c r="DY63" s="176">
        <f t="shared" si="25"/>
        <v>0</v>
      </c>
      <c r="DZ63" s="177">
        <f t="shared" si="26"/>
        <v>0</v>
      </c>
      <c r="EA63" s="178">
        <f t="shared" si="27"/>
        <v>0</v>
      </c>
      <c r="EB63" s="179">
        <f t="shared" si="28"/>
        <v>0</v>
      </c>
      <c r="EC63" s="180"/>
      <c r="ED63" s="175" t="e">
        <f t="shared" si="29"/>
        <v>#DIV/0!</v>
      </c>
      <c r="EE63" s="163">
        <f t="shared" si="30"/>
        <v>0</v>
      </c>
      <c r="EF63" s="164"/>
      <c r="EG63" s="181">
        <f t="shared" si="31"/>
        <v>0</v>
      </c>
      <c r="EH63" s="182">
        <f t="shared" si="32"/>
        <v>0</v>
      </c>
      <c r="EI63" s="182">
        <f t="shared" si="33"/>
        <v>0</v>
      </c>
      <c r="EJ63" s="182">
        <f t="shared" si="34"/>
        <v>0</v>
      </c>
      <c r="EK63" s="183">
        <f t="shared" si="35"/>
        <v>0</v>
      </c>
      <c r="EL63" s="184" t="e">
        <f t="shared" si="36"/>
        <v>#DIV/0!</v>
      </c>
      <c r="EM63" s="185">
        <f t="shared" si="37"/>
        <v>0</v>
      </c>
      <c r="EN63" s="164"/>
      <c r="EO63" s="181">
        <f t="shared" si="38"/>
        <v>0</v>
      </c>
      <c r="EP63" s="183">
        <f t="shared" si="39"/>
        <v>0</v>
      </c>
      <c r="EQ63" s="184" t="e">
        <f t="shared" si="40"/>
        <v>#DIV/0!</v>
      </c>
      <c r="ER63" s="185">
        <f t="shared" si="41"/>
        <v>0</v>
      </c>
      <c r="ES63" s="164"/>
      <c r="ET63" s="164"/>
      <c r="EU63" s="186">
        <f t="shared" si="42"/>
        <v>0</v>
      </c>
      <c r="EV63" s="186">
        <f t="shared" si="43"/>
        <v>0</v>
      </c>
      <c r="EW63" s="186">
        <f t="shared" si="44"/>
        <v>0</v>
      </c>
      <c r="EX63" s="186">
        <f t="shared" si="45"/>
        <v>0</v>
      </c>
      <c r="EY63" s="131"/>
      <c r="EZ63" s="187">
        <f t="shared" si="46"/>
        <v>0</v>
      </c>
      <c r="FA63" s="188" t="e">
        <f t="shared" si="47"/>
        <v>#DIV/0!</v>
      </c>
      <c r="FB63" s="189"/>
      <c r="FC63" s="131"/>
      <c r="FD63" s="131"/>
      <c r="FE63" s="131"/>
      <c r="FF63" s="131"/>
      <c r="FG63" s="131"/>
    </row>
    <row r="64" spans="2:163" ht="16" outlineLevel="1" thickBot="1" x14ac:dyDescent="0.4">
      <c r="B64" s="358"/>
      <c r="C64" s="355"/>
      <c r="D64" s="243"/>
      <c r="E64" s="244"/>
      <c r="F64" s="135"/>
      <c r="G64" s="192"/>
      <c r="H64" s="245"/>
      <c r="I64" s="138">
        <f t="shared" si="0"/>
        <v>0</v>
      </c>
      <c r="J64" s="139"/>
      <c r="K64" s="208">
        <f t="shared" si="53"/>
        <v>0</v>
      </c>
      <c r="L64" s="141"/>
      <c r="M64" s="209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09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1"/>
      <c r="AN64" s="212">
        <f t="shared" si="2"/>
        <v>0</v>
      </c>
      <c r="AO64" s="146"/>
      <c r="AP64" s="147">
        <f t="shared" si="3"/>
        <v>0</v>
      </c>
      <c r="AQ64" s="148"/>
      <c r="AR64" s="213"/>
      <c r="AS64" s="213"/>
      <c r="AT64" s="135"/>
      <c r="AU64" s="214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6"/>
      <c r="BG64" s="216"/>
      <c r="BH64" s="216"/>
      <c r="BI64" s="216"/>
      <c r="BJ64" s="216"/>
      <c r="BK64" s="216"/>
      <c r="BL64" s="216"/>
      <c r="BM64" s="216"/>
      <c r="BN64" s="216"/>
      <c r="BO64" s="216"/>
      <c r="BP64" s="216"/>
      <c r="BQ64" s="216"/>
      <c r="BR64" s="214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7"/>
      <c r="CD64" s="214"/>
      <c r="CE64" s="209"/>
      <c r="CF64" s="210"/>
      <c r="CG64" s="210"/>
      <c r="CH64" s="210"/>
      <c r="CI64" s="210"/>
      <c r="CJ64" s="210"/>
      <c r="CK64" s="210"/>
      <c r="CL64" s="210"/>
      <c r="CM64" s="210"/>
      <c r="CN64" s="210"/>
      <c r="CO64" s="348"/>
      <c r="CP64" s="215"/>
      <c r="CQ64" s="216"/>
      <c r="CR64" s="217"/>
      <c r="CS64" s="218">
        <f t="shared" si="48"/>
        <v>0</v>
      </c>
      <c r="CT64" s="146"/>
      <c r="CU64" s="147">
        <f t="shared" si="4"/>
        <v>0</v>
      </c>
      <c r="CV64" s="156"/>
      <c r="CW64" s="157" t="e">
        <f t="shared" si="5"/>
        <v>#DIV/0!</v>
      </c>
      <c r="CX64" s="157" t="e">
        <f t="shared" si="6"/>
        <v>#DIV/0!</v>
      </c>
      <c r="CY64" s="157" t="e">
        <f t="shared" si="7"/>
        <v>#DIV/0!</v>
      </c>
      <c r="CZ64" s="157" t="e">
        <f t="shared" si="8"/>
        <v>#DIV/0!</v>
      </c>
      <c r="DA64" s="157" t="e">
        <f t="shared" si="9"/>
        <v>#DIV/0!</v>
      </c>
      <c r="DB64" s="158" t="e">
        <f t="shared" si="10"/>
        <v>#DIV/0!</v>
      </c>
      <c r="DC64" s="131"/>
      <c r="DD64" s="159">
        <f t="shared" si="11"/>
        <v>0</v>
      </c>
      <c r="DE64" s="160">
        <f t="shared" si="12"/>
        <v>0</v>
      </c>
      <c r="DF64" s="161">
        <f t="shared" si="13"/>
        <v>0</v>
      </c>
      <c r="DG64" s="162" t="e">
        <f t="shared" si="14"/>
        <v>#DIV/0!</v>
      </c>
      <c r="DH64" s="163">
        <f t="shared" si="15"/>
        <v>0</v>
      </c>
      <c r="DI64" s="164"/>
      <c r="DJ64" s="165">
        <f t="shared" si="50"/>
        <v>0</v>
      </c>
      <c r="DK64" s="166">
        <f t="shared" si="50"/>
        <v>0</v>
      </c>
      <c r="DL64" s="167" t="e">
        <f t="shared" si="17"/>
        <v>#DIV/0!</v>
      </c>
      <c r="DM64" s="168" t="e">
        <f t="shared" si="18"/>
        <v>#DIV/0!</v>
      </c>
      <c r="DN64" s="163" t="e">
        <f t="shared" si="19"/>
        <v>#DIV/0!</v>
      </c>
      <c r="DO64" s="169"/>
      <c r="DP64" s="170"/>
      <c r="DQ64" s="171"/>
      <c r="DR64" s="172">
        <f t="shared" si="20"/>
        <v>0</v>
      </c>
      <c r="DS64" s="173" t="e">
        <f t="shared" si="21"/>
        <v>#DIV/0!</v>
      </c>
      <c r="DT64" s="163" t="e">
        <f t="shared" si="22"/>
        <v>#DIV/0!</v>
      </c>
      <c r="DU64" s="174"/>
      <c r="DV64" s="175" t="e">
        <f t="shared" si="23"/>
        <v>#DIV/0!</v>
      </c>
      <c r="DW64" s="163">
        <f t="shared" si="24"/>
        <v>0</v>
      </c>
      <c r="DX64" s="164"/>
      <c r="DY64" s="176">
        <f t="shared" si="25"/>
        <v>0</v>
      </c>
      <c r="DZ64" s="177">
        <f t="shared" si="26"/>
        <v>0</v>
      </c>
      <c r="EA64" s="178">
        <f t="shared" si="27"/>
        <v>0</v>
      </c>
      <c r="EB64" s="179">
        <f t="shared" si="28"/>
        <v>0</v>
      </c>
      <c r="EC64" s="180"/>
      <c r="ED64" s="175" t="e">
        <f t="shared" si="29"/>
        <v>#DIV/0!</v>
      </c>
      <c r="EE64" s="163">
        <f t="shared" si="30"/>
        <v>0</v>
      </c>
      <c r="EF64" s="164"/>
      <c r="EG64" s="181">
        <f t="shared" si="31"/>
        <v>0</v>
      </c>
      <c r="EH64" s="182">
        <f t="shared" si="32"/>
        <v>0</v>
      </c>
      <c r="EI64" s="182">
        <f t="shared" si="33"/>
        <v>0</v>
      </c>
      <c r="EJ64" s="182">
        <f t="shared" si="34"/>
        <v>0</v>
      </c>
      <c r="EK64" s="183">
        <f t="shared" si="35"/>
        <v>0</v>
      </c>
      <c r="EL64" s="184" t="e">
        <f t="shared" si="36"/>
        <v>#DIV/0!</v>
      </c>
      <c r="EM64" s="185">
        <f t="shared" si="37"/>
        <v>0</v>
      </c>
      <c r="EN64" s="164"/>
      <c r="EO64" s="181">
        <f t="shared" si="38"/>
        <v>0</v>
      </c>
      <c r="EP64" s="183">
        <f t="shared" si="39"/>
        <v>0</v>
      </c>
      <c r="EQ64" s="184" t="e">
        <f t="shared" si="40"/>
        <v>#DIV/0!</v>
      </c>
      <c r="ER64" s="185">
        <f t="shared" si="41"/>
        <v>0</v>
      </c>
      <c r="ES64" s="164"/>
      <c r="ET64" s="164"/>
      <c r="EU64" s="186">
        <f t="shared" si="42"/>
        <v>0</v>
      </c>
      <c r="EV64" s="186">
        <f t="shared" si="43"/>
        <v>0</v>
      </c>
      <c r="EW64" s="186">
        <f t="shared" si="44"/>
        <v>0</v>
      </c>
      <c r="EX64" s="186">
        <f t="shared" si="45"/>
        <v>0</v>
      </c>
      <c r="EY64" s="131"/>
      <c r="EZ64" s="187">
        <f t="shared" si="46"/>
        <v>0</v>
      </c>
      <c r="FA64" s="188" t="e">
        <f t="shared" si="47"/>
        <v>#DIV/0!</v>
      </c>
      <c r="FB64" s="189"/>
      <c r="FC64" s="131"/>
      <c r="FD64" s="131"/>
      <c r="FE64" s="131"/>
      <c r="FF64" s="131"/>
      <c r="FG64" s="131"/>
    </row>
    <row r="65" spans="2:163" s="169" customFormat="1" ht="16" outlineLevel="1" thickBot="1" x14ac:dyDescent="0.4">
      <c r="B65" s="356"/>
      <c r="C65" s="353"/>
      <c r="D65" s="133"/>
      <c r="E65" s="134"/>
      <c r="F65" s="135"/>
      <c r="G65" s="136"/>
      <c r="H65" s="137"/>
      <c r="I65" s="138">
        <f>IF(E65&gt;0.0001,5.2,0)</f>
        <v>0</v>
      </c>
      <c r="J65" s="139"/>
      <c r="K65" s="140">
        <f>E65*60</f>
        <v>0</v>
      </c>
      <c r="L65" s="141"/>
      <c r="M65" s="142"/>
      <c r="N65" s="143"/>
      <c r="O65" s="143"/>
      <c r="P65" s="143"/>
      <c r="Q65" s="143"/>
      <c r="R65" s="143">
        <v>480</v>
      </c>
      <c r="S65" s="143"/>
      <c r="T65" s="143"/>
      <c r="U65" s="143"/>
      <c r="V65" s="143"/>
      <c r="W65" s="143"/>
      <c r="X65" s="143"/>
      <c r="Y65" s="143"/>
      <c r="Z65" s="143"/>
      <c r="AA65" s="142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4"/>
      <c r="AN65" s="145">
        <f t="shared" si="2"/>
        <v>480</v>
      </c>
      <c r="AO65" s="146"/>
      <c r="AP65" s="147">
        <f t="shared" si="3"/>
        <v>-480</v>
      </c>
      <c r="AQ65" s="148"/>
      <c r="AR65" s="149"/>
      <c r="AS65" s="149"/>
      <c r="AT65" s="135"/>
      <c r="AU65" s="150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0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4"/>
      <c r="CD65" s="150"/>
      <c r="CE65" s="142"/>
      <c r="CF65" s="143"/>
      <c r="CG65" s="143"/>
      <c r="CH65" s="143"/>
      <c r="CI65" s="143"/>
      <c r="CJ65" s="143"/>
      <c r="CK65" s="143"/>
      <c r="CL65" s="143"/>
      <c r="CM65" s="143"/>
      <c r="CN65" s="143"/>
      <c r="CO65" s="346"/>
      <c r="CP65" s="151"/>
      <c r="CQ65" s="152"/>
      <c r="CR65" s="154"/>
      <c r="CS65" s="155">
        <f t="shared" si="48"/>
        <v>0</v>
      </c>
      <c r="CT65" s="146"/>
      <c r="CU65" s="147">
        <f t="shared" si="4"/>
        <v>-480</v>
      </c>
      <c r="CV65" s="156"/>
      <c r="CW65" s="157" t="e">
        <f t="shared" si="5"/>
        <v>#DIV/0!</v>
      </c>
      <c r="CX65" s="157" t="e">
        <f t="shared" si="6"/>
        <v>#DIV/0!</v>
      </c>
      <c r="CY65" s="157" t="e">
        <f t="shared" si="7"/>
        <v>#DIV/0!</v>
      </c>
      <c r="CZ65" s="157" t="e">
        <f t="shared" si="8"/>
        <v>#DIV/0!</v>
      </c>
      <c r="DA65" s="157" t="e">
        <f t="shared" si="9"/>
        <v>#DIV/0!</v>
      </c>
      <c r="DB65" s="158" t="e">
        <f t="shared" si="10"/>
        <v>#DIV/0!</v>
      </c>
      <c r="DC65" s="131"/>
      <c r="DD65" s="159">
        <f t="shared" si="11"/>
        <v>-480</v>
      </c>
      <c r="DE65" s="160">
        <f t="shared" si="12"/>
        <v>0</v>
      </c>
      <c r="DF65" s="161">
        <f t="shared" si="13"/>
        <v>-480</v>
      </c>
      <c r="DG65" s="162">
        <f t="shared" si="14"/>
        <v>1</v>
      </c>
      <c r="DH65" s="163">
        <f t="shared" si="15"/>
        <v>0</v>
      </c>
      <c r="DI65" s="164"/>
      <c r="DJ65" s="165">
        <f t="shared" si="50"/>
        <v>0</v>
      </c>
      <c r="DK65" s="166">
        <f t="shared" si="50"/>
        <v>0</v>
      </c>
      <c r="DL65" s="167">
        <f t="shared" si="17"/>
        <v>0</v>
      </c>
      <c r="DM65" s="168" t="e">
        <f t="shared" si="18"/>
        <v>#DIV/0!</v>
      </c>
      <c r="DN65" s="163" t="e">
        <f t="shared" si="19"/>
        <v>#DIV/0!</v>
      </c>
      <c r="DP65" s="170"/>
      <c r="DQ65" s="171"/>
      <c r="DR65" s="172">
        <f t="shared" si="20"/>
        <v>0</v>
      </c>
      <c r="DS65" s="173">
        <f t="shared" si="21"/>
        <v>0</v>
      </c>
      <c r="DT65" s="163">
        <f t="shared" si="22"/>
        <v>0</v>
      </c>
      <c r="DU65" s="174"/>
      <c r="DV65" s="175" t="e">
        <f t="shared" si="23"/>
        <v>#DIV/0!</v>
      </c>
      <c r="DW65" s="163">
        <f t="shared" si="24"/>
        <v>0</v>
      </c>
      <c r="DX65" s="164"/>
      <c r="DY65" s="176">
        <f t="shared" si="25"/>
        <v>0</v>
      </c>
      <c r="DZ65" s="177">
        <f t="shared" si="26"/>
        <v>0</v>
      </c>
      <c r="EA65" s="178">
        <f t="shared" si="27"/>
        <v>-480</v>
      </c>
      <c r="EB65" s="179">
        <f t="shared" si="28"/>
        <v>0</v>
      </c>
      <c r="EC65" s="180"/>
      <c r="ED65" s="175" t="e">
        <f t="shared" si="29"/>
        <v>#DIV/0!</v>
      </c>
      <c r="EE65" s="163">
        <f t="shared" si="30"/>
        <v>0</v>
      </c>
      <c r="EF65" s="164"/>
      <c r="EG65" s="181">
        <f t="shared" si="31"/>
        <v>0</v>
      </c>
      <c r="EH65" s="182">
        <f t="shared" si="32"/>
        <v>0</v>
      </c>
      <c r="EI65" s="182">
        <f t="shared" si="33"/>
        <v>480</v>
      </c>
      <c r="EJ65" s="182">
        <f t="shared" si="34"/>
        <v>0</v>
      </c>
      <c r="EK65" s="183">
        <f t="shared" si="35"/>
        <v>0</v>
      </c>
      <c r="EL65" s="184" t="e">
        <f t="shared" si="36"/>
        <v>#DIV/0!</v>
      </c>
      <c r="EM65" s="185">
        <f t="shared" si="37"/>
        <v>0</v>
      </c>
      <c r="EN65" s="164"/>
      <c r="EO65" s="181">
        <f t="shared" si="38"/>
        <v>0</v>
      </c>
      <c r="EP65" s="183">
        <f t="shared" si="39"/>
        <v>0</v>
      </c>
      <c r="EQ65" s="184" t="e">
        <f t="shared" si="40"/>
        <v>#DIV/0!</v>
      </c>
      <c r="ER65" s="185">
        <f t="shared" si="41"/>
        <v>0</v>
      </c>
      <c r="ES65" s="164"/>
      <c r="ET65" s="164"/>
      <c r="EU65" s="186">
        <f t="shared" si="42"/>
        <v>0</v>
      </c>
      <c r="EV65" s="186">
        <f t="shared" si="43"/>
        <v>-480</v>
      </c>
      <c r="EW65" s="186">
        <f t="shared" si="44"/>
        <v>0</v>
      </c>
      <c r="EX65" s="186">
        <f t="shared" si="45"/>
        <v>0</v>
      </c>
      <c r="EY65" s="131"/>
      <c r="EZ65" s="187">
        <f t="shared" si="46"/>
        <v>0</v>
      </c>
      <c r="FA65" s="188" t="e">
        <f t="shared" si="47"/>
        <v>#DIV/0!</v>
      </c>
      <c r="FB65" s="189"/>
      <c r="FC65" s="131"/>
      <c r="FD65" s="131"/>
      <c r="FE65" s="131"/>
      <c r="FF65" s="131"/>
      <c r="FG65" s="131"/>
    </row>
    <row r="66" spans="2:163" s="169" customFormat="1" ht="16" outlineLevel="1" thickBot="1" x14ac:dyDescent="0.4">
      <c r="B66" s="357"/>
      <c r="C66" s="354"/>
      <c r="D66" s="240"/>
      <c r="E66" s="241"/>
      <c r="F66" s="135"/>
      <c r="G66" s="192"/>
      <c r="H66" s="242"/>
      <c r="I66" s="138">
        <f t="shared" si="0"/>
        <v>0</v>
      </c>
      <c r="J66" s="139"/>
      <c r="K66" s="193">
        <f t="shared" ref="K66:K67" si="54">E66*60</f>
        <v>0</v>
      </c>
      <c r="L66" s="141"/>
      <c r="M66" s="194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4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6"/>
      <c r="AN66" s="197">
        <f t="shared" si="2"/>
        <v>0</v>
      </c>
      <c r="AO66" s="146"/>
      <c r="AP66" s="147">
        <f t="shared" si="3"/>
        <v>0</v>
      </c>
      <c r="AQ66" s="148"/>
      <c r="AR66" s="198"/>
      <c r="AS66" s="198"/>
      <c r="AT66" s="135"/>
      <c r="AU66" s="199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199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2"/>
      <c r="CD66" s="199"/>
      <c r="CE66" s="194"/>
      <c r="CF66" s="195"/>
      <c r="CG66" s="195"/>
      <c r="CH66" s="195"/>
      <c r="CI66" s="195"/>
      <c r="CJ66" s="195"/>
      <c r="CK66" s="195"/>
      <c r="CL66" s="195"/>
      <c r="CM66" s="195"/>
      <c r="CN66" s="195"/>
      <c r="CO66" s="347"/>
      <c r="CP66" s="200"/>
      <c r="CQ66" s="201"/>
      <c r="CR66" s="202"/>
      <c r="CS66" s="203">
        <f t="shared" si="48"/>
        <v>0</v>
      </c>
      <c r="CT66" s="146"/>
      <c r="CU66" s="147">
        <f t="shared" si="4"/>
        <v>0</v>
      </c>
      <c r="CV66" s="156"/>
      <c r="CW66" s="157" t="e">
        <f t="shared" si="5"/>
        <v>#DIV/0!</v>
      </c>
      <c r="CX66" s="157" t="e">
        <f t="shared" si="6"/>
        <v>#DIV/0!</v>
      </c>
      <c r="CY66" s="157" t="e">
        <f t="shared" si="7"/>
        <v>#DIV/0!</v>
      </c>
      <c r="CZ66" s="157" t="e">
        <f t="shared" si="8"/>
        <v>#DIV/0!</v>
      </c>
      <c r="DA66" s="157" t="e">
        <f t="shared" si="9"/>
        <v>#DIV/0!</v>
      </c>
      <c r="DB66" s="158" t="e">
        <f t="shared" si="10"/>
        <v>#DIV/0!</v>
      </c>
      <c r="DC66" s="131"/>
      <c r="DD66" s="159">
        <f t="shared" si="11"/>
        <v>0</v>
      </c>
      <c r="DE66" s="160">
        <f t="shared" si="12"/>
        <v>0</v>
      </c>
      <c r="DF66" s="161">
        <f t="shared" si="13"/>
        <v>0</v>
      </c>
      <c r="DG66" s="162" t="e">
        <f t="shared" si="14"/>
        <v>#DIV/0!</v>
      </c>
      <c r="DH66" s="163">
        <f t="shared" si="15"/>
        <v>0</v>
      </c>
      <c r="DI66" s="164"/>
      <c r="DJ66" s="165">
        <f t="shared" si="50"/>
        <v>0</v>
      </c>
      <c r="DK66" s="166">
        <f t="shared" si="50"/>
        <v>0</v>
      </c>
      <c r="DL66" s="167" t="e">
        <f t="shared" si="17"/>
        <v>#DIV/0!</v>
      </c>
      <c r="DM66" s="168" t="e">
        <f t="shared" si="18"/>
        <v>#DIV/0!</v>
      </c>
      <c r="DN66" s="163" t="e">
        <f t="shared" si="19"/>
        <v>#DIV/0!</v>
      </c>
      <c r="DP66" s="170"/>
      <c r="DQ66" s="171"/>
      <c r="DR66" s="172">
        <f t="shared" si="20"/>
        <v>0</v>
      </c>
      <c r="DS66" s="173" t="e">
        <f t="shared" si="21"/>
        <v>#DIV/0!</v>
      </c>
      <c r="DT66" s="163" t="e">
        <f t="shared" si="22"/>
        <v>#DIV/0!</v>
      </c>
      <c r="DU66" s="174"/>
      <c r="DV66" s="175" t="e">
        <f t="shared" si="23"/>
        <v>#DIV/0!</v>
      </c>
      <c r="DW66" s="163">
        <f t="shared" si="24"/>
        <v>0</v>
      </c>
      <c r="DX66" s="164"/>
      <c r="DY66" s="176">
        <f t="shared" si="25"/>
        <v>0</v>
      </c>
      <c r="DZ66" s="177">
        <f t="shared" si="26"/>
        <v>0</v>
      </c>
      <c r="EA66" s="178">
        <f t="shared" si="27"/>
        <v>0</v>
      </c>
      <c r="EB66" s="179">
        <f t="shared" si="28"/>
        <v>0</v>
      </c>
      <c r="EC66" s="180"/>
      <c r="ED66" s="175" t="e">
        <f t="shared" si="29"/>
        <v>#DIV/0!</v>
      </c>
      <c r="EE66" s="163">
        <f t="shared" si="30"/>
        <v>0</v>
      </c>
      <c r="EF66" s="164"/>
      <c r="EG66" s="181">
        <f t="shared" si="31"/>
        <v>0</v>
      </c>
      <c r="EH66" s="182">
        <f t="shared" si="32"/>
        <v>0</v>
      </c>
      <c r="EI66" s="182">
        <f t="shared" si="33"/>
        <v>0</v>
      </c>
      <c r="EJ66" s="182">
        <f t="shared" si="34"/>
        <v>0</v>
      </c>
      <c r="EK66" s="183">
        <f t="shared" si="35"/>
        <v>0</v>
      </c>
      <c r="EL66" s="184" t="e">
        <f t="shared" si="36"/>
        <v>#DIV/0!</v>
      </c>
      <c r="EM66" s="185">
        <f t="shared" si="37"/>
        <v>0</v>
      </c>
      <c r="EN66" s="164"/>
      <c r="EO66" s="181">
        <f t="shared" si="38"/>
        <v>0</v>
      </c>
      <c r="EP66" s="183">
        <f t="shared" si="39"/>
        <v>0</v>
      </c>
      <c r="EQ66" s="184" t="e">
        <f t="shared" si="40"/>
        <v>#DIV/0!</v>
      </c>
      <c r="ER66" s="185">
        <f t="shared" si="41"/>
        <v>0</v>
      </c>
      <c r="ES66" s="164"/>
      <c r="ET66" s="164"/>
      <c r="EU66" s="186">
        <f t="shared" si="42"/>
        <v>0</v>
      </c>
      <c r="EV66" s="186">
        <f t="shared" si="43"/>
        <v>0</v>
      </c>
      <c r="EW66" s="186">
        <f t="shared" si="44"/>
        <v>0</v>
      </c>
      <c r="EX66" s="186">
        <f t="shared" si="45"/>
        <v>0</v>
      </c>
      <c r="EY66" s="131"/>
      <c r="EZ66" s="187">
        <f t="shared" si="46"/>
        <v>0</v>
      </c>
      <c r="FA66" s="188" t="e">
        <f t="shared" si="47"/>
        <v>#DIV/0!</v>
      </c>
      <c r="FB66" s="189"/>
      <c r="FC66" s="131"/>
      <c r="FD66" s="131"/>
      <c r="FE66" s="131"/>
      <c r="FF66" s="131"/>
      <c r="FG66" s="131"/>
    </row>
    <row r="67" spans="2:163" s="169" customFormat="1" ht="16" outlineLevel="1" thickBot="1" x14ac:dyDescent="0.4">
      <c r="B67" s="358"/>
      <c r="C67" s="355"/>
      <c r="D67" s="243"/>
      <c r="E67" s="244"/>
      <c r="F67" s="135"/>
      <c r="G67" s="192"/>
      <c r="H67" s="245"/>
      <c r="I67" s="138">
        <f t="shared" si="0"/>
        <v>0</v>
      </c>
      <c r="J67" s="139"/>
      <c r="K67" s="208">
        <f t="shared" si="54"/>
        <v>0</v>
      </c>
      <c r="L67" s="141"/>
      <c r="M67" s="209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09"/>
      <c r="AB67" s="210"/>
      <c r="AC67" s="210"/>
      <c r="AD67" s="210"/>
      <c r="AE67" s="210"/>
      <c r="AF67" s="210"/>
      <c r="AG67" s="210"/>
      <c r="AH67" s="210"/>
      <c r="AI67" s="210"/>
      <c r="AJ67" s="210"/>
      <c r="AK67" s="210"/>
      <c r="AL67" s="210"/>
      <c r="AM67" s="211"/>
      <c r="AN67" s="212">
        <f t="shared" si="2"/>
        <v>0</v>
      </c>
      <c r="AO67" s="146"/>
      <c r="AP67" s="147">
        <f t="shared" si="3"/>
        <v>0</v>
      </c>
      <c r="AQ67" s="148"/>
      <c r="AR67" s="213"/>
      <c r="AS67" s="213"/>
      <c r="AT67" s="135"/>
      <c r="AU67" s="214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6"/>
      <c r="BG67" s="216"/>
      <c r="BH67" s="216"/>
      <c r="BI67" s="216"/>
      <c r="BJ67" s="216"/>
      <c r="BK67" s="216"/>
      <c r="BL67" s="216"/>
      <c r="BM67" s="216"/>
      <c r="BN67" s="216"/>
      <c r="BO67" s="216"/>
      <c r="BP67" s="216"/>
      <c r="BQ67" s="216"/>
      <c r="BR67" s="214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7"/>
      <c r="CD67" s="214"/>
      <c r="CE67" s="209"/>
      <c r="CF67" s="210"/>
      <c r="CG67" s="210"/>
      <c r="CH67" s="210"/>
      <c r="CI67" s="210"/>
      <c r="CJ67" s="210"/>
      <c r="CK67" s="210"/>
      <c r="CL67" s="210"/>
      <c r="CM67" s="210"/>
      <c r="CN67" s="210"/>
      <c r="CO67" s="348"/>
      <c r="CP67" s="215"/>
      <c r="CQ67" s="216"/>
      <c r="CR67" s="217"/>
      <c r="CS67" s="218">
        <f t="shared" si="48"/>
        <v>0</v>
      </c>
      <c r="CT67" s="146"/>
      <c r="CU67" s="147">
        <f t="shared" si="4"/>
        <v>0</v>
      </c>
      <c r="CV67" s="156"/>
      <c r="CW67" s="157" t="e">
        <f t="shared" si="5"/>
        <v>#DIV/0!</v>
      </c>
      <c r="CX67" s="157" t="e">
        <f t="shared" si="6"/>
        <v>#DIV/0!</v>
      </c>
      <c r="CY67" s="157" t="e">
        <f t="shared" si="7"/>
        <v>#DIV/0!</v>
      </c>
      <c r="CZ67" s="157" t="e">
        <f t="shared" si="8"/>
        <v>#DIV/0!</v>
      </c>
      <c r="DA67" s="157" t="e">
        <f t="shared" si="9"/>
        <v>#DIV/0!</v>
      </c>
      <c r="DB67" s="158" t="e">
        <f t="shared" si="10"/>
        <v>#DIV/0!</v>
      </c>
      <c r="DC67" s="131"/>
      <c r="DD67" s="159">
        <f t="shared" si="11"/>
        <v>0</v>
      </c>
      <c r="DE67" s="160">
        <f t="shared" si="12"/>
        <v>0</v>
      </c>
      <c r="DF67" s="161">
        <f t="shared" si="13"/>
        <v>0</v>
      </c>
      <c r="DG67" s="162" t="e">
        <f t="shared" si="14"/>
        <v>#DIV/0!</v>
      </c>
      <c r="DH67" s="163">
        <f t="shared" si="15"/>
        <v>0</v>
      </c>
      <c r="DI67" s="164"/>
      <c r="DJ67" s="165">
        <f t="shared" si="50"/>
        <v>0</v>
      </c>
      <c r="DK67" s="166">
        <f t="shared" si="50"/>
        <v>0</v>
      </c>
      <c r="DL67" s="167" t="e">
        <f t="shared" si="17"/>
        <v>#DIV/0!</v>
      </c>
      <c r="DM67" s="168" t="e">
        <f t="shared" si="18"/>
        <v>#DIV/0!</v>
      </c>
      <c r="DN67" s="163" t="e">
        <f t="shared" si="19"/>
        <v>#DIV/0!</v>
      </c>
      <c r="DP67" s="170"/>
      <c r="DQ67" s="171"/>
      <c r="DR67" s="172">
        <f t="shared" si="20"/>
        <v>0</v>
      </c>
      <c r="DS67" s="173" t="e">
        <f t="shared" si="21"/>
        <v>#DIV/0!</v>
      </c>
      <c r="DT67" s="163" t="e">
        <f t="shared" si="22"/>
        <v>#DIV/0!</v>
      </c>
      <c r="DU67" s="174"/>
      <c r="DV67" s="175" t="e">
        <f t="shared" si="23"/>
        <v>#DIV/0!</v>
      </c>
      <c r="DW67" s="163">
        <f t="shared" si="24"/>
        <v>0</v>
      </c>
      <c r="DX67" s="164"/>
      <c r="DY67" s="176">
        <f t="shared" si="25"/>
        <v>0</v>
      </c>
      <c r="DZ67" s="177">
        <f t="shared" si="26"/>
        <v>0</v>
      </c>
      <c r="EA67" s="178">
        <f t="shared" si="27"/>
        <v>0</v>
      </c>
      <c r="EB67" s="179">
        <f t="shared" si="28"/>
        <v>0</v>
      </c>
      <c r="EC67" s="180"/>
      <c r="ED67" s="175" t="e">
        <f t="shared" si="29"/>
        <v>#DIV/0!</v>
      </c>
      <c r="EE67" s="163">
        <f t="shared" si="30"/>
        <v>0</v>
      </c>
      <c r="EF67" s="164"/>
      <c r="EG67" s="181">
        <f t="shared" si="31"/>
        <v>0</v>
      </c>
      <c r="EH67" s="182">
        <f t="shared" si="32"/>
        <v>0</v>
      </c>
      <c r="EI67" s="182">
        <f t="shared" si="33"/>
        <v>0</v>
      </c>
      <c r="EJ67" s="182">
        <f t="shared" si="34"/>
        <v>0</v>
      </c>
      <c r="EK67" s="183">
        <f t="shared" si="35"/>
        <v>0</v>
      </c>
      <c r="EL67" s="184" t="e">
        <f t="shared" si="36"/>
        <v>#DIV/0!</v>
      </c>
      <c r="EM67" s="185">
        <f t="shared" si="37"/>
        <v>0</v>
      </c>
      <c r="EN67" s="164"/>
      <c r="EO67" s="181">
        <f t="shared" si="38"/>
        <v>0</v>
      </c>
      <c r="EP67" s="183">
        <f t="shared" si="39"/>
        <v>0</v>
      </c>
      <c r="EQ67" s="184" t="e">
        <f t="shared" si="40"/>
        <v>#DIV/0!</v>
      </c>
      <c r="ER67" s="185">
        <f t="shared" si="41"/>
        <v>0</v>
      </c>
      <c r="ES67" s="164"/>
      <c r="ET67" s="164"/>
      <c r="EU67" s="186">
        <f t="shared" si="42"/>
        <v>0</v>
      </c>
      <c r="EV67" s="186">
        <f t="shared" si="43"/>
        <v>0</v>
      </c>
      <c r="EW67" s="186">
        <f t="shared" si="44"/>
        <v>0</v>
      </c>
      <c r="EX67" s="186">
        <f t="shared" si="45"/>
        <v>0</v>
      </c>
      <c r="EY67" s="131"/>
      <c r="EZ67" s="187">
        <f t="shared" si="46"/>
        <v>0</v>
      </c>
      <c r="FA67" s="188" t="e">
        <f t="shared" si="47"/>
        <v>#DIV/0!</v>
      </c>
      <c r="FB67" s="189"/>
      <c r="FC67" s="131"/>
      <c r="FD67" s="131"/>
      <c r="FE67" s="131"/>
      <c r="FF67" s="131"/>
      <c r="FG67" s="131"/>
    </row>
    <row r="68" spans="2:163" ht="16" outlineLevel="1" thickBot="1" x14ac:dyDescent="0.4">
      <c r="B68" s="356"/>
      <c r="C68" s="353"/>
      <c r="D68" s="133"/>
      <c r="E68" s="134"/>
      <c r="F68" s="135"/>
      <c r="G68" s="136"/>
      <c r="H68" s="137"/>
      <c r="I68" s="138">
        <f>IF(E68&gt;0.0001,9.4,0)</f>
        <v>0</v>
      </c>
      <c r="J68" s="139"/>
      <c r="K68" s="140">
        <f>E68*60</f>
        <v>0</v>
      </c>
      <c r="L68" s="141"/>
      <c r="M68" s="142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2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4"/>
      <c r="AN68" s="145">
        <f t="shared" si="2"/>
        <v>0</v>
      </c>
      <c r="AO68" s="146"/>
      <c r="AP68" s="147">
        <f t="shared" si="3"/>
        <v>0</v>
      </c>
      <c r="AQ68" s="148"/>
      <c r="AR68" s="149"/>
      <c r="AS68" s="149"/>
      <c r="AT68" s="135"/>
      <c r="AU68" s="150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0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4"/>
      <c r="CD68" s="150"/>
      <c r="CE68" s="142"/>
      <c r="CF68" s="143"/>
      <c r="CG68" s="143"/>
      <c r="CH68" s="143"/>
      <c r="CI68" s="143"/>
      <c r="CJ68" s="143"/>
      <c r="CK68" s="143"/>
      <c r="CL68" s="143"/>
      <c r="CM68" s="143"/>
      <c r="CN68" s="143"/>
      <c r="CO68" s="346"/>
      <c r="CP68" s="151"/>
      <c r="CQ68" s="152"/>
      <c r="CR68" s="154"/>
      <c r="CS68" s="155">
        <f t="shared" si="48"/>
        <v>0</v>
      </c>
      <c r="CT68" s="146"/>
      <c r="CU68" s="147">
        <f t="shared" si="4"/>
        <v>0</v>
      </c>
      <c r="CV68" s="156"/>
      <c r="CW68" s="157" t="e">
        <f t="shared" si="5"/>
        <v>#DIV/0!</v>
      </c>
      <c r="CX68" s="157" t="e">
        <f t="shared" si="6"/>
        <v>#DIV/0!</v>
      </c>
      <c r="CY68" s="157" t="e">
        <f t="shared" si="7"/>
        <v>#DIV/0!</v>
      </c>
      <c r="CZ68" s="157" t="e">
        <f t="shared" si="8"/>
        <v>#DIV/0!</v>
      </c>
      <c r="DA68" s="157" t="e">
        <f t="shared" si="9"/>
        <v>#DIV/0!</v>
      </c>
      <c r="DB68" s="158" t="e">
        <f t="shared" si="10"/>
        <v>#DIV/0!</v>
      </c>
      <c r="DC68" s="131"/>
      <c r="DD68" s="159">
        <f t="shared" si="11"/>
        <v>0</v>
      </c>
      <c r="DE68" s="160">
        <f t="shared" si="12"/>
        <v>0</v>
      </c>
      <c r="DF68" s="161">
        <f t="shared" si="13"/>
        <v>0</v>
      </c>
      <c r="DG68" s="162" t="e">
        <f t="shared" si="14"/>
        <v>#DIV/0!</v>
      </c>
      <c r="DH68" s="163">
        <f t="shared" si="15"/>
        <v>0</v>
      </c>
      <c r="DI68" s="164"/>
      <c r="DJ68" s="165">
        <f t="shared" ref="DJ68:DK103" si="55">H68</f>
        <v>0</v>
      </c>
      <c r="DK68" s="166">
        <f t="shared" si="55"/>
        <v>0</v>
      </c>
      <c r="DL68" s="167" t="e">
        <f t="shared" si="17"/>
        <v>#DIV/0!</v>
      </c>
      <c r="DM68" s="168" t="e">
        <f t="shared" si="18"/>
        <v>#DIV/0!</v>
      </c>
      <c r="DN68" s="163" t="e">
        <f t="shared" si="19"/>
        <v>#DIV/0!</v>
      </c>
      <c r="DO68" s="169"/>
      <c r="DP68" s="170"/>
      <c r="DQ68" s="171"/>
      <c r="DR68" s="172">
        <f t="shared" si="20"/>
        <v>0</v>
      </c>
      <c r="DS68" s="173" t="e">
        <f t="shared" si="21"/>
        <v>#DIV/0!</v>
      </c>
      <c r="DT68" s="163" t="e">
        <f t="shared" si="22"/>
        <v>#DIV/0!</v>
      </c>
      <c r="DU68" s="174"/>
      <c r="DV68" s="175" t="e">
        <f t="shared" si="23"/>
        <v>#DIV/0!</v>
      </c>
      <c r="DW68" s="163">
        <f t="shared" si="24"/>
        <v>0</v>
      </c>
      <c r="DX68" s="164"/>
      <c r="DY68" s="176">
        <f t="shared" si="25"/>
        <v>0</v>
      </c>
      <c r="DZ68" s="177">
        <f t="shared" si="26"/>
        <v>0</v>
      </c>
      <c r="EA68" s="178">
        <f t="shared" si="27"/>
        <v>0</v>
      </c>
      <c r="EB68" s="179">
        <f t="shared" si="28"/>
        <v>0</v>
      </c>
      <c r="EC68" s="180"/>
      <c r="ED68" s="175" t="e">
        <f t="shared" si="29"/>
        <v>#DIV/0!</v>
      </c>
      <c r="EE68" s="163">
        <f t="shared" si="30"/>
        <v>0</v>
      </c>
      <c r="EF68" s="164"/>
      <c r="EG68" s="181">
        <f t="shared" si="31"/>
        <v>0</v>
      </c>
      <c r="EH68" s="182">
        <f t="shared" si="32"/>
        <v>0</v>
      </c>
      <c r="EI68" s="182">
        <f t="shared" si="33"/>
        <v>0</v>
      </c>
      <c r="EJ68" s="182">
        <f t="shared" si="34"/>
        <v>0</v>
      </c>
      <c r="EK68" s="183">
        <f t="shared" si="35"/>
        <v>0</v>
      </c>
      <c r="EL68" s="184" t="e">
        <f t="shared" si="36"/>
        <v>#DIV/0!</v>
      </c>
      <c r="EM68" s="185">
        <f t="shared" si="37"/>
        <v>0</v>
      </c>
      <c r="EN68" s="164"/>
      <c r="EO68" s="181">
        <f t="shared" si="38"/>
        <v>0</v>
      </c>
      <c r="EP68" s="183">
        <f t="shared" si="39"/>
        <v>0</v>
      </c>
      <c r="EQ68" s="184" t="e">
        <f t="shared" si="40"/>
        <v>#DIV/0!</v>
      </c>
      <c r="ER68" s="185">
        <f t="shared" si="41"/>
        <v>0</v>
      </c>
      <c r="ES68" s="164"/>
      <c r="ET68" s="164"/>
      <c r="EU68" s="186">
        <f t="shared" si="42"/>
        <v>0</v>
      </c>
      <c r="EV68" s="186">
        <f t="shared" si="43"/>
        <v>0</v>
      </c>
      <c r="EW68" s="186">
        <f t="shared" si="44"/>
        <v>0</v>
      </c>
      <c r="EX68" s="186">
        <f t="shared" si="45"/>
        <v>0</v>
      </c>
      <c r="EY68" s="131"/>
      <c r="EZ68" s="187">
        <f t="shared" si="46"/>
        <v>0</v>
      </c>
      <c r="FA68" s="188" t="e">
        <f t="shared" si="47"/>
        <v>#DIV/0!</v>
      </c>
      <c r="FB68" s="189"/>
      <c r="FC68" s="131"/>
      <c r="FD68" s="131"/>
      <c r="FE68" s="131"/>
      <c r="FF68" s="131"/>
      <c r="FG68" s="131"/>
    </row>
    <row r="69" spans="2:163" ht="16" outlineLevel="1" thickBot="1" x14ac:dyDescent="0.4">
      <c r="B69" s="357"/>
      <c r="C69" s="354"/>
      <c r="D69" s="240"/>
      <c r="E69" s="241"/>
      <c r="F69" s="135"/>
      <c r="G69" s="192"/>
      <c r="H69" s="242"/>
      <c r="I69" s="138">
        <f t="shared" ref="I69:I106" si="56">IF(E69&gt;0.0001,0,0)</f>
        <v>0</v>
      </c>
      <c r="J69" s="139"/>
      <c r="K69" s="193">
        <f t="shared" ref="K69:K70" si="57">E69*60</f>
        <v>0</v>
      </c>
      <c r="L69" s="141"/>
      <c r="M69" s="194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4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6"/>
      <c r="AN69" s="197">
        <f t="shared" ref="AN69:AN106" si="58">SUM(M69:AM69)</f>
        <v>0</v>
      </c>
      <c r="AO69" s="146"/>
      <c r="AP69" s="147">
        <f t="shared" ref="AP69:AP106" si="59">K69-AN69</f>
        <v>0</v>
      </c>
      <c r="AQ69" s="148"/>
      <c r="AR69" s="198"/>
      <c r="AS69" s="198"/>
      <c r="AT69" s="135"/>
      <c r="AU69" s="199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199"/>
      <c r="BS69" s="200"/>
      <c r="BT69" s="200"/>
      <c r="BU69" s="200"/>
      <c r="BV69" s="200"/>
      <c r="BW69" s="200"/>
      <c r="BX69" s="200"/>
      <c r="BY69" s="200"/>
      <c r="BZ69" s="200"/>
      <c r="CA69" s="200"/>
      <c r="CB69" s="200"/>
      <c r="CC69" s="202"/>
      <c r="CD69" s="199"/>
      <c r="CE69" s="194"/>
      <c r="CF69" s="195"/>
      <c r="CG69" s="195"/>
      <c r="CH69" s="195"/>
      <c r="CI69" s="195"/>
      <c r="CJ69" s="195"/>
      <c r="CK69" s="195"/>
      <c r="CL69" s="195"/>
      <c r="CM69" s="195"/>
      <c r="CN69" s="195"/>
      <c r="CO69" s="347"/>
      <c r="CP69" s="200"/>
      <c r="CQ69" s="201"/>
      <c r="CR69" s="202"/>
      <c r="CS69" s="203">
        <f t="shared" ref="CS69:CS100" si="60">SUM(AU69:CR69)</f>
        <v>0</v>
      </c>
      <c r="CT69" s="146"/>
      <c r="CU69" s="147">
        <f t="shared" ref="CU69:CU106" si="61">AP69-CS69</f>
        <v>0</v>
      </c>
      <c r="CV69" s="156"/>
      <c r="CW69" s="157" t="e">
        <f t="shared" ref="CW69:CW106" si="62">(SUM(M69:Z69))/K69</f>
        <v>#DIV/0!</v>
      </c>
      <c r="CX69" s="157" t="e">
        <f t="shared" ref="CX69:CX107" si="63">(SUM(AA69:AM69))/K69</f>
        <v>#DIV/0!</v>
      </c>
      <c r="CY69" s="157" t="e">
        <f t="shared" ref="CY69:CY107" si="64">(SUM(AU69:BQ69))/$K69</f>
        <v>#DIV/0!</v>
      </c>
      <c r="CZ69" s="157" t="e">
        <f t="shared" ref="CZ69:CZ107" si="65">(SUM(BR69:CC69))/K69</f>
        <v>#DIV/0!</v>
      </c>
      <c r="DA69" s="157" t="e">
        <f t="shared" ref="DA69:DA107" si="66">(SUM(CD69:CR69))/K69</f>
        <v>#DIV/0!</v>
      </c>
      <c r="DB69" s="158" t="e">
        <f t="shared" ref="DB69:DB107" si="67">CU69/K69</f>
        <v>#DIV/0!</v>
      </c>
      <c r="DC69" s="131"/>
      <c r="DD69" s="159">
        <f t="shared" ref="DD69:DD106" si="68">AP69</f>
        <v>0</v>
      </c>
      <c r="DE69" s="160">
        <f t="shared" ref="DE69:DE106" si="69">CS69</f>
        <v>0</v>
      </c>
      <c r="DF69" s="161">
        <f t="shared" ref="DF69:DF107" si="70">$DD69-DE69</f>
        <v>0</v>
      </c>
      <c r="DG69" s="162" t="e">
        <f t="shared" ref="DG69:DG106" si="71">DF69/$DD69</f>
        <v>#DIV/0!</v>
      </c>
      <c r="DH69" s="163">
        <f t="shared" ref="DH69:DH106" si="72">IF(AP69&gt;0.01,1,0)</f>
        <v>0</v>
      </c>
      <c r="DI69" s="164"/>
      <c r="DJ69" s="165">
        <f t="shared" si="55"/>
        <v>0</v>
      </c>
      <c r="DK69" s="166">
        <f t="shared" si="55"/>
        <v>0</v>
      </c>
      <c r="DL69" s="167" t="e">
        <f t="shared" ref="DL69:DL106" si="73">DR69/DF69</f>
        <v>#DIV/0!</v>
      </c>
      <c r="DM69" s="168" t="e">
        <f t="shared" ref="DM69:DM106" si="74">DL69/DK69</f>
        <v>#DIV/0!</v>
      </c>
      <c r="DN69" s="163" t="e">
        <f t="shared" ref="DN69:DN106" si="75">IF(DM69&gt;0.01,1,0)</f>
        <v>#DIV/0!</v>
      </c>
      <c r="DO69" s="169"/>
      <c r="DP69" s="170"/>
      <c r="DQ69" s="171"/>
      <c r="DR69" s="172">
        <f t="shared" ref="DR69:DR107" si="76">DP69+DQ69</f>
        <v>0</v>
      </c>
      <c r="DS69" s="173" t="e">
        <f t="shared" ref="DS69:DS106" si="77">IF(DL69=0,0,DP69/DR69)</f>
        <v>#DIV/0!</v>
      </c>
      <c r="DT69" s="163" t="e">
        <f t="shared" ref="DT69:DT106" si="78">IF(DS69&gt;0.01,1,0)</f>
        <v>#DIV/0!</v>
      </c>
      <c r="DU69" s="174"/>
      <c r="DV69" s="175" t="e">
        <f t="shared" ref="DV69:DV106" si="79">DG69*DM69*DS69</f>
        <v>#DIV/0!</v>
      </c>
      <c r="DW69" s="163">
        <f t="shared" ref="DW69:DW106" si="80">IF($AP69&gt;0.01,1,0)</f>
        <v>0</v>
      </c>
      <c r="DX69" s="164"/>
      <c r="DY69" s="176">
        <f t="shared" ref="DY69:DY107" si="81">DP69</f>
        <v>0</v>
      </c>
      <c r="DZ69" s="177">
        <f t="shared" ref="DZ69:DZ106" si="82">DK69</f>
        <v>0</v>
      </c>
      <c r="EA69" s="178">
        <f t="shared" ref="EA69:EA106" si="83">+AP69</f>
        <v>0</v>
      </c>
      <c r="EB69" s="179">
        <f t="shared" ref="EB69:EB106" si="84">DZ69*EA69</f>
        <v>0</v>
      </c>
      <c r="EC69" s="180"/>
      <c r="ED69" s="175" t="e">
        <f t="shared" ref="ED69:ED106" si="85">DY69/EB69</f>
        <v>#DIV/0!</v>
      </c>
      <c r="EE69" s="163">
        <f t="shared" ref="EE69:EE106" si="86">IF($AP69&gt;0.01,1,0)</f>
        <v>0</v>
      </c>
      <c r="EF69" s="164"/>
      <c r="EG69" s="181">
        <f t="shared" ref="EG69:EG106" si="87">DP69</f>
        <v>0</v>
      </c>
      <c r="EH69" s="182">
        <f t="shared" ref="EH69:EH106" si="88">K69</f>
        <v>0</v>
      </c>
      <c r="EI69" s="182">
        <f t="shared" ref="EI69:EI106" si="89">SUM(M69:Z69)</f>
        <v>0</v>
      </c>
      <c r="EJ69" s="182">
        <f t="shared" ref="EJ69:EJ106" si="90">I69</f>
        <v>0</v>
      </c>
      <c r="EK69" s="183">
        <f t="shared" ref="EK69:EK106" si="91">(EH69-EI69)*EJ69</f>
        <v>0</v>
      </c>
      <c r="EL69" s="184" t="e">
        <f t="shared" ref="EL69:EL106" si="92">EG69/EK69</f>
        <v>#DIV/0!</v>
      </c>
      <c r="EM69" s="185">
        <f t="shared" ref="EM69:EM106" si="93">IF(EK69&gt;0.01,1,0)</f>
        <v>0</v>
      </c>
      <c r="EN69" s="164"/>
      <c r="EO69" s="181">
        <f t="shared" ref="EO69:EO106" si="94">EG69</f>
        <v>0</v>
      </c>
      <c r="EP69" s="183">
        <f t="shared" ref="EP69:EP106" si="95">EJ69</f>
        <v>0</v>
      </c>
      <c r="EQ69" s="184" t="e">
        <f t="shared" ref="EQ69:EQ106" si="96">EO69/(EP69*K69)</f>
        <v>#DIV/0!</v>
      </c>
      <c r="ER69" s="185">
        <f t="shared" ref="ER69:ER106" si="97">IF($K69&gt;0.01,1,0)</f>
        <v>0</v>
      </c>
      <c r="ES69" s="164"/>
      <c r="ET69" s="164"/>
      <c r="EU69" s="186">
        <f t="shared" ref="EU69:EU107" si="98">DK69</f>
        <v>0</v>
      </c>
      <c r="EV69" s="186">
        <f t="shared" ref="EV69:EV106" si="99">CU69</f>
        <v>0</v>
      </c>
      <c r="EW69" s="186">
        <f t="shared" ref="EW69:EW106" si="100">I69*CU69</f>
        <v>0</v>
      </c>
      <c r="EX69" s="186">
        <f t="shared" ref="EX69:EX106" si="101">DR69</f>
        <v>0</v>
      </c>
      <c r="EY69" s="131"/>
      <c r="EZ69" s="187">
        <f t="shared" ref="EZ69:EZ106" si="102">EW69-EX69</f>
        <v>0</v>
      </c>
      <c r="FA69" s="188" t="e">
        <f t="shared" ref="FA69:FA106" si="103">+IF(EZ69/I69&lt;0,0,(EZ69/I69))</f>
        <v>#DIV/0!</v>
      </c>
      <c r="FB69" s="189"/>
      <c r="FC69" s="131"/>
      <c r="FD69" s="131"/>
      <c r="FE69" s="131"/>
      <c r="FF69" s="131"/>
      <c r="FG69" s="131"/>
    </row>
    <row r="70" spans="2:163" ht="16" outlineLevel="1" thickBot="1" x14ac:dyDescent="0.4">
      <c r="B70" s="358"/>
      <c r="C70" s="355"/>
      <c r="D70" s="243"/>
      <c r="E70" s="244"/>
      <c r="F70" s="135"/>
      <c r="G70" s="192"/>
      <c r="H70" s="245"/>
      <c r="I70" s="138">
        <f t="shared" si="56"/>
        <v>0</v>
      </c>
      <c r="J70" s="139"/>
      <c r="K70" s="208">
        <f t="shared" si="57"/>
        <v>0</v>
      </c>
      <c r="L70" s="141"/>
      <c r="M70" s="209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09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1"/>
      <c r="AN70" s="212">
        <f t="shared" si="58"/>
        <v>0</v>
      </c>
      <c r="AO70" s="146"/>
      <c r="AP70" s="147">
        <f t="shared" si="59"/>
        <v>0</v>
      </c>
      <c r="AQ70" s="148"/>
      <c r="AR70" s="213"/>
      <c r="AS70" s="213"/>
      <c r="AT70" s="135"/>
      <c r="AU70" s="214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6"/>
      <c r="BG70" s="216"/>
      <c r="BH70" s="216"/>
      <c r="BI70" s="216"/>
      <c r="BJ70" s="216"/>
      <c r="BK70" s="216"/>
      <c r="BL70" s="216"/>
      <c r="BM70" s="216"/>
      <c r="BN70" s="216"/>
      <c r="BO70" s="216"/>
      <c r="BP70" s="216"/>
      <c r="BQ70" s="216"/>
      <c r="BR70" s="214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7"/>
      <c r="CD70" s="214"/>
      <c r="CE70" s="209"/>
      <c r="CF70" s="210"/>
      <c r="CG70" s="210"/>
      <c r="CH70" s="210"/>
      <c r="CI70" s="210"/>
      <c r="CJ70" s="210"/>
      <c r="CK70" s="210"/>
      <c r="CL70" s="210"/>
      <c r="CM70" s="210"/>
      <c r="CN70" s="210"/>
      <c r="CO70" s="348"/>
      <c r="CP70" s="215"/>
      <c r="CQ70" s="216"/>
      <c r="CR70" s="217"/>
      <c r="CS70" s="218">
        <f t="shared" si="60"/>
        <v>0</v>
      </c>
      <c r="CT70" s="146"/>
      <c r="CU70" s="147">
        <f t="shared" si="61"/>
        <v>0</v>
      </c>
      <c r="CV70" s="156"/>
      <c r="CW70" s="157" t="e">
        <f t="shared" si="62"/>
        <v>#DIV/0!</v>
      </c>
      <c r="CX70" s="157" t="e">
        <f t="shared" si="63"/>
        <v>#DIV/0!</v>
      </c>
      <c r="CY70" s="157" t="e">
        <f t="shared" si="64"/>
        <v>#DIV/0!</v>
      </c>
      <c r="CZ70" s="157" t="e">
        <f t="shared" si="65"/>
        <v>#DIV/0!</v>
      </c>
      <c r="DA70" s="157" t="e">
        <f t="shared" si="66"/>
        <v>#DIV/0!</v>
      </c>
      <c r="DB70" s="158" t="e">
        <f t="shared" si="67"/>
        <v>#DIV/0!</v>
      </c>
      <c r="DC70" s="131"/>
      <c r="DD70" s="159">
        <f t="shared" si="68"/>
        <v>0</v>
      </c>
      <c r="DE70" s="160">
        <f t="shared" si="69"/>
        <v>0</v>
      </c>
      <c r="DF70" s="161">
        <f t="shared" si="70"/>
        <v>0</v>
      </c>
      <c r="DG70" s="162" t="e">
        <f t="shared" si="71"/>
        <v>#DIV/0!</v>
      </c>
      <c r="DH70" s="163">
        <f t="shared" si="72"/>
        <v>0</v>
      </c>
      <c r="DI70" s="164"/>
      <c r="DJ70" s="165">
        <f t="shared" si="55"/>
        <v>0</v>
      </c>
      <c r="DK70" s="166">
        <f t="shared" si="55"/>
        <v>0</v>
      </c>
      <c r="DL70" s="167" t="e">
        <f t="shared" si="73"/>
        <v>#DIV/0!</v>
      </c>
      <c r="DM70" s="168" t="e">
        <f t="shared" si="74"/>
        <v>#DIV/0!</v>
      </c>
      <c r="DN70" s="163" t="e">
        <f t="shared" si="75"/>
        <v>#DIV/0!</v>
      </c>
      <c r="DO70" s="169"/>
      <c r="DP70" s="170"/>
      <c r="DQ70" s="171"/>
      <c r="DR70" s="172">
        <f t="shared" si="76"/>
        <v>0</v>
      </c>
      <c r="DS70" s="173" t="e">
        <f t="shared" si="77"/>
        <v>#DIV/0!</v>
      </c>
      <c r="DT70" s="163" t="e">
        <f t="shared" si="78"/>
        <v>#DIV/0!</v>
      </c>
      <c r="DU70" s="174"/>
      <c r="DV70" s="175" t="e">
        <f t="shared" si="79"/>
        <v>#DIV/0!</v>
      </c>
      <c r="DW70" s="163">
        <f t="shared" si="80"/>
        <v>0</v>
      </c>
      <c r="DX70" s="164"/>
      <c r="DY70" s="176">
        <f t="shared" si="81"/>
        <v>0</v>
      </c>
      <c r="DZ70" s="177">
        <f t="shared" si="82"/>
        <v>0</v>
      </c>
      <c r="EA70" s="178">
        <f t="shared" si="83"/>
        <v>0</v>
      </c>
      <c r="EB70" s="179">
        <f t="shared" si="84"/>
        <v>0</v>
      </c>
      <c r="EC70" s="180"/>
      <c r="ED70" s="175" t="e">
        <f t="shared" si="85"/>
        <v>#DIV/0!</v>
      </c>
      <c r="EE70" s="163">
        <f t="shared" si="86"/>
        <v>0</v>
      </c>
      <c r="EF70" s="164"/>
      <c r="EG70" s="181">
        <f t="shared" si="87"/>
        <v>0</v>
      </c>
      <c r="EH70" s="182">
        <f t="shared" si="88"/>
        <v>0</v>
      </c>
      <c r="EI70" s="182">
        <f t="shared" si="89"/>
        <v>0</v>
      </c>
      <c r="EJ70" s="182">
        <f t="shared" si="90"/>
        <v>0</v>
      </c>
      <c r="EK70" s="183">
        <f t="shared" si="91"/>
        <v>0</v>
      </c>
      <c r="EL70" s="184" t="e">
        <f t="shared" si="92"/>
        <v>#DIV/0!</v>
      </c>
      <c r="EM70" s="185">
        <f t="shared" si="93"/>
        <v>0</v>
      </c>
      <c r="EN70" s="164"/>
      <c r="EO70" s="181">
        <f t="shared" si="94"/>
        <v>0</v>
      </c>
      <c r="EP70" s="183">
        <f t="shared" si="95"/>
        <v>0</v>
      </c>
      <c r="EQ70" s="184" t="e">
        <f t="shared" si="96"/>
        <v>#DIV/0!</v>
      </c>
      <c r="ER70" s="185">
        <f t="shared" si="97"/>
        <v>0</v>
      </c>
      <c r="ES70" s="164"/>
      <c r="ET70" s="164"/>
      <c r="EU70" s="186">
        <f t="shared" si="98"/>
        <v>0</v>
      </c>
      <c r="EV70" s="186">
        <f t="shared" si="99"/>
        <v>0</v>
      </c>
      <c r="EW70" s="186">
        <f t="shared" si="100"/>
        <v>0</v>
      </c>
      <c r="EX70" s="186">
        <f t="shared" si="101"/>
        <v>0</v>
      </c>
      <c r="EY70" s="131"/>
      <c r="EZ70" s="187">
        <f t="shared" si="102"/>
        <v>0</v>
      </c>
      <c r="FA70" s="188" t="e">
        <f t="shared" si="103"/>
        <v>#DIV/0!</v>
      </c>
      <c r="FB70" s="189"/>
      <c r="FC70" s="131"/>
      <c r="FD70" s="131"/>
      <c r="FE70" s="131"/>
      <c r="FF70" s="131"/>
      <c r="FG70" s="131"/>
    </row>
    <row r="71" spans="2:163" ht="16" outlineLevel="1" thickBot="1" x14ac:dyDescent="0.4">
      <c r="B71" s="356"/>
      <c r="C71" s="353"/>
      <c r="D71" s="133"/>
      <c r="E71" s="134"/>
      <c r="F71" s="135"/>
      <c r="G71" s="136"/>
      <c r="H71" s="137"/>
      <c r="I71" s="138">
        <f>IF(E71&gt;0.0001,9.4,0)</f>
        <v>0</v>
      </c>
      <c r="J71" s="139"/>
      <c r="K71" s="140">
        <f>E71*60</f>
        <v>0</v>
      </c>
      <c r="L71" s="141"/>
      <c r="M71" s="142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2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4"/>
      <c r="AN71" s="145">
        <f t="shared" si="58"/>
        <v>0</v>
      </c>
      <c r="AO71" s="146"/>
      <c r="AP71" s="147">
        <f t="shared" si="59"/>
        <v>0</v>
      </c>
      <c r="AQ71" s="148"/>
      <c r="AR71" s="149"/>
      <c r="AS71" s="149"/>
      <c r="AT71" s="135"/>
      <c r="AU71" s="150"/>
      <c r="AV71" s="151"/>
      <c r="AW71" s="151"/>
      <c r="AX71" s="151"/>
      <c r="AY71" s="151"/>
      <c r="AZ71" s="151"/>
      <c r="BA71" s="151"/>
      <c r="BB71" s="151"/>
      <c r="BC71" s="151"/>
      <c r="BD71" s="151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0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4"/>
      <c r="CD71" s="150"/>
      <c r="CE71" s="142"/>
      <c r="CF71" s="143"/>
      <c r="CG71" s="143"/>
      <c r="CH71" s="143"/>
      <c r="CI71" s="143"/>
      <c r="CJ71" s="143"/>
      <c r="CK71" s="143"/>
      <c r="CL71" s="143"/>
      <c r="CM71" s="143"/>
      <c r="CN71" s="143"/>
      <c r="CO71" s="346"/>
      <c r="CP71" s="151"/>
      <c r="CQ71" s="152"/>
      <c r="CR71" s="154"/>
      <c r="CS71" s="155">
        <f t="shared" si="60"/>
        <v>0</v>
      </c>
      <c r="CT71" s="146"/>
      <c r="CU71" s="147">
        <f t="shared" si="61"/>
        <v>0</v>
      </c>
      <c r="CV71" s="156"/>
      <c r="CW71" s="157" t="e">
        <f t="shared" si="62"/>
        <v>#DIV/0!</v>
      </c>
      <c r="CX71" s="157" t="e">
        <f t="shared" si="63"/>
        <v>#DIV/0!</v>
      </c>
      <c r="CY71" s="157" t="e">
        <f t="shared" si="64"/>
        <v>#DIV/0!</v>
      </c>
      <c r="CZ71" s="157" t="e">
        <f t="shared" si="65"/>
        <v>#DIV/0!</v>
      </c>
      <c r="DA71" s="157" t="e">
        <f t="shared" si="66"/>
        <v>#DIV/0!</v>
      </c>
      <c r="DB71" s="158" t="e">
        <f t="shared" si="67"/>
        <v>#DIV/0!</v>
      </c>
      <c r="DC71" s="131"/>
      <c r="DD71" s="159">
        <f t="shared" si="68"/>
        <v>0</v>
      </c>
      <c r="DE71" s="160">
        <f t="shared" si="69"/>
        <v>0</v>
      </c>
      <c r="DF71" s="161">
        <f t="shared" si="70"/>
        <v>0</v>
      </c>
      <c r="DG71" s="162" t="e">
        <f t="shared" si="71"/>
        <v>#DIV/0!</v>
      </c>
      <c r="DH71" s="163">
        <f t="shared" si="72"/>
        <v>0</v>
      </c>
      <c r="DI71" s="164"/>
      <c r="DJ71" s="165">
        <f t="shared" si="55"/>
        <v>0</v>
      </c>
      <c r="DK71" s="166">
        <f t="shared" si="55"/>
        <v>0</v>
      </c>
      <c r="DL71" s="167" t="e">
        <f t="shared" si="73"/>
        <v>#DIV/0!</v>
      </c>
      <c r="DM71" s="168" t="e">
        <f t="shared" si="74"/>
        <v>#DIV/0!</v>
      </c>
      <c r="DN71" s="163" t="e">
        <f t="shared" si="75"/>
        <v>#DIV/0!</v>
      </c>
      <c r="DO71" s="169"/>
      <c r="DP71" s="170"/>
      <c r="DQ71" s="171"/>
      <c r="DR71" s="172">
        <f t="shared" si="76"/>
        <v>0</v>
      </c>
      <c r="DS71" s="173" t="e">
        <f t="shared" si="77"/>
        <v>#DIV/0!</v>
      </c>
      <c r="DT71" s="163" t="e">
        <f t="shared" si="78"/>
        <v>#DIV/0!</v>
      </c>
      <c r="DU71" s="174"/>
      <c r="DV71" s="175" t="e">
        <f t="shared" si="79"/>
        <v>#DIV/0!</v>
      </c>
      <c r="DW71" s="163">
        <f t="shared" si="80"/>
        <v>0</v>
      </c>
      <c r="DX71" s="164"/>
      <c r="DY71" s="176">
        <f t="shared" si="81"/>
        <v>0</v>
      </c>
      <c r="DZ71" s="177">
        <f t="shared" si="82"/>
        <v>0</v>
      </c>
      <c r="EA71" s="178">
        <f t="shared" si="83"/>
        <v>0</v>
      </c>
      <c r="EB71" s="179">
        <f t="shared" si="84"/>
        <v>0</v>
      </c>
      <c r="EC71" s="180"/>
      <c r="ED71" s="175" t="e">
        <f t="shared" si="85"/>
        <v>#DIV/0!</v>
      </c>
      <c r="EE71" s="163">
        <f t="shared" si="86"/>
        <v>0</v>
      </c>
      <c r="EF71" s="164"/>
      <c r="EG71" s="181">
        <f t="shared" si="87"/>
        <v>0</v>
      </c>
      <c r="EH71" s="182">
        <f t="shared" si="88"/>
        <v>0</v>
      </c>
      <c r="EI71" s="182">
        <f t="shared" si="89"/>
        <v>0</v>
      </c>
      <c r="EJ71" s="182">
        <f t="shared" si="90"/>
        <v>0</v>
      </c>
      <c r="EK71" s="183">
        <f t="shared" si="91"/>
        <v>0</v>
      </c>
      <c r="EL71" s="184" t="e">
        <f t="shared" si="92"/>
        <v>#DIV/0!</v>
      </c>
      <c r="EM71" s="185">
        <f t="shared" si="93"/>
        <v>0</v>
      </c>
      <c r="EN71" s="164"/>
      <c r="EO71" s="181">
        <f t="shared" si="94"/>
        <v>0</v>
      </c>
      <c r="EP71" s="183">
        <f t="shared" si="95"/>
        <v>0</v>
      </c>
      <c r="EQ71" s="184" t="e">
        <f t="shared" si="96"/>
        <v>#DIV/0!</v>
      </c>
      <c r="ER71" s="185">
        <f t="shared" si="97"/>
        <v>0</v>
      </c>
      <c r="ES71" s="164"/>
      <c r="ET71" s="164"/>
      <c r="EU71" s="186">
        <f t="shared" si="98"/>
        <v>0</v>
      </c>
      <c r="EV71" s="186">
        <f t="shared" si="99"/>
        <v>0</v>
      </c>
      <c r="EW71" s="186">
        <f t="shared" si="100"/>
        <v>0</v>
      </c>
      <c r="EX71" s="186">
        <f t="shared" si="101"/>
        <v>0</v>
      </c>
      <c r="EY71" s="131"/>
      <c r="EZ71" s="187">
        <f t="shared" si="102"/>
        <v>0</v>
      </c>
      <c r="FA71" s="188" t="e">
        <f t="shared" si="103"/>
        <v>#DIV/0!</v>
      </c>
      <c r="FB71" s="189"/>
      <c r="FC71" s="131"/>
      <c r="FD71" s="131"/>
      <c r="FE71" s="131"/>
      <c r="FF71" s="131"/>
      <c r="FG71" s="131"/>
    </row>
    <row r="72" spans="2:163" ht="16" outlineLevel="1" thickBot="1" x14ac:dyDescent="0.4">
      <c r="B72" s="357"/>
      <c r="C72" s="354"/>
      <c r="D72" s="240"/>
      <c r="E72" s="241"/>
      <c r="F72" s="135"/>
      <c r="G72" s="192"/>
      <c r="H72" s="242"/>
      <c r="I72" s="138">
        <f t="shared" si="56"/>
        <v>0</v>
      </c>
      <c r="J72" s="139"/>
      <c r="K72" s="193">
        <f t="shared" ref="K72:K73" si="104">E72*60</f>
        <v>0</v>
      </c>
      <c r="L72" s="141"/>
      <c r="M72" s="194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4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6"/>
      <c r="AN72" s="197">
        <f t="shared" si="58"/>
        <v>0</v>
      </c>
      <c r="AO72" s="146"/>
      <c r="AP72" s="147">
        <f t="shared" si="59"/>
        <v>0</v>
      </c>
      <c r="AQ72" s="148"/>
      <c r="AR72" s="198"/>
      <c r="AS72" s="198"/>
      <c r="AT72" s="135"/>
      <c r="AU72" s="199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1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1"/>
      <c r="BR72" s="199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2"/>
      <c r="CD72" s="199"/>
      <c r="CE72" s="194"/>
      <c r="CF72" s="195"/>
      <c r="CG72" s="195"/>
      <c r="CH72" s="195"/>
      <c r="CI72" s="195"/>
      <c r="CJ72" s="195"/>
      <c r="CK72" s="195"/>
      <c r="CL72" s="195"/>
      <c r="CM72" s="195"/>
      <c r="CN72" s="195"/>
      <c r="CO72" s="347"/>
      <c r="CP72" s="200"/>
      <c r="CQ72" s="201"/>
      <c r="CR72" s="202"/>
      <c r="CS72" s="203">
        <f t="shared" si="60"/>
        <v>0</v>
      </c>
      <c r="CT72" s="146"/>
      <c r="CU72" s="147">
        <f t="shared" si="61"/>
        <v>0</v>
      </c>
      <c r="CV72" s="156"/>
      <c r="CW72" s="157" t="e">
        <f t="shared" si="62"/>
        <v>#DIV/0!</v>
      </c>
      <c r="CX72" s="157" t="e">
        <f t="shared" si="63"/>
        <v>#DIV/0!</v>
      </c>
      <c r="CY72" s="157" t="e">
        <f t="shared" si="64"/>
        <v>#DIV/0!</v>
      </c>
      <c r="CZ72" s="157" t="e">
        <f t="shared" si="65"/>
        <v>#DIV/0!</v>
      </c>
      <c r="DA72" s="157" t="e">
        <f t="shared" si="66"/>
        <v>#DIV/0!</v>
      </c>
      <c r="DB72" s="158" t="e">
        <f t="shared" si="67"/>
        <v>#DIV/0!</v>
      </c>
      <c r="DC72" s="131"/>
      <c r="DD72" s="159">
        <f t="shared" si="68"/>
        <v>0</v>
      </c>
      <c r="DE72" s="160">
        <f t="shared" si="69"/>
        <v>0</v>
      </c>
      <c r="DF72" s="161">
        <f t="shared" si="70"/>
        <v>0</v>
      </c>
      <c r="DG72" s="162" t="e">
        <f t="shared" si="71"/>
        <v>#DIV/0!</v>
      </c>
      <c r="DH72" s="163">
        <f t="shared" si="72"/>
        <v>0</v>
      </c>
      <c r="DI72" s="164"/>
      <c r="DJ72" s="165">
        <f t="shared" si="55"/>
        <v>0</v>
      </c>
      <c r="DK72" s="166">
        <f t="shared" si="55"/>
        <v>0</v>
      </c>
      <c r="DL72" s="167" t="e">
        <f t="shared" si="73"/>
        <v>#DIV/0!</v>
      </c>
      <c r="DM72" s="168" t="e">
        <f t="shared" si="74"/>
        <v>#DIV/0!</v>
      </c>
      <c r="DN72" s="163" t="e">
        <f t="shared" si="75"/>
        <v>#DIV/0!</v>
      </c>
      <c r="DO72" s="169"/>
      <c r="DP72" s="170"/>
      <c r="DQ72" s="171"/>
      <c r="DR72" s="172">
        <f t="shared" si="76"/>
        <v>0</v>
      </c>
      <c r="DS72" s="173" t="e">
        <f t="shared" si="77"/>
        <v>#DIV/0!</v>
      </c>
      <c r="DT72" s="163" t="e">
        <f t="shared" si="78"/>
        <v>#DIV/0!</v>
      </c>
      <c r="DU72" s="174"/>
      <c r="DV72" s="175" t="e">
        <f t="shared" si="79"/>
        <v>#DIV/0!</v>
      </c>
      <c r="DW72" s="163">
        <f t="shared" si="80"/>
        <v>0</v>
      </c>
      <c r="DX72" s="164"/>
      <c r="DY72" s="176">
        <f t="shared" si="81"/>
        <v>0</v>
      </c>
      <c r="DZ72" s="177">
        <f t="shared" si="82"/>
        <v>0</v>
      </c>
      <c r="EA72" s="178">
        <f t="shared" si="83"/>
        <v>0</v>
      </c>
      <c r="EB72" s="179">
        <f t="shared" si="84"/>
        <v>0</v>
      </c>
      <c r="EC72" s="180"/>
      <c r="ED72" s="175" t="e">
        <f t="shared" si="85"/>
        <v>#DIV/0!</v>
      </c>
      <c r="EE72" s="163">
        <f t="shared" si="86"/>
        <v>0</v>
      </c>
      <c r="EF72" s="164"/>
      <c r="EG72" s="181">
        <f t="shared" si="87"/>
        <v>0</v>
      </c>
      <c r="EH72" s="182">
        <f t="shared" si="88"/>
        <v>0</v>
      </c>
      <c r="EI72" s="182">
        <f t="shared" si="89"/>
        <v>0</v>
      </c>
      <c r="EJ72" s="182">
        <f t="shared" si="90"/>
        <v>0</v>
      </c>
      <c r="EK72" s="183">
        <f t="shared" si="91"/>
        <v>0</v>
      </c>
      <c r="EL72" s="184" t="e">
        <f t="shared" si="92"/>
        <v>#DIV/0!</v>
      </c>
      <c r="EM72" s="185">
        <f t="shared" si="93"/>
        <v>0</v>
      </c>
      <c r="EN72" s="164"/>
      <c r="EO72" s="181">
        <f t="shared" si="94"/>
        <v>0</v>
      </c>
      <c r="EP72" s="183">
        <f t="shared" si="95"/>
        <v>0</v>
      </c>
      <c r="EQ72" s="184" t="e">
        <f t="shared" si="96"/>
        <v>#DIV/0!</v>
      </c>
      <c r="ER72" s="185">
        <f t="shared" si="97"/>
        <v>0</v>
      </c>
      <c r="ES72" s="164"/>
      <c r="ET72" s="164"/>
      <c r="EU72" s="186">
        <f t="shared" si="98"/>
        <v>0</v>
      </c>
      <c r="EV72" s="186">
        <f t="shared" si="99"/>
        <v>0</v>
      </c>
      <c r="EW72" s="186">
        <f t="shared" si="100"/>
        <v>0</v>
      </c>
      <c r="EX72" s="186">
        <f t="shared" si="101"/>
        <v>0</v>
      </c>
      <c r="EY72" s="131"/>
      <c r="EZ72" s="187">
        <f t="shared" si="102"/>
        <v>0</v>
      </c>
      <c r="FA72" s="188" t="e">
        <f t="shared" si="103"/>
        <v>#DIV/0!</v>
      </c>
      <c r="FB72" s="189"/>
      <c r="FC72" s="131"/>
      <c r="FD72" s="131"/>
      <c r="FE72" s="131"/>
      <c r="FF72" s="131"/>
      <c r="FG72" s="131"/>
    </row>
    <row r="73" spans="2:163" ht="16" outlineLevel="1" thickBot="1" x14ac:dyDescent="0.4">
      <c r="B73" s="358"/>
      <c r="C73" s="355"/>
      <c r="D73" s="243"/>
      <c r="E73" s="244"/>
      <c r="F73" s="135"/>
      <c r="G73" s="192"/>
      <c r="H73" s="245"/>
      <c r="I73" s="138">
        <f t="shared" si="56"/>
        <v>0</v>
      </c>
      <c r="J73" s="139"/>
      <c r="K73" s="208">
        <f t="shared" si="104"/>
        <v>0</v>
      </c>
      <c r="L73" s="141"/>
      <c r="M73" s="209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09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1"/>
      <c r="AN73" s="212">
        <f t="shared" si="58"/>
        <v>0</v>
      </c>
      <c r="AO73" s="146"/>
      <c r="AP73" s="147">
        <f t="shared" si="59"/>
        <v>0</v>
      </c>
      <c r="AQ73" s="148"/>
      <c r="AR73" s="213"/>
      <c r="AS73" s="213"/>
      <c r="AT73" s="135"/>
      <c r="AU73" s="214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4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7"/>
      <c r="CD73" s="214"/>
      <c r="CE73" s="209"/>
      <c r="CF73" s="210"/>
      <c r="CG73" s="210"/>
      <c r="CH73" s="210"/>
      <c r="CI73" s="210"/>
      <c r="CJ73" s="210"/>
      <c r="CK73" s="210"/>
      <c r="CL73" s="210"/>
      <c r="CM73" s="210"/>
      <c r="CN73" s="210"/>
      <c r="CO73" s="348"/>
      <c r="CP73" s="215"/>
      <c r="CQ73" s="216"/>
      <c r="CR73" s="217"/>
      <c r="CS73" s="218">
        <f t="shared" si="60"/>
        <v>0</v>
      </c>
      <c r="CT73" s="146"/>
      <c r="CU73" s="147">
        <f t="shared" si="61"/>
        <v>0</v>
      </c>
      <c r="CV73" s="156"/>
      <c r="CW73" s="157" t="e">
        <f t="shared" si="62"/>
        <v>#DIV/0!</v>
      </c>
      <c r="CX73" s="157" t="e">
        <f t="shared" si="63"/>
        <v>#DIV/0!</v>
      </c>
      <c r="CY73" s="157" t="e">
        <f t="shared" si="64"/>
        <v>#DIV/0!</v>
      </c>
      <c r="CZ73" s="157" t="e">
        <f t="shared" si="65"/>
        <v>#DIV/0!</v>
      </c>
      <c r="DA73" s="157" t="e">
        <f t="shared" si="66"/>
        <v>#DIV/0!</v>
      </c>
      <c r="DB73" s="158" t="e">
        <f t="shared" si="67"/>
        <v>#DIV/0!</v>
      </c>
      <c r="DC73" s="131"/>
      <c r="DD73" s="159">
        <f t="shared" si="68"/>
        <v>0</v>
      </c>
      <c r="DE73" s="160">
        <f t="shared" si="69"/>
        <v>0</v>
      </c>
      <c r="DF73" s="161">
        <f t="shared" si="70"/>
        <v>0</v>
      </c>
      <c r="DG73" s="162" t="e">
        <f t="shared" si="71"/>
        <v>#DIV/0!</v>
      </c>
      <c r="DH73" s="163">
        <f t="shared" si="72"/>
        <v>0</v>
      </c>
      <c r="DI73" s="164"/>
      <c r="DJ73" s="165">
        <f t="shared" si="55"/>
        <v>0</v>
      </c>
      <c r="DK73" s="166">
        <f t="shared" si="55"/>
        <v>0</v>
      </c>
      <c r="DL73" s="167" t="e">
        <f t="shared" si="73"/>
        <v>#DIV/0!</v>
      </c>
      <c r="DM73" s="168" t="e">
        <f t="shared" si="74"/>
        <v>#DIV/0!</v>
      </c>
      <c r="DN73" s="163" t="e">
        <f t="shared" si="75"/>
        <v>#DIV/0!</v>
      </c>
      <c r="DO73" s="169"/>
      <c r="DP73" s="170"/>
      <c r="DQ73" s="171"/>
      <c r="DR73" s="172">
        <f t="shared" si="76"/>
        <v>0</v>
      </c>
      <c r="DS73" s="173" t="e">
        <f t="shared" si="77"/>
        <v>#DIV/0!</v>
      </c>
      <c r="DT73" s="163" t="e">
        <f t="shared" si="78"/>
        <v>#DIV/0!</v>
      </c>
      <c r="DU73" s="174"/>
      <c r="DV73" s="175" t="e">
        <f t="shared" si="79"/>
        <v>#DIV/0!</v>
      </c>
      <c r="DW73" s="163">
        <f t="shared" si="80"/>
        <v>0</v>
      </c>
      <c r="DX73" s="164"/>
      <c r="DY73" s="176">
        <f t="shared" si="81"/>
        <v>0</v>
      </c>
      <c r="DZ73" s="177">
        <f t="shared" si="82"/>
        <v>0</v>
      </c>
      <c r="EA73" s="178">
        <f t="shared" si="83"/>
        <v>0</v>
      </c>
      <c r="EB73" s="179">
        <f t="shared" si="84"/>
        <v>0</v>
      </c>
      <c r="EC73" s="180"/>
      <c r="ED73" s="175" t="e">
        <f t="shared" si="85"/>
        <v>#DIV/0!</v>
      </c>
      <c r="EE73" s="163">
        <f t="shared" si="86"/>
        <v>0</v>
      </c>
      <c r="EF73" s="164"/>
      <c r="EG73" s="181">
        <f t="shared" si="87"/>
        <v>0</v>
      </c>
      <c r="EH73" s="182">
        <f t="shared" si="88"/>
        <v>0</v>
      </c>
      <c r="EI73" s="182">
        <f t="shared" si="89"/>
        <v>0</v>
      </c>
      <c r="EJ73" s="182">
        <f t="shared" si="90"/>
        <v>0</v>
      </c>
      <c r="EK73" s="183">
        <f t="shared" si="91"/>
        <v>0</v>
      </c>
      <c r="EL73" s="184" t="e">
        <f t="shared" si="92"/>
        <v>#DIV/0!</v>
      </c>
      <c r="EM73" s="185">
        <f t="shared" si="93"/>
        <v>0</v>
      </c>
      <c r="EN73" s="164"/>
      <c r="EO73" s="181">
        <f t="shared" si="94"/>
        <v>0</v>
      </c>
      <c r="EP73" s="183">
        <f t="shared" si="95"/>
        <v>0</v>
      </c>
      <c r="EQ73" s="184" t="e">
        <f t="shared" si="96"/>
        <v>#DIV/0!</v>
      </c>
      <c r="ER73" s="185">
        <f t="shared" si="97"/>
        <v>0</v>
      </c>
      <c r="ES73" s="164"/>
      <c r="ET73" s="164"/>
      <c r="EU73" s="186">
        <f t="shared" si="98"/>
        <v>0</v>
      </c>
      <c r="EV73" s="186">
        <f t="shared" si="99"/>
        <v>0</v>
      </c>
      <c r="EW73" s="186">
        <f t="shared" si="100"/>
        <v>0</v>
      </c>
      <c r="EX73" s="186">
        <f t="shared" si="101"/>
        <v>0</v>
      </c>
      <c r="EY73" s="131"/>
      <c r="EZ73" s="187">
        <f t="shared" si="102"/>
        <v>0</v>
      </c>
      <c r="FA73" s="188" t="e">
        <f t="shared" si="103"/>
        <v>#DIV/0!</v>
      </c>
      <c r="FB73" s="189"/>
      <c r="FC73" s="131"/>
      <c r="FD73" s="131"/>
      <c r="FE73" s="131"/>
      <c r="FF73" s="131"/>
      <c r="FG73" s="131"/>
    </row>
    <row r="74" spans="2:163" ht="16" outlineLevel="1" thickBot="1" x14ac:dyDescent="0.4">
      <c r="B74" s="356"/>
      <c r="C74" s="353"/>
      <c r="D74" s="133"/>
      <c r="E74" s="134"/>
      <c r="F74" s="135"/>
      <c r="G74" s="136"/>
      <c r="H74" s="137"/>
      <c r="I74" s="138">
        <f>IF(E74&gt;0.0001,11,0)</f>
        <v>0</v>
      </c>
      <c r="J74" s="139"/>
      <c r="K74" s="140">
        <f>E74*60</f>
        <v>0</v>
      </c>
      <c r="L74" s="141"/>
      <c r="M74" s="142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2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4"/>
      <c r="AN74" s="145">
        <f t="shared" si="58"/>
        <v>0</v>
      </c>
      <c r="AO74" s="146"/>
      <c r="AP74" s="147">
        <f t="shared" si="59"/>
        <v>0</v>
      </c>
      <c r="AQ74" s="148"/>
      <c r="AR74" s="149"/>
      <c r="AS74" s="149"/>
      <c r="AT74" s="135"/>
      <c r="AU74" s="150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0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4"/>
      <c r="CD74" s="150"/>
      <c r="CE74" s="142"/>
      <c r="CF74" s="143"/>
      <c r="CG74" s="143"/>
      <c r="CH74" s="143"/>
      <c r="CI74" s="143"/>
      <c r="CJ74" s="143"/>
      <c r="CK74" s="143"/>
      <c r="CL74" s="143"/>
      <c r="CM74" s="143"/>
      <c r="CN74" s="143"/>
      <c r="CO74" s="346"/>
      <c r="CP74" s="151"/>
      <c r="CQ74" s="152"/>
      <c r="CR74" s="154"/>
      <c r="CS74" s="155">
        <f t="shared" si="60"/>
        <v>0</v>
      </c>
      <c r="CT74" s="146"/>
      <c r="CU74" s="147">
        <f t="shared" si="61"/>
        <v>0</v>
      </c>
      <c r="CV74" s="156"/>
      <c r="CW74" s="157" t="e">
        <f t="shared" si="62"/>
        <v>#DIV/0!</v>
      </c>
      <c r="CX74" s="157" t="e">
        <f t="shared" si="63"/>
        <v>#DIV/0!</v>
      </c>
      <c r="CY74" s="157" t="e">
        <f t="shared" si="64"/>
        <v>#DIV/0!</v>
      </c>
      <c r="CZ74" s="157" t="e">
        <f t="shared" si="65"/>
        <v>#DIV/0!</v>
      </c>
      <c r="DA74" s="157" t="e">
        <f t="shared" si="66"/>
        <v>#DIV/0!</v>
      </c>
      <c r="DB74" s="158" t="e">
        <f t="shared" si="67"/>
        <v>#DIV/0!</v>
      </c>
      <c r="DC74" s="131"/>
      <c r="DD74" s="159">
        <f t="shared" si="68"/>
        <v>0</v>
      </c>
      <c r="DE74" s="160">
        <f t="shared" si="69"/>
        <v>0</v>
      </c>
      <c r="DF74" s="161">
        <f t="shared" si="70"/>
        <v>0</v>
      </c>
      <c r="DG74" s="162" t="e">
        <f t="shared" si="71"/>
        <v>#DIV/0!</v>
      </c>
      <c r="DH74" s="163">
        <f t="shared" si="72"/>
        <v>0</v>
      </c>
      <c r="DI74" s="164"/>
      <c r="DJ74" s="165">
        <f t="shared" si="55"/>
        <v>0</v>
      </c>
      <c r="DK74" s="166">
        <f t="shared" si="55"/>
        <v>0</v>
      </c>
      <c r="DL74" s="167" t="e">
        <f t="shared" si="73"/>
        <v>#DIV/0!</v>
      </c>
      <c r="DM74" s="168" t="e">
        <f t="shared" si="74"/>
        <v>#DIV/0!</v>
      </c>
      <c r="DN74" s="163" t="e">
        <f t="shared" si="75"/>
        <v>#DIV/0!</v>
      </c>
      <c r="DO74" s="169"/>
      <c r="DP74" s="170"/>
      <c r="DQ74" s="171"/>
      <c r="DR74" s="172">
        <f t="shared" si="76"/>
        <v>0</v>
      </c>
      <c r="DS74" s="173" t="e">
        <f t="shared" si="77"/>
        <v>#DIV/0!</v>
      </c>
      <c r="DT74" s="163" t="e">
        <f t="shared" si="78"/>
        <v>#DIV/0!</v>
      </c>
      <c r="DU74" s="174"/>
      <c r="DV74" s="175" t="e">
        <f t="shared" si="79"/>
        <v>#DIV/0!</v>
      </c>
      <c r="DW74" s="163">
        <f t="shared" si="80"/>
        <v>0</v>
      </c>
      <c r="DX74" s="164"/>
      <c r="DY74" s="176">
        <f t="shared" si="81"/>
        <v>0</v>
      </c>
      <c r="DZ74" s="177">
        <f t="shared" si="82"/>
        <v>0</v>
      </c>
      <c r="EA74" s="178">
        <f t="shared" si="83"/>
        <v>0</v>
      </c>
      <c r="EB74" s="179">
        <f t="shared" si="84"/>
        <v>0</v>
      </c>
      <c r="EC74" s="180"/>
      <c r="ED74" s="175" t="e">
        <f t="shared" si="85"/>
        <v>#DIV/0!</v>
      </c>
      <c r="EE74" s="163">
        <f t="shared" si="86"/>
        <v>0</v>
      </c>
      <c r="EF74" s="164"/>
      <c r="EG74" s="181">
        <f t="shared" si="87"/>
        <v>0</v>
      </c>
      <c r="EH74" s="182">
        <f t="shared" si="88"/>
        <v>0</v>
      </c>
      <c r="EI74" s="182">
        <f t="shared" si="89"/>
        <v>0</v>
      </c>
      <c r="EJ74" s="182">
        <f t="shared" si="90"/>
        <v>0</v>
      </c>
      <c r="EK74" s="183">
        <f t="shared" si="91"/>
        <v>0</v>
      </c>
      <c r="EL74" s="184" t="e">
        <f t="shared" si="92"/>
        <v>#DIV/0!</v>
      </c>
      <c r="EM74" s="185">
        <f t="shared" si="93"/>
        <v>0</v>
      </c>
      <c r="EN74" s="164"/>
      <c r="EO74" s="181">
        <f t="shared" si="94"/>
        <v>0</v>
      </c>
      <c r="EP74" s="183">
        <f t="shared" si="95"/>
        <v>0</v>
      </c>
      <c r="EQ74" s="184" t="e">
        <f t="shared" si="96"/>
        <v>#DIV/0!</v>
      </c>
      <c r="ER74" s="185">
        <f t="shared" si="97"/>
        <v>0</v>
      </c>
      <c r="ES74" s="164"/>
      <c r="ET74" s="164"/>
      <c r="EU74" s="186">
        <f t="shared" si="98"/>
        <v>0</v>
      </c>
      <c r="EV74" s="186">
        <f t="shared" si="99"/>
        <v>0</v>
      </c>
      <c r="EW74" s="186">
        <f t="shared" si="100"/>
        <v>0</v>
      </c>
      <c r="EX74" s="186">
        <f t="shared" si="101"/>
        <v>0</v>
      </c>
      <c r="EY74" s="131"/>
      <c r="EZ74" s="187">
        <f t="shared" si="102"/>
        <v>0</v>
      </c>
      <c r="FA74" s="188" t="e">
        <f t="shared" si="103"/>
        <v>#DIV/0!</v>
      </c>
      <c r="FB74" s="189"/>
      <c r="FC74" s="131"/>
      <c r="FD74" s="131"/>
      <c r="FE74" s="131"/>
      <c r="FF74" s="131"/>
      <c r="FG74" s="131"/>
    </row>
    <row r="75" spans="2:163" ht="16" outlineLevel="1" thickBot="1" x14ac:dyDescent="0.4">
      <c r="B75" s="357"/>
      <c r="C75" s="354"/>
      <c r="D75" s="240"/>
      <c r="E75" s="241"/>
      <c r="F75" s="135"/>
      <c r="G75" s="192"/>
      <c r="H75" s="242"/>
      <c r="I75" s="138">
        <f>IF(E75&gt;0.0001,11,0)</f>
        <v>0</v>
      </c>
      <c r="J75" s="139"/>
      <c r="K75" s="193">
        <f t="shared" ref="K75:K76" si="105">E75*60</f>
        <v>0</v>
      </c>
      <c r="L75" s="141"/>
      <c r="M75" s="194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4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6"/>
      <c r="AN75" s="197">
        <f t="shared" si="58"/>
        <v>0</v>
      </c>
      <c r="AO75" s="146"/>
      <c r="AP75" s="147">
        <f t="shared" si="59"/>
        <v>0</v>
      </c>
      <c r="AQ75" s="148"/>
      <c r="AR75" s="198"/>
      <c r="AS75" s="198"/>
      <c r="AT75" s="135"/>
      <c r="AU75" s="199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1"/>
      <c r="BG75" s="201"/>
      <c r="BH75" s="201"/>
      <c r="BI75" s="201"/>
      <c r="BJ75" s="201"/>
      <c r="BK75" s="201"/>
      <c r="BL75" s="201"/>
      <c r="BM75" s="201"/>
      <c r="BN75" s="201"/>
      <c r="BO75" s="201"/>
      <c r="BP75" s="201"/>
      <c r="BQ75" s="201"/>
      <c r="BR75" s="199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2"/>
      <c r="CD75" s="199"/>
      <c r="CE75" s="194"/>
      <c r="CF75" s="195"/>
      <c r="CG75" s="195"/>
      <c r="CH75" s="195"/>
      <c r="CI75" s="195"/>
      <c r="CJ75" s="195"/>
      <c r="CK75" s="195"/>
      <c r="CL75" s="195"/>
      <c r="CM75" s="195"/>
      <c r="CN75" s="195"/>
      <c r="CO75" s="347"/>
      <c r="CP75" s="200"/>
      <c r="CQ75" s="201"/>
      <c r="CR75" s="202"/>
      <c r="CS75" s="203">
        <f t="shared" si="60"/>
        <v>0</v>
      </c>
      <c r="CT75" s="146"/>
      <c r="CU75" s="147">
        <f t="shared" si="61"/>
        <v>0</v>
      </c>
      <c r="CV75" s="156"/>
      <c r="CW75" s="157" t="e">
        <f t="shared" si="62"/>
        <v>#DIV/0!</v>
      </c>
      <c r="CX75" s="157" t="e">
        <f t="shared" si="63"/>
        <v>#DIV/0!</v>
      </c>
      <c r="CY75" s="157" t="e">
        <f t="shared" si="64"/>
        <v>#DIV/0!</v>
      </c>
      <c r="CZ75" s="157" t="e">
        <f t="shared" si="65"/>
        <v>#DIV/0!</v>
      </c>
      <c r="DA75" s="157" t="e">
        <f t="shared" si="66"/>
        <v>#DIV/0!</v>
      </c>
      <c r="DB75" s="158" t="e">
        <f t="shared" si="67"/>
        <v>#DIV/0!</v>
      </c>
      <c r="DC75" s="131"/>
      <c r="DD75" s="159">
        <f t="shared" si="68"/>
        <v>0</v>
      </c>
      <c r="DE75" s="160">
        <f t="shared" si="69"/>
        <v>0</v>
      </c>
      <c r="DF75" s="161">
        <f t="shared" si="70"/>
        <v>0</v>
      </c>
      <c r="DG75" s="162" t="e">
        <f t="shared" si="71"/>
        <v>#DIV/0!</v>
      </c>
      <c r="DH75" s="163">
        <f t="shared" si="72"/>
        <v>0</v>
      </c>
      <c r="DI75" s="164"/>
      <c r="DJ75" s="165">
        <f t="shared" si="55"/>
        <v>0</v>
      </c>
      <c r="DK75" s="166">
        <f t="shared" si="55"/>
        <v>0</v>
      </c>
      <c r="DL75" s="167" t="e">
        <f t="shared" si="73"/>
        <v>#DIV/0!</v>
      </c>
      <c r="DM75" s="168" t="e">
        <f t="shared" si="74"/>
        <v>#DIV/0!</v>
      </c>
      <c r="DN75" s="163" t="e">
        <f t="shared" si="75"/>
        <v>#DIV/0!</v>
      </c>
      <c r="DO75" s="169"/>
      <c r="DP75" s="170"/>
      <c r="DQ75" s="171"/>
      <c r="DR75" s="172">
        <f t="shared" si="76"/>
        <v>0</v>
      </c>
      <c r="DS75" s="173" t="e">
        <f t="shared" si="77"/>
        <v>#DIV/0!</v>
      </c>
      <c r="DT75" s="163" t="e">
        <f t="shared" si="78"/>
        <v>#DIV/0!</v>
      </c>
      <c r="DU75" s="174"/>
      <c r="DV75" s="175" t="e">
        <f t="shared" si="79"/>
        <v>#DIV/0!</v>
      </c>
      <c r="DW75" s="163">
        <f t="shared" si="80"/>
        <v>0</v>
      </c>
      <c r="DX75" s="164"/>
      <c r="DY75" s="176">
        <f t="shared" si="81"/>
        <v>0</v>
      </c>
      <c r="DZ75" s="177">
        <f t="shared" si="82"/>
        <v>0</v>
      </c>
      <c r="EA75" s="178">
        <f t="shared" si="83"/>
        <v>0</v>
      </c>
      <c r="EB75" s="179">
        <f t="shared" si="84"/>
        <v>0</v>
      </c>
      <c r="EC75" s="180"/>
      <c r="ED75" s="175" t="e">
        <f t="shared" si="85"/>
        <v>#DIV/0!</v>
      </c>
      <c r="EE75" s="163">
        <f t="shared" si="86"/>
        <v>0</v>
      </c>
      <c r="EF75" s="164"/>
      <c r="EG75" s="181">
        <f t="shared" si="87"/>
        <v>0</v>
      </c>
      <c r="EH75" s="182">
        <f t="shared" si="88"/>
        <v>0</v>
      </c>
      <c r="EI75" s="182">
        <f t="shared" si="89"/>
        <v>0</v>
      </c>
      <c r="EJ75" s="182">
        <f t="shared" si="90"/>
        <v>0</v>
      </c>
      <c r="EK75" s="183">
        <f t="shared" si="91"/>
        <v>0</v>
      </c>
      <c r="EL75" s="184" t="e">
        <f t="shared" si="92"/>
        <v>#DIV/0!</v>
      </c>
      <c r="EM75" s="185">
        <f t="shared" si="93"/>
        <v>0</v>
      </c>
      <c r="EN75" s="164"/>
      <c r="EO75" s="181">
        <f t="shared" si="94"/>
        <v>0</v>
      </c>
      <c r="EP75" s="183">
        <f t="shared" si="95"/>
        <v>0</v>
      </c>
      <c r="EQ75" s="184" t="e">
        <f t="shared" si="96"/>
        <v>#DIV/0!</v>
      </c>
      <c r="ER75" s="185">
        <f t="shared" si="97"/>
        <v>0</v>
      </c>
      <c r="ES75" s="164"/>
      <c r="ET75" s="164"/>
      <c r="EU75" s="186">
        <f t="shared" si="98"/>
        <v>0</v>
      </c>
      <c r="EV75" s="186">
        <f t="shared" si="99"/>
        <v>0</v>
      </c>
      <c r="EW75" s="186">
        <f t="shared" si="100"/>
        <v>0</v>
      </c>
      <c r="EX75" s="186">
        <f t="shared" si="101"/>
        <v>0</v>
      </c>
      <c r="EY75" s="131"/>
      <c r="EZ75" s="187">
        <f t="shared" si="102"/>
        <v>0</v>
      </c>
      <c r="FA75" s="188" t="e">
        <f t="shared" si="103"/>
        <v>#DIV/0!</v>
      </c>
      <c r="FB75" s="189"/>
      <c r="FC75" s="131"/>
      <c r="FD75" s="131"/>
      <c r="FE75" s="131"/>
      <c r="FF75" s="131"/>
      <c r="FG75" s="131"/>
    </row>
    <row r="76" spans="2:163" ht="16" outlineLevel="1" thickBot="1" x14ac:dyDescent="0.4">
      <c r="B76" s="358"/>
      <c r="C76" s="355"/>
      <c r="D76" s="243"/>
      <c r="E76" s="244"/>
      <c r="F76" s="135"/>
      <c r="G76" s="192"/>
      <c r="H76" s="245"/>
      <c r="I76" s="138">
        <f t="shared" si="56"/>
        <v>0</v>
      </c>
      <c r="J76" s="139"/>
      <c r="K76" s="208">
        <f t="shared" si="105"/>
        <v>0</v>
      </c>
      <c r="L76" s="141"/>
      <c r="M76" s="209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09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1"/>
      <c r="AN76" s="212">
        <f t="shared" si="58"/>
        <v>0</v>
      </c>
      <c r="AO76" s="146"/>
      <c r="AP76" s="147">
        <f t="shared" si="59"/>
        <v>0</v>
      </c>
      <c r="AQ76" s="148"/>
      <c r="AR76" s="213"/>
      <c r="AS76" s="213"/>
      <c r="AT76" s="135"/>
      <c r="AU76" s="214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6"/>
      <c r="BG76" s="216"/>
      <c r="BH76" s="216"/>
      <c r="BI76" s="216"/>
      <c r="BJ76" s="216"/>
      <c r="BK76" s="216"/>
      <c r="BL76" s="216"/>
      <c r="BM76" s="216"/>
      <c r="BN76" s="216"/>
      <c r="BO76" s="216"/>
      <c r="BP76" s="216"/>
      <c r="BQ76" s="216"/>
      <c r="BR76" s="214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7"/>
      <c r="CD76" s="214"/>
      <c r="CE76" s="209"/>
      <c r="CF76" s="210"/>
      <c r="CG76" s="210"/>
      <c r="CH76" s="210"/>
      <c r="CI76" s="210"/>
      <c r="CJ76" s="210"/>
      <c r="CK76" s="210"/>
      <c r="CL76" s="210"/>
      <c r="CM76" s="210"/>
      <c r="CN76" s="210"/>
      <c r="CO76" s="348"/>
      <c r="CP76" s="215"/>
      <c r="CQ76" s="216"/>
      <c r="CR76" s="217"/>
      <c r="CS76" s="218">
        <f t="shared" si="60"/>
        <v>0</v>
      </c>
      <c r="CT76" s="146"/>
      <c r="CU76" s="147">
        <f t="shared" si="61"/>
        <v>0</v>
      </c>
      <c r="CV76" s="156"/>
      <c r="CW76" s="157" t="e">
        <f t="shared" si="62"/>
        <v>#DIV/0!</v>
      </c>
      <c r="CX76" s="157" t="e">
        <f t="shared" si="63"/>
        <v>#DIV/0!</v>
      </c>
      <c r="CY76" s="157" t="e">
        <f t="shared" si="64"/>
        <v>#DIV/0!</v>
      </c>
      <c r="CZ76" s="157" t="e">
        <f t="shared" si="65"/>
        <v>#DIV/0!</v>
      </c>
      <c r="DA76" s="157" t="e">
        <f t="shared" si="66"/>
        <v>#DIV/0!</v>
      </c>
      <c r="DB76" s="158" t="e">
        <f t="shared" si="67"/>
        <v>#DIV/0!</v>
      </c>
      <c r="DC76" s="131"/>
      <c r="DD76" s="159">
        <f t="shared" si="68"/>
        <v>0</v>
      </c>
      <c r="DE76" s="160">
        <f t="shared" si="69"/>
        <v>0</v>
      </c>
      <c r="DF76" s="161">
        <f t="shared" si="70"/>
        <v>0</v>
      </c>
      <c r="DG76" s="162" t="e">
        <f t="shared" si="71"/>
        <v>#DIV/0!</v>
      </c>
      <c r="DH76" s="163">
        <f t="shared" si="72"/>
        <v>0</v>
      </c>
      <c r="DI76" s="164"/>
      <c r="DJ76" s="165">
        <f t="shared" si="55"/>
        <v>0</v>
      </c>
      <c r="DK76" s="166">
        <f t="shared" si="55"/>
        <v>0</v>
      </c>
      <c r="DL76" s="167" t="e">
        <f t="shared" si="73"/>
        <v>#DIV/0!</v>
      </c>
      <c r="DM76" s="168" t="e">
        <f t="shared" si="74"/>
        <v>#DIV/0!</v>
      </c>
      <c r="DN76" s="163" t="e">
        <f t="shared" si="75"/>
        <v>#DIV/0!</v>
      </c>
      <c r="DO76" s="169"/>
      <c r="DP76" s="170"/>
      <c r="DQ76" s="171"/>
      <c r="DR76" s="172">
        <f t="shared" si="76"/>
        <v>0</v>
      </c>
      <c r="DS76" s="173" t="e">
        <f t="shared" si="77"/>
        <v>#DIV/0!</v>
      </c>
      <c r="DT76" s="163" t="e">
        <f t="shared" si="78"/>
        <v>#DIV/0!</v>
      </c>
      <c r="DU76" s="174"/>
      <c r="DV76" s="175" t="e">
        <f t="shared" si="79"/>
        <v>#DIV/0!</v>
      </c>
      <c r="DW76" s="163">
        <f t="shared" si="80"/>
        <v>0</v>
      </c>
      <c r="DX76" s="164"/>
      <c r="DY76" s="176">
        <f t="shared" si="81"/>
        <v>0</v>
      </c>
      <c r="DZ76" s="177">
        <f t="shared" si="82"/>
        <v>0</v>
      </c>
      <c r="EA76" s="178">
        <f t="shared" si="83"/>
        <v>0</v>
      </c>
      <c r="EB76" s="179">
        <f t="shared" si="84"/>
        <v>0</v>
      </c>
      <c r="EC76" s="180"/>
      <c r="ED76" s="175" t="e">
        <f t="shared" si="85"/>
        <v>#DIV/0!</v>
      </c>
      <c r="EE76" s="163">
        <f t="shared" si="86"/>
        <v>0</v>
      </c>
      <c r="EF76" s="164"/>
      <c r="EG76" s="181">
        <f t="shared" si="87"/>
        <v>0</v>
      </c>
      <c r="EH76" s="182">
        <f t="shared" si="88"/>
        <v>0</v>
      </c>
      <c r="EI76" s="182">
        <f t="shared" si="89"/>
        <v>0</v>
      </c>
      <c r="EJ76" s="182">
        <f t="shared" si="90"/>
        <v>0</v>
      </c>
      <c r="EK76" s="183">
        <f t="shared" si="91"/>
        <v>0</v>
      </c>
      <c r="EL76" s="184" t="e">
        <f t="shared" si="92"/>
        <v>#DIV/0!</v>
      </c>
      <c r="EM76" s="185">
        <f t="shared" si="93"/>
        <v>0</v>
      </c>
      <c r="EN76" s="164"/>
      <c r="EO76" s="181">
        <f t="shared" si="94"/>
        <v>0</v>
      </c>
      <c r="EP76" s="183">
        <f t="shared" si="95"/>
        <v>0</v>
      </c>
      <c r="EQ76" s="184" t="e">
        <f t="shared" si="96"/>
        <v>#DIV/0!</v>
      </c>
      <c r="ER76" s="185">
        <f t="shared" si="97"/>
        <v>0</v>
      </c>
      <c r="ES76" s="164"/>
      <c r="ET76" s="164"/>
      <c r="EU76" s="186">
        <f t="shared" si="98"/>
        <v>0</v>
      </c>
      <c r="EV76" s="186">
        <f t="shared" si="99"/>
        <v>0</v>
      </c>
      <c r="EW76" s="186">
        <f t="shared" si="100"/>
        <v>0</v>
      </c>
      <c r="EX76" s="186">
        <f t="shared" si="101"/>
        <v>0</v>
      </c>
      <c r="EY76" s="131"/>
      <c r="EZ76" s="187">
        <f t="shared" si="102"/>
        <v>0</v>
      </c>
      <c r="FA76" s="188" t="e">
        <f t="shared" si="103"/>
        <v>#DIV/0!</v>
      </c>
      <c r="FB76" s="189"/>
      <c r="FC76" s="131"/>
      <c r="FD76" s="131"/>
      <c r="FE76" s="131"/>
      <c r="FF76" s="131"/>
      <c r="FG76" s="131"/>
    </row>
    <row r="77" spans="2:163" ht="16" outlineLevel="1" thickBot="1" x14ac:dyDescent="0.4">
      <c r="B77" s="356"/>
      <c r="C77" s="353"/>
      <c r="D77" s="133"/>
      <c r="E77" s="134"/>
      <c r="F77" s="135"/>
      <c r="G77" s="136"/>
      <c r="H77" s="137"/>
      <c r="I77" s="138">
        <f t="shared" si="56"/>
        <v>0</v>
      </c>
      <c r="J77" s="139"/>
      <c r="K77" s="140">
        <f>E77*60</f>
        <v>0</v>
      </c>
      <c r="L77" s="141"/>
      <c r="M77" s="142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2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4"/>
      <c r="AN77" s="145">
        <f t="shared" si="58"/>
        <v>0</v>
      </c>
      <c r="AO77" s="146"/>
      <c r="AP77" s="147">
        <f t="shared" si="59"/>
        <v>0</v>
      </c>
      <c r="AQ77" s="148"/>
      <c r="AR77" s="149"/>
      <c r="AS77" s="149"/>
      <c r="AT77" s="135"/>
      <c r="AU77" s="150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0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4"/>
      <c r="CD77" s="150"/>
      <c r="CE77" s="142"/>
      <c r="CF77" s="143"/>
      <c r="CG77" s="143"/>
      <c r="CH77" s="143"/>
      <c r="CI77" s="143"/>
      <c r="CJ77" s="143"/>
      <c r="CK77" s="143"/>
      <c r="CL77" s="143"/>
      <c r="CM77" s="143"/>
      <c r="CN77" s="143"/>
      <c r="CO77" s="346"/>
      <c r="CP77" s="151"/>
      <c r="CQ77" s="152"/>
      <c r="CR77" s="154"/>
      <c r="CS77" s="155">
        <f t="shared" si="60"/>
        <v>0</v>
      </c>
      <c r="CT77" s="146"/>
      <c r="CU77" s="147">
        <f t="shared" si="61"/>
        <v>0</v>
      </c>
      <c r="CV77" s="156"/>
      <c r="CW77" s="157" t="e">
        <f t="shared" si="62"/>
        <v>#DIV/0!</v>
      </c>
      <c r="CX77" s="157" t="e">
        <f t="shared" si="63"/>
        <v>#DIV/0!</v>
      </c>
      <c r="CY77" s="157" t="e">
        <f t="shared" si="64"/>
        <v>#DIV/0!</v>
      </c>
      <c r="CZ77" s="157" t="e">
        <f t="shared" si="65"/>
        <v>#DIV/0!</v>
      </c>
      <c r="DA77" s="157" t="e">
        <f t="shared" si="66"/>
        <v>#DIV/0!</v>
      </c>
      <c r="DB77" s="158" t="e">
        <f t="shared" si="67"/>
        <v>#DIV/0!</v>
      </c>
      <c r="DC77" s="131"/>
      <c r="DD77" s="159">
        <f t="shared" si="68"/>
        <v>0</v>
      </c>
      <c r="DE77" s="160">
        <f t="shared" si="69"/>
        <v>0</v>
      </c>
      <c r="DF77" s="161">
        <f t="shared" si="70"/>
        <v>0</v>
      </c>
      <c r="DG77" s="162" t="e">
        <f t="shared" si="71"/>
        <v>#DIV/0!</v>
      </c>
      <c r="DH77" s="163">
        <f t="shared" si="72"/>
        <v>0</v>
      </c>
      <c r="DI77" s="164"/>
      <c r="DJ77" s="165">
        <f t="shared" si="55"/>
        <v>0</v>
      </c>
      <c r="DK77" s="166">
        <f t="shared" si="55"/>
        <v>0</v>
      </c>
      <c r="DL77" s="167" t="e">
        <f t="shared" si="73"/>
        <v>#DIV/0!</v>
      </c>
      <c r="DM77" s="168" t="e">
        <f t="shared" si="74"/>
        <v>#DIV/0!</v>
      </c>
      <c r="DN77" s="163" t="e">
        <f t="shared" si="75"/>
        <v>#DIV/0!</v>
      </c>
      <c r="DO77" s="169"/>
      <c r="DP77" s="170"/>
      <c r="DQ77" s="171"/>
      <c r="DR77" s="172">
        <f t="shared" si="76"/>
        <v>0</v>
      </c>
      <c r="DS77" s="173" t="e">
        <f t="shared" si="77"/>
        <v>#DIV/0!</v>
      </c>
      <c r="DT77" s="163" t="e">
        <f t="shared" si="78"/>
        <v>#DIV/0!</v>
      </c>
      <c r="DU77" s="174"/>
      <c r="DV77" s="175" t="e">
        <f t="shared" si="79"/>
        <v>#DIV/0!</v>
      </c>
      <c r="DW77" s="163">
        <f t="shared" si="80"/>
        <v>0</v>
      </c>
      <c r="DX77" s="164"/>
      <c r="DY77" s="176">
        <f t="shared" si="81"/>
        <v>0</v>
      </c>
      <c r="DZ77" s="177">
        <f t="shared" si="82"/>
        <v>0</v>
      </c>
      <c r="EA77" s="178">
        <f t="shared" si="83"/>
        <v>0</v>
      </c>
      <c r="EB77" s="179">
        <f t="shared" si="84"/>
        <v>0</v>
      </c>
      <c r="EC77" s="180"/>
      <c r="ED77" s="175" t="e">
        <f t="shared" si="85"/>
        <v>#DIV/0!</v>
      </c>
      <c r="EE77" s="163">
        <f t="shared" si="86"/>
        <v>0</v>
      </c>
      <c r="EF77" s="164"/>
      <c r="EG77" s="181">
        <f t="shared" si="87"/>
        <v>0</v>
      </c>
      <c r="EH77" s="182">
        <f t="shared" si="88"/>
        <v>0</v>
      </c>
      <c r="EI77" s="182">
        <f t="shared" si="89"/>
        <v>0</v>
      </c>
      <c r="EJ77" s="182">
        <f t="shared" si="90"/>
        <v>0</v>
      </c>
      <c r="EK77" s="183">
        <f t="shared" si="91"/>
        <v>0</v>
      </c>
      <c r="EL77" s="184" t="e">
        <f t="shared" si="92"/>
        <v>#DIV/0!</v>
      </c>
      <c r="EM77" s="185">
        <f t="shared" si="93"/>
        <v>0</v>
      </c>
      <c r="EN77" s="164"/>
      <c r="EO77" s="181">
        <f t="shared" si="94"/>
        <v>0</v>
      </c>
      <c r="EP77" s="183">
        <f t="shared" si="95"/>
        <v>0</v>
      </c>
      <c r="EQ77" s="184" t="e">
        <f t="shared" si="96"/>
        <v>#DIV/0!</v>
      </c>
      <c r="ER77" s="185">
        <f t="shared" si="97"/>
        <v>0</v>
      </c>
      <c r="ES77" s="164"/>
      <c r="ET77" s="164"/>
      <c r="EU77" s="186">
        <f t="shared" si="98"/>
        <v>0</v>
      </c>
      <c r="EV77" s="186">
        <f t="shared" si="99"/>
        <v>0</v>
      </c>
      <c r="EW77" s="186">
        <f t="shared" si="100"/>
        <v>0</v>
      </c>
      <c r="EX77" s="186">
        <f t="shared" si="101"/>
        <v>0</v>
      </c>
      <c r="EY77" s="131"/>
      <c r="EZ77" s="187">
        <f t="shared" si="102"/>
        <v>0</v>
      </c>
      <c r="FA77" s="188" t="e">
        <f t="shared" si="103"/>
        <v>#DIV/0!</v>
      </c>
      <c r="FB77" s="189"/>
      <c r="FC77" s="131"/>
      <c r="FD77" s="131"/>
      <c r="FE77" s="131"/>
      <c r="FF77" s="131"/>
      <c r="FG77" s="131"/>
    </row>
    <row r="78" spans="2:163" ht="16" outlineLevel="1" thickBot="1" x14ac:dyDescent="0.4">
      <c r="B78" s="357"/>
      <c r="C78" s="354"/>
      <c r="D78" s="240"/>
      <c r="E78" s="241"/>
      <c r="F78" s="135"/>
      <c r="G78" s="192"/>
      <c r="H78" s="242"/>
      <c r="I78" s="138">
        <f t="shared" si="56"/>
        <v>0</v>
      </c>
      <c r="J78" s="139"/>
      <c r="K78" s="193">
        <f t="shared" ref="K78:K79" si="106">E78*60</f>
        <v>0</v>
      </c>
      <c r="L78" s="141"/>
      <c r="M78" s="194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4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6"/>
      <c r="AN78" s="197">
        <f t="shared" si="58"/>
        <v>0</v>
      </c>
      <c r="AO78" s="146"/>
      <c r="AP78" s="147">
        <f t="shared" si="59"/>
        <v>0</v>
      </c>
      <c r="AQ78" s="148"/>
      <c r="AR78" s="198"/>
      <c r="AS78" s="198"/>
      <c r="AT78" s="135"/>
      <c r="AU78" s="199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1"/>
      <c r="BG78" s="201"/>
      <c r="BH78" s="201"/>
      <c r="BI78" s="201"/>
      <c r="BJ78" s="201"/>
      <c r="BK78" s="201"/>
      <c r="BL78" s="201"/>
      <c r="BM78" s="201"/>
      <c r="BN78" s="201"/>
      <c r="BO78" s="201"/>
      <c r="BP78" s="201"/>
      <c r="BQ78" s="201"/>
      <c r="BR78" s="199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2"/>
      <c r="CD78" s="199"/>
      <c r="CE78" s="194"/>
      <c r="CF78" s="195"/>
      <c r="CG78" s="195"/>
      <c r="CH78" s="195"/>
      <c r="CI78" s="195"/>
      <c r="CJ78" s="195"/>
      <c r="CK78" s="195"/>
      <c r="CL78" s="195"/>
      <c r="CM78" s="195"/>
      <c r="CN78" s="195"/>
      <c r="CO78" s="347"/>
      <c r="CP78" s="200"/>
      <c r="CQ78" s="201"/>
      <c r="CR78" s="202"/>
      <c r="CS78" s="203">
        <f t="shared" si="60"/>
        <v>0</v>
      </c>
      <c r="CT78" s="146"/>
      <c r="CU78" s="147">
        <f t="shared" si="61"/>
        <v>0</v>
      </c>
      <c r="CV78" s="156"/>
      <c r="CW78" s="157" t="e">
        <f t="shared" si="62"/>
        <v>#DIV/0!</v>
      </c>
      <c r="CX78" s="157" t="e">
        <f t="shared" si="63"/>
        <v>#DIV/0!</v>
      </c>
      <c r="CY78" s="157" t="e">
        <f t="shared" si="64"/>
        <v>#DIV/0!</v>
      </c>
      <c r="CZ78" s="157" t="e">
        <f t="shared" si="65"/>
        <v>#DIV/0!</v>
      </c>
      <c r="DA78" s="157" t="e">
        <f t="shared" si="66"/>
        <v>#DIV/0!</v>
      </c>
      <c r="DB78" s="158" t="e">
        <f t="shared" si="67"/>
        <v>#DIV/0!</v>
      </c>
      <c r="DC78" s="131"/>
      <c r="DD78" s="159">
        <f t="shared" si="68"/>
        <v>0</v>
      </c>
      <c r="DE78" s="160">
        <f t="shared" si="69"/>
        <v>0</v>
      </c>
      <c r="DF78" s="161">
        <f t="shared" si="70"/>
        <v>0</v>
      </c>
      <c r="DG78" s="162" t="e">
        <f t="shared" si="71"/>
        <v>#DIV/0!</v>
      </c>
      <c r="DH78" s="163">
        <f t="shared" si="72"/>
        <v>0</v>
      </c>
      <c r="DI78" s="164"/>
      <c r="DJ78" s="165">
        <f t="shared" si="55"/>
        <v>0</v>
      </c>
      <c r="DK78" s="166">
        <f t="shared" si="55"/>
        <v>0</v>
      </c>
      <c r="DL78" s="167" t="e">
        <f t="shared" si="73"/>
        <v>#DIV/0!</v>
      </c>
      <c r="DM78" s="168" t="e">
        <f t="shared" si="74"/>
        <v>#DIV/0!</v>
      </c>
      <c r="DN78" s="163" t="e">
        <f t="shared" si="75"/>
        <v>#DIV/0!</v>
      </c>
      <c r="DO78" s="169"/>
      <c r="DP78" s="170"/>
      <c r="DQ78" s="171"/>
      <c r="DR78" s="172">
        <f t="shared" si="76"/>
        <v>0</v>
      </c>
      <c r="DS78" s="173" t="e">
        <f t="shared" si="77"/>
        <v>#DIV/0!</v>
      </c>
      <c r="DT78" s="163" t="e">
        <f t="shared" si="78"/>
        <v>#DIV/0!</v>
      </c>
      <c r="DU78" s="174"/>
      <c r="DV78" s="175" t="e">
        <f t="shared" si="79"/>
        <v>#DIV/0!</v>
      </c>
      <c r="DW78" s="163">
        <f t="shared" si="80"/>
        <v>0</v>
      </c>
      <c r="DX78" s="164"/>
      <c r="DY78" s="176">
        <f t="shared" si="81"/>
        <v>0</v>
      </c>
      <c r="DZ78" s="177">
        <f t="shared" si="82"/>
        <v>0</v>
      </c>
      <c r="EA78" s="178">
        <f t="shared" si="83"/>
        <v>0</v>
      </c>
      <c r="EB78" s="179">
        <f t="shared" si="84"/>
        <v>0</v>
      </c>
      <c r="EC78" s="180"/>
      <c r="ED78" s="175" t="e">
        <f t="shared" si="85"/>
        <v>#DIV/0!</v>
      </c>
      <c r="EE78" s="163">
        <f t="shared" si="86"/>
        <v>0</v>
      </c>
      <c r="EF78" s="164"/>
      <c r="EG78" s="181">
        <f t="shared" si="87"/>
        <v>0</v>
      </c>
      <c r="EH78" s="182">
        <f t="shared" si="88"/>
        <v>0</v>
      </c>
      <c r="EI78" s="182">
        <f t="shared" si="89"/>
        <v>0</v>
      </c>
      <c r="EJ78" s="182">
        <f t="shared" si="90"/>
        <v>0</v>
      </c>
      <c r="EK78" s="183">
        <f t="shared" si="91"/>
        <v>0</v>
      </c>
      <c r="EL78" s="184" t="e">
        <f t="shared" si="92"/>
        <v>#DIV/0!</v>
      </c>
      <c r="EM78" s="185">
        <f t="shared" si="93"/>
        <v>0</v>
      </c>
      <c r="EN78" s="164"/>
      <c r="EO78" s="181">
        <f t="shared" si="94"/>
        <v>0</v>
      </c>
      <c r="EP78" s="183">
        <f t="shared" si="95"/>
        <v>0</v>
      </c>
      <c r="EQ78" s="184" t="e">
        <f t="shared" si="96"/>
        <v>#DIV/0!</v>
      </c>
      <c r="ER78" s="185">
        <f t="shared" si="97"/>
        <v>0</v>
      </c>
      <c r="ES78" s="164"/>
      <c r="ET78" s="164"/>
      <c r="EU78" s="186">
        <f t="shared" si="98"/>
        <v>0</v>
      </c>
      <c r="EV78" s="186">
        <f t="shared" si="99"/>
        <v>0</v>
      </c>
      <c r="EW78" s="186">
        <f t="shared" si="100"/>
        <v>0</v>
      </c>
      <c r="EX78" s="186">
        <f t="shared" si="101"/>
        <v>0</v>
      </c>
      <c r="EY78" s="131"/>
      <c r="EZ78" s="187">
        <f t="shared" si="102"/>
        <v>0</v>
      </c>
      <c r="FA78" s="188" t="e">
        <f t="shared" si="103"/>
        <v>#DIV/0!</v>
      </c>
      <c r="FB78" s="189"/>
      <c r="FC78" s="131"/>
      <c r="FD78" s="131"/>
      <c r="FE78" s="131"/>
      <c r="FF78" s="131"/>
      <c r="FG78" s="131"/>
    </row>
    <row r="79" spans="2:163" ht="16" outlineLevel="1" thickBot="1" x14ac:dyDescent="0.4">
      <c r="B79" s="358"/>
      <c r="C79" s="355"/>
      <c r="D79" s="243"/>
      <c r="E79" s="244"/>
      <c r="F79" s="135"/>
      <c r="G79" s="192"/>
      <c r="H79" s="245"/>
      <c r="I79" s="138">
        <f t="shared" si="56"/>
        <v>0</v>
      </c>
      <c r="J79" s="139"/>
      <c r="K79" s="208">
        <f t="shared" si="106"/>
        <v>0</v>
      </c>
      <c r="L79" s="141"/>
      <c r="M79" s="209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09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1"/>
      <c r="AN79" s="212">
        <f t="shared" si="58"/>
        <v>0</v>
      </c>
      <c r="AO79" s="146"/>
      <c r="AP79" s="147">
        <f t="shared" si="59"/>
        <v>0</v>
      </c>
      <c r="AQ79" s="148"/>
      <c r="AR79" s="213"/>
      <c r="AS79" s="213"/>
      <c r="AT79" s="135"/>
      <c r="AU79" s="214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4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7"/>
      <c r="CD79" s="214"/>
      <c r="CE79" s="209"/>
      <c r="CF79" s="210"/>
      <c r="CG79" s="210"/>
      <c r="CH79" s="210"/>
      <c r="CI79" s="210"/>
      <c r="CJ79" s="210"/>
      <c r="CK79" s="210"/>
      <c r="CL79" s="210"/>
      <c r="CM79" s="210"/>
      <c r="CN79" s="210"/>
      <c r="CO79" s="348"/>
      <c r="CP79" s="215"/>
      <c r="CQ79" s="216"/>
      <c r="CR79" s="217"/>
      <c r="CS79" s="218">
        <f t="shared" si="60"/>
        <v>0</v>
      </c>
      <c r="CT79" s="146"/>
      <c r="CU79" s="147">
        <f t="shared" si="61"/>
        <v>0</v>
      </c>
      <c r="CV79" s="156"/>
      <c r="CW79" s="157" t="e">
        <f t="shared" si="62"/>
        <v>#DIV/0!</v>
      </c>
      <c r="CX79" s="157" t="e">
        <f t="shared" si="63"/>
        <v>#DIV/0!</v>
      </c>
      <c r="CY79" s="157" t="e">
        <f t="shared" si="64"/>
        <v>#DIV/0!</v>
      </c>
      <c r="CZ79" s="157" t="e">
        <f t="shared" si="65"/>
        <v>#DIV/0!</v>
      </c>
      <c r="DA79" s="157" t="e">
        <f t="shared" si="66"/>
        <v>#DIV/0!</v>
      </c>
      <c r="DB79" s="158" t="e">
        <f t="shared" si="67"/>
        <v>#DIV/0!</v>
      </c>
      <c r="DC79" s="131"/>
      <c r="DD79" s="159">
        <f t="shared" si="68"/>
        <v>0</v>
      </c>
      <c r="DE79" s="160">
        <f t="shared" si="69"/>
        <v>0</v>
      </c>
      <c r="DF79" s="161">
        <f t="shared" si="70"/>
        <v>0</v>
      </c>
      <c r="DG79" s="162" t="e">
        <f t="shared" si="71"/>
        <v>#DIV/0!</v>
      </c>
      <c r="DH79" s="163">
        <f t="shared" si="72"/>
        <v>0</v>
      </c>
      <c r="DI79" s="164"/>
      <c r="DJ79" s="165">
        <f t="shared" si="55"/>
        <v>0</v>
      </c>
      <c r="DK79" s="166">
        <f t="shared" si="55"/>
        <v>0</v>
      </c>
      <c r="DL79" s="167" t="e">
        <f t="shared" si="73"/>
        <v>#DIV/0!</v>
      </c>
      <c r="DM79" s="168" t="e">
        <f t="shared" si="74"/>
        <v>#DIV/0!</v>
      </c>
      <c r="DN79" s="163" t="e">
        <f t="shared" si="75"/>
        <v>#DIV/0!</v>
      </c>
      <c r="DO79" s="169"/>
      <c r="DP79" s="170"/>
      <c r="DQ79" s="171"/>
      <c r="DR79" s="172">
        <f t="shared" si="76"/>
        <v>0</v>
      </c>
      <c r="DS79" s="173" t="e">
        <f t="shared" si="77"/>
        <v>#DIV/0!</v>
      </c>
      <c r="DT79" s="163" t="e">
        <f t="shared" si="78"/>
        <v>#DIV/0!</v>
      </c>
      <c r="DU79" s="174"/>
      <c r="DV79" s="175" t="e">
        <f t="shared" si="79"/>
        <v>#DIV/0!</v>
      </c>
      <c r="DW79" s="163">
        <f t="shared" si="80"/>
        <v>0</v>
      </c>
      <c r="DX79" s="164"/>
      <c r="DY79" s="176">
        <f t="shared" si="81"/>
        <v>0</v>
      </c>
      <c r="DZ79" s="177">
        <f t="shared" si="82"/>
        <v>0</v>
      </c>
      <c r="EA79" s="178">
        <f t="shared" si="83"/>
        <v>0</v>
      </c>
      <c r="EB79" s="179">
        <f t="shared" si="84"/>
        <v>0</v>
      </c>
      <c r="EC79" s="180"/>
      <c r="ED79" s="175" t="e">
        <f t="shared" si="85"/>
        <v>#DIV/0!</v>
      </c>
      <c r="EE79" s="163">
        <f t="shared" si="86"/>
        <v>0</v>
      </c>
      <c r="EF79" s="164"/>
      <c r="EG79" s="181">
        <f t="shared" si="87"/>
        <v>0</v>
      </c>
      <c r="EH79" s="182">
        <f t="shared" si="88"/>
        <v>0</v>
      </c>
      <c r="EI79" s="182">
        <f t="shared" si="89"/>
        <v>0</v>
      </c>
      <c r="EJ79" s="182">
        <f t="shared" si="90"/>
        <v>0</v>
      </c>
      <c r="EK79" s="183">
        <f t="shared" si="91"/>
        <v>0</v>
      </c>
      <c r="EL79" s="184" t="e">
        <f t="shared" si="92"/>
        <v>#DIV/0!</v>
      </c>
      <c r="EM79" s="185">
        <f t="shared" si="93"/>
        <v>0</v>
      </c>
      <c r="EN79" s="164"/>
      <c r="EO79" s="181">
        <f t="shared" si="94"/>
        <v>0</v>
      </c>
      <c r="EP79" s="183">
        <f t="shared" si="95"/>
        <v>0</v>
      </c>
      <c r="EQ79" s="184" t="e">
        <f t="shared" si="96"/>
        <v>#DIV/0!</v>
      </c>
      <c r="ER79" s="185">
        <f t="shared" si="97"/>
        <v>0</v>
      </c>
      <c r="ES79" s="164"/>
      <c r="ET79" s="164"/>
      <c r="EU79" s="186">
        <f t="shared" si="98"/>
        <v>0</v>
      </c>
      <c r="EV79" s="186">
        <f t="shared" si="99"/>
        <v>0</v>
      </c>
      <c r="EW79" s="186">
        <f t="shared" si="100"/>
        <v>0</v>
      </c>
      <c r="EX79" s="186">
        <f t="shared" si="101"/>
        <v>0</v>
      </c>
      <c r="EY79" s="131"/>
      <c r="EZ79" s="187">
        <f t="shared" si="102"/>
        <v>0</v>
      </c>
      <c r="FA79" s="188" t="e">
        <f t="shared" si="103"/>
        <v>#DIV/0!</v>
      </c>
      <c r="FB79" s="189"/>
      <c r="FC79" s="219"/>
      <c r="FD79" s="219"/>
      <c r="FE79" s="131"/>
      <c r="FF79" s="131"/>
      <c r="FG79" s="131"/>
    </row>
    <row r="80" spans="2:163" s="220" customFormat="1" ht="16" outlineLevel="1" thickBot="1" x14ac:dyDescent="0.4">
      <c r="B80" s="356"/>
      <c r="C80" s="353"/>
      <c r="D80" s="133"/>
      <c r="E80" s="134"/>
      <c r="F80" s="135"/>
      <c r="G80" s="136"/>
      <c r="H80" s="137"/>
      <c r="I80" s="138">
        <f t="shared" si="56"/>
        <v>0</v>
      </c>
      <c r="J80" s="139"/>
      <c r="K80" s="140">
        <f>E80*60</f>
        <v>0</v>
      </c>
      <c r="L80" s="141"/>
      <c r="M80" s="142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2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4"/>
      <c r="AN80" s="145">
        <f t="shared" si="58"/>
        <v>0</v>
      </c>
      <c r="AO80" s="146"/>
      <c r="AP80" s="147">
        <f t="shared" si="59"/>
        <v>0</v>
      </c>
      <c r="AQ80" s="221"/>
      <c r="AR80" s="149"/>
      <c r="AS80" s="149"/>
      <c r="AT80" s="222"/>
      <c r="AU80" s="223"/>
      <c r="AV80" s="224"/>
      <c r="AW80" s="224"/>
      <c r="AX80" s="224"/>
      <c r="AY80" s="224"/>
      <c r="AZ80" s="224"/>
      <c r="BA80" s="224"/>
      <c r="BB80" s="224"/>
      <c r="BC80" s="224"/>
      <c r="BD80" s="224"/>
      <c r="BE80" s="224"/>
      <c r="BF80" s="225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3"/>
      <c r="BS80" s="224"/>
      <c r="BT80" s="224"/>
      <c r="BU80" s="224"/>
      <c r="BV80" s="224"/>
      <c r="BW80" s="224"/>
      <c r="BX80" s="224"/>
      <c r="BY80" s="224"/>
      <c r="BZ80" s="224"/>
      <c r="CA80" s="224"/>
      <c r="CB80" s="224"/>
      <c r="CC80" s="226"/>
      <c r="CD80" s="223"/>
      <c r="CE80" s="142"/>
      <c r="CF80" s="143"/>
      <c r="CG80" s="143"/>
      <c r="CH80" s="143"/>
      <c r="CI80" s="143"/>
      <c r="CJ80" s="143"/>
      <c r="CK80" s="143"/>
      <c r="CL80" s="143"/>
      <c r="CM80" s="143"/>
      <c r="CN80" s="143"/>
      <c r="CO80" s="349"/>
      <c r="CP80" s="224"/>
      <c r="CQ80" s="225"/>
      <c r="CR80" s="226"/>
      <c r="CS80" s="227">
        <f t="shared" si="60"/>
        <v>0</v>
      </c>
      <c r="CT80" s="146"/>
      <c r="CU80" s="147">
        <f t="shared" si="61"/>
        <v>0</v>
      </c>
      <c r="CV80" s="156"/>
      <c r="CW80" s="157" t="e">
        <f t="shared" si="62"/>
        <v>#DIV/0!</v>
      </c>
      <c r="CX80" s="157" t="e">
        <f t="shared" si="63"/>
        <v>#DIV/0!</v>
      </c>
      <c r="CY80" s="157" t="e">
        <f t="shared" si="64"/>
        <v>#DIV/0!</v>
      </c>
      <c r="CZ80" s="157" t="e">
        <f t="shared" si="65"/>
        <v>#DIV/0!</v>
      </c>
      <c r="DA80" s="157" t="e">
        <f t="shared" si="66"/>
        <v>#DIV/0!</v>
      </c>
      <c r="DB80" s="158" t="e">
        <f t="shared" si="67"/>
        <v>#DIV/0!</v>
      </c>
      <c r="DC80" s="131"/>
      <c r="DD80" s="159">
        <f t="shared" si="68"/>
        <v>0</v>
      </c>
      <c r="DE80" s="160">
        <f t="shared" si="69"/>
        <v>0</v>
      </c>
      <c r="DF80" s="161">
        <f t="shared" si="70"/>
        <v>0</v>
      </c>
      <c r="DG80" s="162" t="e">
        <f t="shared" si="71"/>
        <v>#DIV/0!</v>
      </c>
      <c r="DH80" s="163">
        <f t="shared" si="72"/>
        <v>0</v>
      </c>
      <c r="DI80" s="164"/>
      <c r="DJ80" s="165">
        <f t="shared" si="55"/>
        <v>0</v>
      </c>
      <c r="DK80" s="166">
        <f t="shared" si="55"/>
        <v>0</v>
      </c>
      <c r="DL80" s="167" t="e">
        <f t="shared" si="73"/>
        <v>#DIV/0!</v>
      </c>
      <c r="DM80" s="168" t="e">
        <f t="shared" si="74"/>
        <v>#DIV/0!</v>
      </c>
      <c r="DN80" s="163" t="e">
        <f t="shared" si="75"/>
        <v>#DIV/0!</v>
      </c>
      <c r="DO80" s="169"/>
      <c r="DP80" s="170"/>
      <c r="DQ80" s="171"/>
      <c r="DR80" s="172">
        <f t="shared" si="76"/>
        <v>0</v>
      </c>
      <c r="DS80" s="173" t="e">
        <f t="shared" si="77"/>
        <v>#DIV/0!</v>
      </c>
      <c r="DT80" s="163" t="e">
        <f t="shared" si="78"/>
        <v>#DIV/0!</v>
      </c>
      <c r="DU80" s="174"/>
      <c r="DV80" s="175" t="e">
        <f t="shared" si="79"/>
        <v>#DIV/0!</v>
      </c>
      <c r="DW80" s="163">
        <f t="shared" si="80"/>
        <v>0</v>
      </c>
      <c r="DX80" s="164"/>
      <c r="DY80" s="176">
        <f t="shared" si="81"/>
        <v>0</v>
      </c>
      <c r="DZ80" s="177">
        <f t="shared" si="82"/>
        <v>0</v>
      </c>
      <c r="EA80" s="178">
        <f t="shared" si="83"/>
        <v>0</v>
      </c>
      <c r="EB80" s="179">
        <f t="shared" si="84"/>
        <v>0</v>
      </c>
      <c r="EC80" s="180"/>
      <c r="ED80" s="175" t="e">
        <f t="shared" si="85"/>
        <v>#DIV/0!</v>
      </c>
      <c r="EE80" s="163">
        <f t="shared" si="86"/>
        <v>0</v>
      </c>
      <c r="EF80" s="164"/>
      <c r="EG80" s="181">
        <f t="shared" si="87"/>
        <v>0</v>
      </c>
      <c r="EH80" s="182">
        <f t="shared" si="88"/>
        <v>0</v>
      </c>
      <c r="EI80" s="182">
        <f t="shared" si="89"/>
        <v>0</v>
      </c>
      <c r="EJ80" s="182">
        <f t="shared" si="90"/>
        <v>0</v>
      </c>
      <c r="EK80" s="183">
        <f t="shared" si="91"/>
        <v>0</v>
      </c>
      <c r="EL80" s="184" t="e">
        <f t="shared" si="92"/>
        <v>#DIV/0!</v>
      </c>
      <c r="EM80" s="185">
        <f t="shared" si="93"/>
        <v>0</v>
      </c>
      <c r="EN80" s="164"/>
      <c r="EO80" s="181">
        <f t="shared" si="94"/>
        <v>0</v>
      </c>
      <c r="EP80" s="183">
        <f t="shared" si="95"/>
        <v>0</v>
      </c>
      <c r="EQ80" s="184" t="e">
        <f t="shared" si="96"/>
        <v>#DIV/0!</v>
      </c>
      <c r="ER80" s="185">
        <f t="shared" si="97"/>
        <v>0</v>
      </c>
      <c r="ES80" s="164"/>
      <c r="ET80" s="164"/>
      <c r="EU80" s="186">
        <f t="shared" si="98"/>
        <v>0</v>
      </c>
      <c r="EV80" s="186">
        <f t="shared" si="99"/>
        <v>0</v>
      </c>
      <c r="EW80" s="186">
        <f t="shared" si="100"/>
        <v>0</v>
      </c>
      <c r="EX80" s="186">
        <f t="shared" si="101"/>
        <v>0</v>
      </c>
      <c r="EY80" s="131"/>
      <c r="EZ80" s="187">
        <f t="shared" si="102"/>
        <v>0</v>
      </c>
      <c r="FA80" s="188" t="e">
        <f t="shared" si="103"/>
        <v>#DIV/0!</v>
      </c>
      <c r="FB80" s="189"/>
      <c r="FC80" s="219"/>
      <c r="FD80" s="219"/>
      <c r="FE80" s="219"/>
      <c r="FF80" s="219"/>
      <c r="FG80" s="219"/>
    </row>
    <row r="81" spans="2:163" s="220" customFormat="1" ht="16" outlineLevel="1" thickBot="1" x14ac:dyDescent="0.4">
      <c r="B81" s="357"/>
      <c r="C81" s="354"/>
      <c r="D81" s="240"/>
      <c r="E81" s="241"/>
      <c r="F81" s="135"/>
      <c r="G81" s="192"/>
      <c r="H81" s="242"/>
      <c r="I81" s="138">
        <f t="shared" si="56"/>
        <v>0</v>
      </c>
      <c r="J81" s="139"/>
      <c r="K81" s="193">
        <f t="shared" ref="K81:K103" si="107">E81*60</f>
        <v>0</v>
      </c>
      <c r="L81" s="141"/>
      <c r="M81" s="194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4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6"/>
      <c r="AN81" s="197">
        <f t="shared" si="58"/>
        <v>0</v>
      </c>
      <c r="AO81" s="146"/>
      <c r="AP81" s="147">
        <f t="shared" si="59"/>
        <v>0</v>
      </c>
      <c r="AQ81" s="221"/>
      <c r="AR81" s="198"/>
      <c r="AS81" s="198"/>
      <c r="AT81" s="222"/>
      <c r="AU81" s="228"/>
      <c r="AV81" s="229"/>
      <c r="AW81" s="229"/>
      <c r="AX81" s="229"/>
      <c r="AY81" s="229"/>
      <c r="AZ81" s="229"/>
      <c r="BA81" s="229"/>
      <c r="BB81" s="229"/>
      <c r="BC81" s="229"/>
      <c r="BD81" s="229"/>
      <c r="BE81" s="229"/>
      <c r="BF81" s="230"/>
      <c r="BG81" s="230"/>
      <c r="BH81" s="230"/>
      <c r="BI81" s="230"/>
      <c r="BJ81" s="230"/>
      <c r="BK81" s="230"/>
      <c r="BL81" s="230"/>
      <c r="BM81" s="230"/>
      <c r="BN81" s="230"/>
      <c r="BO81" s="230"/>
      <c r="BP81" s="230"/>
      <c r="BQ81" s="230"/>
      <c r="BR81" s="228"/>
      <c r="BS81" s="229"/>
      <c r="BT81" s="229"/>
      <c r="BU81" s="229"/>
      <c r="BV81" s="229"/>
      <c r="BW81" s="229"/>
      <c r="BX81" s="229"/>
      <c r="BY81" s="229"/>
      <c r="BZ81" s="229"/>
      <c r="CA81" s="229"/>
      <c r="CB81" s="229"/>
      <c r="CC81" s="231"/>
      <c r="CD81" s="228"/>
      <c r="CE81" s="194"/>
      <c r="CF81" s="195"/>
      <c r="CG81" s="195"/>
      <c r="CH81" s="195"/>
      <c r="CI81" s="195"/>
      <c r="CJ81" s="195"/>
      <c r="CK81" s="195"/>
      <c r="CL81" s="195"/>
      <c r="CM81" s="195"/>
      <c r="CN81" s="195"/>
      <c r="CO81" s="350"/>
      <c r="CP81" s="229"/>
      <c r="CQ81" s="230"/>
      <c r="CR81" s="231"/>
      <c r="CS81" s="232">
        <f t="shared" si="60"/>
        <v>0</v>
      </c>
      <c r="CT81" s="146"/>
      <c r="CU81" s="147">
        <f t="shared" si="61"/>
        <v>0</v>
      </c>
      <c r="CV81" s="156"/>
      <c r="CW81" s="157" t="e">
        <f t="shared" si="62"/>
        <v>#DIV/0!</v>
      </c>
      <c r="CX81" s="157" t="e">
        <f t="shared" si="63"/>
        <v>#DIV/0!</v>
      </c>
      <c r="CY81" s="157" t="e">
        <f t="shared" si="64"/>
        <v>#DIV/0!</v>
      </c>
      <c r="CZ81" s="157" t="e">
        <f t="shared" si="65"/>
        <v>#DIV/0!</v>
      </c>
      <c r="DA81" s="157" t="e">
        <f t="shared" si="66"/>
        <v>#DIV/0!</v>
      </c>
      <c r="DB81" s="158" t="e">
        <f t="shared" si="67"/>
        <v>#DIV/0!</v>
      </c>
      <c r="DC81" s="131"/>
      <c r="DD81" s="159">
        <f t="shared" si="68"/>
        <v>0</v>
      </c>
      <c r="DE81" s="160">
        <f t="shared" si="69"/>
        <v>0</v>
      </c>
      <c r="DF81" s="161">
        <f t="shared" si="70"/>
        <v>0</v>
      </c>
      <c r="DG81" s="162" t="e">
        <f t="shared" si="71"/>
        <v>#DIV/0!</v>
      </c>
      <c r="DH81" s="163">
        <f t="shared" si="72"/>
        <v>0</v>
      </c>
      <c r="DI81" s="164"/>
      <c r="DJ81" s="165">
        <f t="shared" si="55"/>
        <v>0</v>
      </c>
      <c r="DK81" s="166">
        <f t="shared" si="55"/>
        <v>0</v>
      </c>
      <c r="DL81" s="167" t="e">
        <f t="shared" si="73"/>
        <v>#DIV/0!</v>
      </c>
      <c r="DM81" s="168" t="e">
        <f t="shared" si="74"/>
        <v>#DIV/0!</v>
      </c>
      <c r="DN81" s="163" t="e">
        <f t="shared" si="75"/>
        <v>#DIV/0!</v>
      </c>
      <c r="DO81" s="169"/>
      <c r="DP81" s="170"/>
      <c r="DQ81" s="171"/>
      <c r="DR81" s="172">
        <f t="shared" si="76"/>
        <v>0</v>
      </c>
      <c r="DS81" s="173" t="e">
        <f t="shared" si="77"/>
        <v>#DIV/0!</v>
      </c>
      <c r="DT81" s="163" t="e">
        <f t="shared" si="78"/>
        <v>#DIV/0!</v>
      </c>
      <c r="DU81" s="174"/>
      <c r="DV81" s="175" t="e">
        <f t="shared" si="79"/>
        <v>#DIV/0!</v>
      </c>
      <c r="DW81" s="163">
        <f t="shared" si="80"/>
        <v>0</v>
      </c>
      <c r="DX81" s="164"/>
      <c r="DY81" s="176">
        <f t="shared" si="81"/>
        <v>0</v>
      </c>
      <c r="DZ81" s="177">
        <f t="shared" si="82"/>
        <v>0</v>
      </c>
      <c r="EA81" s="178">
        <f t="shared" si="83"/>
        <v>0</v>
      </c>
      <c r="EB81" s="179">
        <f t="shared" si="84"/>
        <v>0</v>
      </c>
      <c r="EC81" s="180"/>
      <c r="ED81" s="175" t="e">
        <f t="shared" si="85"/>
        <v>#DIV/0!</v>
      </c>
      <c r="EE81" s="163">
        <f t="shared" si="86"/>
        <v>0</v>
      </c>
      <c r="EF81" s="164"/>
      <c r="EG81" s="181">
        <f t="shared" si="87"/>
        <v>0</v>
      </c>
      <c r="EH81" s="182">
        <f t="shared" si="88"/>
        <v>0</v>
      </c>
      <c r="EI81" s="182">
        <f t="shared" si="89"/>
        <v>0</v>
      </c>
      <c r="EJ81" s="182">
        <f t="shared" si="90"/>
        <v>0</v>
      </c>
      <c r="EK81" s="183">
        <f t="shared" si="91"/>
        <v>0</v>
      </c>
      <c r="EL81" s="184" t="e">
        <f t="shared" si="92"/>
        <v>#DIV/0!</v>
      </c>
      <c r="EM81" s="185">
        <f t="shared" si="93"/>
        <v>0</v>
      </c>
      <c r="EN81" s="164"/>
      <c r="EO81" s="181">
        <f t="shared" si="94"/>
        <v>0</v>
      </c>
      <c r="EP81" s="183">
        <f t="shared" si="95"/>
        <v>0</v>
      </c>
      <c r="EQ81" s="184" t="e">
        <f t="shared" si="96"/>
        <v>#DIV/0!</v>
      </c>
      <c r="ER81" s="185">
        <f t="shared" si="97"/>
        <v>0</v>
      </c>
      <c r="ES81" s="164"/>
      <c r="ET81" s="164"/>
      <c r="EU81" s="186">
        <f t="shared" si="98"/>
        <v>0</v>
      </c>
      <c r="EV81" s="186">
        <f t="shared" si="99"/>
        <v>0</v>
      </c>
      <c r="EW81" s="186">
        <f t="shared" si="100"/>
        <v>0</v>
      </c>
      <c r="EX81" s="186">
        <f t="shared" si="101"/>
        <v>0</v>
      </c>
      <c r="EY81" s="131"/>
      <c r="EZ81" s="187">
        <f t="shared" si="102"/>
        <v>0</v>
      </c>
      <c r="FA81" s="188" t="e">
        <f t="shared" si="103"/>
        <v>#DIV/0!</v>
      </c>
      <c r="FB81" s="189"/>
      <c r="FC81" s="219"/>
      <c r="FD81" s="219"/>
      <c r="FE81" s="219"/>
      <c r="FF81" s="219"/>
      <c r="FG81" s="219"/>
    </row>
    <row r="82" spans="2:163" s="220" customFormat="1" ht="16" outlineLevel="1" thickBot="1" x14ac:dyDescent="0.4">
      <c r="B82" s="358"/>
      <c r="C82" s="355"/>
      <c r="D82" s="243"/>
      <c r="E82" s="244"/>
      <c r="F82" s="135"/>
      <c r="G82" s="192"/>
      <c r="H82" s="245"/>
      <c r="I82" s="138">
        <f t="shared" si="56"/>
        <v>0</v>
      </c>
      <c r="J82" s="139"/>
      <c r="K82" s="208">
        <f t="shared" si="107"/>
        <v>0</v>
      </c>
      <c r="L82" s="141"/>
      <c r="M82" s="209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09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1"/>
      <c r="AN82" s="212">
        <f t="shared" si="58"/>
        <v>0</v>
      </c>
      <c r="AO82" s="146"/>
      <c r="AP82" s="147">
        <f t="shared" si="59"/>
        <v>0</v>
      </c>
      <c r="AQ82" s="221"/>
      <c r="AR82" s="213"/>
      <c r="AS82" s="213"/>
      <c r="AT82" s="222"/>
      <c r="AU82" s="233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3"/>
      <c r="BS82" s="234"/>
      <c r="BT82" s="234"/>
      <c r="BU82" s="234"/>
      <c r="BV82" s="234"/>
      <c r="BW82" s="234"/>
      <c r="BX82" s="234"/>
      <c r="BY82" s="234"/>
      <c r="BZ82" s="234"/>
      <c r="CA82" s="234"/>
      <c r="CB82" s="234"/>
      <c r="CC82" s="236"/>
      <c r="CD82" s="233"/>
      <c r="CE82" s="209"/>
      <c r="CF82" s="210"/>
      <c r="CG82" s="210"/>
      <c r="CH82" s="210"/>
      <c r="CI82" s="210"/>
      <c r="CJ82" s="210"/>
      <c r="CK82" s="210"/>
      <c r="CL82" s="210"/>
      <c r="CM82" s="210"/>
      <c r="CN82" s="210"/>
      <c r="CO82" s="351"/>
      <c r="CP82" s="234"/>
      <c r="CQ82" s="235"/>
      <c r="CR82" s="236"/>
      <c r="CS82" s="237">
        <f t="shared" si="60"/>
        <v>0</v>
      </c>
      <c r="CT82" s="146"/>
      <c r="CU82" s="147">
        <f t="shared" si="61"/>
        <v>0</v>
      </c>
      <c r="CV82" s="156"/>
      <c r="CW82" s="157" t="e">
        <f t="shared" si="62"/>
        <v>#DIV/0!</v>
      </c>
      <c r="CX82" s="157" t="e">
        <f t="shared" si="63"/>
        <v>#DIV/0!</v>
      </c>
      <c r="CY82" s="157" t="e">
        <f t="shared" si="64"/>
        <v>#DIV/0!</v>
      </c>
      <c r="CZ82" s="157" t="e">
        <f t="shared" si="65"/>
        <v>#DIV/0!</v>
      </c>
      <c r="DA82" s="157" t="e">
        <f t="shared" si="66"/>
        <v>#DIV/0!</v>
      </c>
      <c r="DB82" s="158" t="e">
        <f t="shared" si="67"/>
        <v>#DIV/0!</v>
      </c>
      <c r="DC82" s="131"/>
      <c r="DD82" s="159">
        <f t="shared" si="68"/>
        <v>0</v>
      </c>
      <c r="DE82" s="160">
        <f t="shared" si="69"/>
        <v>0</v>
      </c>
      <c r="DF82" s="161">
        <f t="shared" si="70"/>
        <v>0</v>
      </c>
      <c r="DG82" s="162" t="e">
        <f t="shared" si="71"/>
        <v>#DIV/0!</v>
      </c>
      <c r="DH82" s="163">
        <f t="shared" si="72"/>
        <v>0</v>
      </c>
      <c r="DI82" s="164"/>
      <c r="DJ82" s="165">
        <f t="shared" si="55"/>
        <v>0</v>
      </c>
      <c r="DK82" s="166">
        <f t="shared" si="55"/>
        <v>0</v>
      </c>
      <c r="DL82" s="167" t="e">
        <f t="shared" si="73"/>
        <v>#DIV/0!</v>
      </c>
      <c r="DM82" s="168" t="e">
        <f t="shared" si="74"/>
        <v>#DIV/0!</v>
      </c>
      <c r="DN82" s="163" t="e">
        <f t="shared" si="75"/>
        <v>#DIV/0!</v>
      </c>
      <c r="DO82" s="169"/>
      <c r="DP82" s="170"/>
      <c r="DQ82" s="171"/>
      <c r="DR82" s="172">
        <f t="shared" si="76"/>
        <v>0</v>
      </c>
      <c r="DS82" s="173" t="e">
        <f t="shared" si="77"/>
        <v>#DIV/0!</v>
      </c>
      <c r="DT82" s="163" t="e">
        <f t="shared" si="78"/>
        <v>#DIV/0!</v>
      </c>
      <c r="DU82" s="174"/>
      <c r="DV82" s="175" t="e">
        <f t="shared" si="79"/>
        <v>#DIV/0!</v>
      </c>
      <c r="DW82" s="163">
        <f t="shared" si="80"/>
        <v>0</v>
      </c>
      <c r="DX82" s="164"/>
      <c r="DY82" s="176">
        <f t="shared" si="81"/>
        <v>0</v>
      </c>
      <c r="DZ82" s="177">
        <f t="shared" si="82"/>
        <v>0</v>
      </c>
      <c r="EA82" s="178">
        <f t="shared" si="83"/>
        <v>0</v>
      </c>
      <c r="EB82" s="179">
        <f t="shared" si="84"/>
        <v>0</v>
      </c>
      <c r="EC82" s="180"/>
      <c r="ED82" s="175" t="e">
        <f t="shared" si="85"/>
        <v>#DIV/0!</v>
      </c>
      <c r="EE82" s="163">
        <f t="shared" si="86"/>
        <v>0</v>
      </c>
      <c r="EF82" s="164"/>
      <c r="EG82" s="181">
        <f t="shared" si="87"/>
        <v>0</v>
      </c>
      <c r="EH82" s="182">
        <f t="shared" si="88"/>
        <v>0</v>
      </c>
      <c r="EI82" s="182">
        <f t="shared" si="89"/>
        <v>0</v>
      </c>
      <c r="EJ82" s="182">
        <f t="shared" si="90"/>
        <v>0</v>
      </c>
      <c r="EK82" s="183">
        <f t="shared" si="91"/>
        <v>0</v>
      </c>
      <c r="EL82" s="184" t="e">
        <f t="shared" si="92"/>
        <v>#DIV/0!</v>
      </c>
      <c r="EM82" s="185">
        <f t="shared" si="93"/>
        <v>0</v>
      </c>
      <c r="EN82" s="164"/>
      <c r="EO82" s="181">
        <f t="shared" si="94"/>
        <v>0</v>
      </c>
      <c r="EP82" s="183">
        <f t="shared" si="95"/>
        <v>0</v>
      </c>
      <c r="EQ82" s="184" t="e">
        <f t="shared" si="96"/>
        <v>#DIV/0!</v>
      </c>
      <c r="ER82" s="185">
        <f t="shared" si="97"/>
        <v>0</v>
      </c>
      <c r="ES82" s="164"/>
      <c r="ET82" s="164"/>
      <c r="EU82" s="186">
        <f t="shared" si="98"/>
        <v>0</v>
      </c>
      <c r="EV82" s="186">
        <f t="shared" si="99"/>
        <v>0</v>
      </c>
      <c r="EW82" s="186">
        <f t="shared" si="100"/>
        <v>0</v>
      </c>
      <c r="EX82" s="186">
        <f t="shared" si="101"/>
        <v>0</v>
      </c>
      <c r="EY82" s="131"/>
      <c r="EZ82" s="187">
        <f t="shared" si="102"/>
        <v>0</v>
      </c>
      <c r="FA82" s="188" t="e">
        <f t="shared" si="103"/>
        <v>#DIV/0!</v>
      </c>
      <c r="FB82" s="189"/>
      <c r="FC82" s="131"/>
      <c r="FD82" s="131"/>
      <c r="FE82" s="219"/>
      <c r="FF82" s="219"/>
      <c r="FG82" s="219"/>
    </row>
    <row r="83" spans="2:163" s="220" customFormat="1" ht="16" outlineLevel="1" thickBot="1" x14ac:dyDescent="0.4">
      <c r="B83" s="356"/>
      <c r="C83" s="353"/>
      <c r="D83" s="133"/>
      <c r="E83" s="134"/>
      <c r="F83" s="135"/>
      <c r="G83" s="136"/>
      <c r="H83" s="137"/>
      <c r="I83" s="138">
        <f>IF(E83&gt;0.0001,9.4,0)</f>
        <v>0</v>
      </c>
      <c r="J83" s="139"/>
      <c r="K83" s="140">
        <f t="shared" si="107"/>
        <v>0</v>
      </c>
      <c r="L83" s="141"/>
      <c r="M83" s="142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2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4"/>
      <c r="AN83" s="145">
        <f t="shared" si="58"/>
        <v>0</v>
      </c>
      <c r="AO83" s="146"/>
      <c r="AP83" s="147">
        <f t="shared" si="59"/>
        <v>0</v>
      </c>
      <c r="AQ83" s="221"/>
      <c r="AR83" s="149"/>
      <c r="AS83" s="149"/>
      <c r="AT83" s="222"/>
      <c r="AU83" s="223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3"/>
      <c r="BS83" s="224"/>
      <c r="BT83" s="224"/>
      <c r="BU83" s="224"/>
      <c r="BV83" s="224"/>
      <c r="BW83" s="224"/>
      <c r="BX83" s="224"/>
      <c r="BY83" s="224"/>
      <c r="BZ83" s="224"/>
      <c r="CA83" s="224"/>
      <c r="CB83" s="224"/>
      <c r="CC83" s="226"/>
      <c r="CD83" s="223"/>
      <c r="CE83" s="142"/>
      <c r="CF83" s="143"/>
      <c r="CG83" s="143"/>
      <c r="CH83" s="143"/>
      <c r="CI83" s="143"/>
      <c r="CJ83" s="143"/>
      <c r="CK83" s="143"/>
      <c r="CL83" s="143"/>
      <c r="CM83" s="143"/>
      <c r="CN83" s="143"/>
      <c r="CO83" s="349"/>
      <c r="CP83" s="224"/>
      <c r="CQ83" s="225"/>
      <c r="CR83" s="226"/>
      <c r="CS83" s="227">
        <f t="shared" si="60"/>
        <v>0</v>
      </c>
      <c r="CT83" s="146"/>
      <c r="CU83" s="147">
        <f t="shared" si="61"/>
        <v>0</v>
      </c>
      <c r="CV83" s="156"/>
      <c r="CW83" s="157" t="e">
        <f t="shared" si="62"/>
        <v>#DIV/0!</v>
      </c>
      <c r="CX83" s="157" t="e">
        <f t="shared" si="63"/>
        <v>#DIV/0!</v>
      </c>
      <c r="CY83" s="157" t="e">
        <f t="shared" si="64"/>
        <v>#DIV/0!</v>
      </c>
      <c r="CZ83" s="157" t="e">
        <f t="shared" si="65"/>
        <v>#DIV/0!</v>
      </c>
      <c r="DA83" s="157" t="e">
        <f t="shared" si="66"/>
        <v>#DIV/0!</v>
      </c>
      <c r="DB83" s="158" t="e">
        <f t="shared" si="67"/>
        <v>#DIV/0!</v>
      </c>
      <c r="DC83" s="131"/>
      <c r="DD83" s="159">
        <f t="shared" si="68"/>
        <v>0</v>
      </c>
      <c r="DE83" s="160">
        <f t="shared" si="69"/>
        <v>0</v>
      </c>
      <c r="DF83" s="161">
        <f t="shared" si="70"/>
        <v>0</v>
      </c>
      <c r="DG83" s="162" t="e">
        <f t="shared" si="71"/>
        <v>#DIV/0!</v>
      </c>
      <c r="DH83" s="163">
        <f t="shared" si="72"/>
        <v>0</v>
      </c>
      <c r="DI83" s="164"/>
      <c r="DJ83" s="165">
        <f t="shared" si="55"/>
        <v>0</v>
      </c>
      <c r="DK83" s="166">
        <f t="shared" si="55"/>
        <v>0</v>
      </c>
      <c r="DL83" s="167" t="e">
        <f t="shared" si="73"/>
        <v>#DIV/0!</v>
      </c>
      <c r="DM83" s="168" t="e">
        <f t="shared" si="74"/>
        <v>#DIV/0!</v>
      </c>
      <c r="DN83" s="163" t="e">
        <f t="shared" si="75"/>
        <v>#DIV/0!</v>
      </c>
      <c r="DO83" s="169"/>
      <c r="DP83" s="170"/>
      <c r="DQ83" s="171"/>
      <c r="DR83" s="172">
        <f t="shared" si="76"/>
        <v>0</v>
      </c>
      <c r="DS83" s="173" t="e">
        <f t="shared" si="77"/>
        <v>#DIV/0!</v>
      </c>
      <c r="DT83" s="163" t="e">
        <f t="shared" si="78"/>
        <v>#DIV/0!</v>
      </c>
      <c r="DU83" s="174"/>
      <c r="DV83" s="175" t="e">
        <f t="shared" si="79"/>
        <v>#DIV/0!</v>
      </c>
      <c r="DW83" s="163">
        <f t="shared" si="80"/>
        <v>0</v>
      </c>
      <c r="DX83" s="164"/>
      <c r="DY83" s="176">
        <f t="shared" si="81"/>
        <v>0</v>
      </c>
      <c r="DZ83" s="177">
        <f t="shared" si="82"/>
        <v>0</v>
      </c>
      <c r="EA83" s="178">
        <f t="shared" si="83"/>
        <v>0</v>
      </c>
      <c r="EB83" s="179">
        <f t="shared" si="84"/>
        <v>0</v>
      </c>
      <c r="EC83" s="180"/>
      <c r="ED83" s="175" t="e">
        <f t="shared" si="85"/>
        <v>#DIV/0!</v>
      </c>
      <c r="EE83" s="163">
        <f t="shared" si="86"/>
        <v>0</v>
      </c>
      <c r="EF83" s="164"/>
      <c r="EG83" s="181">
        <f t="shared" si="87"/>
        <v>0</v>
      </c>
      <c r="EH83" s="182">
        <f t="shared" si="88"/>
        <v>0</v>
      </c>
      <c r="EI83" s="182">
        <f t="shared" si="89"/>
        <v>0</v>
      </c>
      <c r="EJ83" s="182">
        <f t="shared" si="90"/>
        <v>0</v>
      </c>
      <c r="EK83" s="183">
        <f t="shared" si="91"/>
        <v>0</v>
      </c>
      <c r="EL83" s="184" t="e">
        <f t="shared" si="92"/>
        <v>#DIV/0!</v>
      </c>
      <c r="EM83" s="185">
        <f t="shared" si="93"/>
        <v>0</v>
      </c>
      <c r="EN83" s="164"/>
      <c r="EO83" s="181">
        <f t="shared" si="94"/>
        <v>0</v>
      </c>
      <c r="EP83" s="183">
        <f t="shared" si="95"/>
        <v>0</v>
      </c>
      <c r="EQ83" s="184" t="e">
        <f t="shared" si="96"/>
        <v>#DIV/0!</v>
      </c>
      <c r="ER83" s="185">
        <f t="shared" si="97"/>
        <v>0</v>
      </c>
      <c r="ES83" s="164"/>
      <c r="ET83" s="164"/>
      <c r="EU83" s="186">
        <f t="shared" si="98"/>
        <v>0</v>
      </c>
      <c r="EV83" s="186">
        <f t="shared" si="99"/>
        <v>0</v>
      </c>
      <c r="EW83" s="186">
        <f t="shared" si="100"/>
        <v>0</v>
      </c>
      <c r="EX83" s="186">
        <f t="shared" si="101"/>
        <v>0</v>
      </c>
      <c r="EY83" s="131"/>
      <c r="EZ83" s="187">
        <f t="shared" si="102"/>
        <v>0</v>
      </c>
      <c r="FA83" s="188" t="e">
        <f t="shared" si="103"/>
        <v>#DIV/0!</v>
      </c>
      <c r="FB83" s="189"/>
      <c r="FC83" s="219"/>
      <c r="FD83" s="219"/>
      <c r="FE83" s="219"/>
      <c r="FF83" s="219"/>
      <c r="FG83" s="219"/>
    </row>
    <row r="84" spans="2:163" s="220" customFormat="1" ht="16" outlineLevel="1" thickBot="1" x14ac:dyDescent="0.4">
      <c r="B84" s="357"/>
      <c r="C84" s="354"/>
      <c r="D84" s="190"/>
      <c r="E84" s="191"/>
      <c r="F84" s="135"/>
      <c r="G84" s="192"/>
      <c r="H84" s="137"/>
      <c r="I84" s="138">
        <f t="shared" si="56"/>
        <v>0</v>
      </c>
      <c r="J84" s="139"/>
      <c r="K84" s="193">
        <f t="shared" si="107"/>
        <v>0</v>
      </c>
      <c r="L84" s="141"/>
      <c r="M84" s="194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4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6"/>
      <c r="AN84" s="197">
        <f t="shared" si="58"/>
        <v>0</v>
      </c>
      <c r="AO84" s="146"/>
      <c r="AP84" s="147">
        <f t="shared" si="59"/>
        <v>0</v>
      </c>
      <c r="AQ84" s="221"/>
      <c r="AR84" s="198"/>
      <c r="AS84" s="198"/>
      <c r="AT84" s="222"/>
      <c r="AU84" s="228"/>
      <c r="AV84" s="229"/>
      <c r="AW84" s="229"/>
      <c r="AX84" s="229"/>
      <c r="AY84" s="229"/>
      <c r="AZ84" s="229"/>
      <c r="BA84" s="229"/>
      <c r="BB84" s="229"/>
      <c r="BC84" s="229"/>
      <c r="BD84" s="229"/>
      <c r="BE84" s="229"/>
      <c r="BF84" s="230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28"/>
      <c r="BS84" s="229"/>
      <c r="BT84" s="229"/>
      <c r="BU84" s="229"/>
      <c r="BV84" s="229"/>
      <c r="BW84" s="229"/>
      <c r="BX84" s="229"/>
      <c r="BY84" s="229"/>
      <c r="BZ84" s="229"/>
      <c r="CA84" s="229"/>
      <c r="CB84" s="229"/>
      <c r="CC84" s="231"/>
      <c r="CD84" s="228"/>
      <c r="CE84" s="194"/>
      <c r="CF84" s="195"/>
      <c r="CG84" s="195"/>
      <c r="CH84" s="195"/>
      <c r="CI84" s="195"/>
      <c r="CJ84" s="195"/>
      <c r="CK84" s="195"/>
      <c r="CL84" s="195"/>
      <c r="CM84" s="195"/>
      <c r="CN84" s="195"/>
      <c r="CO84" s="350"/>
      <c r="CP84" s="229"/>
      <c r="CQ84" s="230"/>
      <c r="CR84" s="231"/>
      <c r="CS84" s="232">
        <f t="shared" si="60"/>
        <v>0</v>
      </c>
      <c r="CT84" s="146"/>
      <c r="CU84" s="147">
        <f t="shared" si="61"/>
        <v>0</v>
      </c>
      <c r="CV84" s="156"/>
      <c r="CW84" s="157" t="e">
        <f t="shared" si="62"/>
        <v>#DIV/0!</v>
      </c>
      <c r="CX84" s="157" t="e">
        <f t="shared" si="63"/>
        <v>#DIV/0!</v>
      </c>
      <c r="CY84" s="157" t="e">
        <f t="shared" si="64"/>
        <v>#DIV/0!</v>
      </c>
      <c r="CZ84" s="157" t="e">
        <f t="shared" si="65"/>
        <v>#DIV/0!</v>
      </c>
      <c r="DA84" s="157" t="e">
        <f t="shared" si="66"/>
        <v>#DIV/0!</v>
      </c>
      <c r="DB84" s="158" t="e">
        <f t="shared" si="67"/>
        <v>#DIV/0!</v>
      </c>
      <c r="DC84" s="131"/>
      <c r="DD84" s="159">
        <f t="shared" si="68"/>
        <v>0</v>
      </c>
      <c r="DE84" s="160">
        <f t="shared" si="69"/>
        <v>0</v>
      </c>
      <c r="DF84" s="161">
        <f t="shared" si="70"/>
        <v>0</v>
      </c>
      <c r="DG84" s="162" t="e">
        <f t="shared" si="71"/>
        <v>#DIV/0!</v>
      </c>
      <c r="DH84" s="163">
        <f t="shared" si="72"/>
        <v>0</v>
      </c>
      <c r="DI84" s="164"/>
      <c r="DJ84" s="165">
        <f t="shared" si="55"/>
        <v>0</v>
      </c>
      <c r="DK84" s="166">
        <f t="shared" si="55"/>
        <v>0</v>
      </c>
      <c r="DL84" s="167" t="e">
        <f t="shared" si="73"/>
        <v>#DIV/0!</v>
      </c>
      <c r="DM84" s="168" t="e">
        <f t="shared" si="74"/>
        <v>#DIV/0!</v>
      </c>
      <c r="DN84" s="163" t="e">
        <f t="shared" si="75"/>
        <v>#DIV/0!</v>
      </c>
      <c r="DO84" s="169"/>
      <c r="DP84" s="170"/>
      <c r="DQ84" s="171"/>
      <c r="DR84" s="172">
        <f t="shared" si="76"/>
        <v>0</v>
      </c>
      <c r="DS84" s="173" t="e">
        <f t="shared" si="77"/>
        <v>#DIV/0!</v>
      </c>
      <c r="DT84" s="163" t="e">
        <f t="shared" si="78"/>
        <v>#DIV/0!</v>
      </c>
      <c r="DU84" s="174"/>
      <c r="DV84" s="175" t="e">
        <f t="shared" si="79"/>
        <v>#DIV/0!</v>
      </c>
      <c r="DW84" s="163">
        <f t="shared" si="80"/>
        <v>0</v>
      </c>
      <c r="DX84" s="164"/>
      <c r="DY84" s="176">
        <f t="shared" si="81"/>
        <v>0</v>
      </c>
      <c r="DZ84" s="177">
        <f t="shared" si="82"/>
        <v>0</v>
      </c>
      <c r="EA84" s="178">
        <f t="shared" si="83"/>
        <v>0</v>
      </c>
      <c r="EB84" s="179">
        <f t="shared" si="84"/>
        <v>0</v>
      </c>
      <c r="EC84" s="180"/>
      <c r="ED84" s="175" t="e">
        <f t="shared" si="85"/>
        <v>#DIV/0!</v>
      </c>
      <c r="EE84" s="163">
        <f t="shared" si="86"/>
        <v>0</v>
      </c>
      <c r="EF84" s="164"/>
      <c r="EG84" s="181">
        <f t="shared" si="87"/>
        <v>0</v>
      </c>
      <c r="EH84" s="182">
        <f t="shared" si="88"/>
        <v>0</v>
      </c>
      <c r="EI84" s="182">
        <f t="shared" si="89"/>
        <v>0</v>
      </c>
      <c r="EJ84" s="182">
        <f t="shared" si="90"/>
        <v>0</v>
      </c>
      <c r="EK84" s="183">
        <f t="shared" si="91"/>
        <v>0</v>
      </c>
      <c r="EL84" s="184" t="e">
        <f t="shared" si="92"/>
        <v>#DIV/0!</v>
      </c>
      <c r="EM84" s="185">
        <f t="shared" si="93"/>
        <v>0</v>
      </c>
      <c r="EN84" s="164"/>
      <c r="EO84" s="181">
        <f t="shared" si="94"/>
        <v>0</v>
      </c>
      <c r="EP84" s="183">
        <f t="shared" si="95"/>
        <v>0</v>
      </c>
      <c r="EQ84" s="184" t="e">
        <f t="shared" si="96"/>
        <v>#DIV/0!</v>
      </c>
      <c r="ER84" s="185">
        <f t="shared" si="97"/>
        <v>0</v>
      </c>
      <c r="ES84" s="164"/>
      <c r="ET84" s="164"/>
      <c r="EU84" s="186">
        <f t="shared" si="98"/>
        <v>0</v>
      </c>
      <c r="EV84" s="186">
        <f t="shared" si="99"/>
        <v>0</v>
      </c>
      <c r="EW84" s="186">
        <f t="shared" si="100"/>
        <v>0</v>
      </c>
      <c r="EX84" s="186">
        <f t="shared" si="101"/>
        <v>0</v>
      </c>
      <c r="EY84" s="131"/>
      <c r="EZ84" s="187">
        <f t="shared" si="102"/>
        <v>0</v>
      </c>
      <c r="FA84" s="188" t="e">
        <f t="shared" si="103"/>
        <v>#DIV/0!</v>
      </c>
      <c r="FB84" s="189"/>
      <c r="FC84" s="219"/>
      <c r="FD84" s="219"/>
      <c r="FE84" s="219"/>
      <c r="FF84" s="219"/>
      <c r="FG84" s="219"/>
    </row>
    <row r="85" spans="2:163" s="220" customFormat="1" ht="16" outlineLevel="1" thickBot="1" x14ac:dyDescent="0.4">
      <c r="B85" s="358"/>
      <c r="C85" s="355"/>
      <c r="D85" s="204"/>
      <c r="E85" s="205"/>
      <c r="F85" s="135"/>
      <c r="G85" s="206"/>
      <c r="H85" s="207"/>
      <c r="I85" s="138">
        <f t="shared" si="56"/>
        <v>0</v>
      </c>
      <c r="J85" s="139"/>
      <c r="K85" s="208">
        <f t="shared" si="107"/>
        <v>0</v>
      </c>
      <c r="L85" s="141"/>
      <c r="M85" s="209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09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1"/>
      <c r="AN85" s="212">
        <f t="shared" si="58"/>
        <v>0</v>
      </c>
      <c r="AO85" s="146"/>
      <c r="AP85" s="147">
        <f t="shared" si="59"/>
        <v>0</v>
      </c>
      <c r="AQ85" s="221"/>
      <c r="AR85" s="213"/>
      <c r="AS85" s="213"/>
      <c r="AT85" s="222"/>
      <c r="AU85" s="233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3"/>
      <c r="BS85" s="234"/>
      <c r="BT85" s="234"/>
      <c r="BU85" s="234"/>
      <c r="BV85" s="234"/>
      <c r="BW85" s="234"/>
      <c r="BX85" s="234"/>
      <c r="BY85" s="234"/>
      <c r="BZ85" s="234"/>
      <c r="CA85" s="234"/>
      <c r="CB85" s="234"/>
      <c r="CC85" s="236"/>
      <c r="CD85" s="233"/>
      <c r="CE85" s="209"/>
      <c r="CF85" s="210"/>
      <c r="CG85" s="210"/>
      <c r="CH85" s="210"/>
      <c r="CI85" s="210"/>
      <c r="CJ85" s="210"/>
      <c r="CK85" s="210"/>
      <c r="CL85" s="210"/>
      <c r="CM85" s="210"/>
      <c r="CN85" s="210"/>
      <c r="CO85" s="351"/>
      <c r="CP85" s="234"/>
      <c r="CQ85" s="235"/>
      <c r="CR85" s="236"/>
      <c r="CS85" s="237">
        <f t="shared" si="60"/>
        <v>0</v>
      </c>
      <c r="CT85" s="146"/>
      <c r="CU85" s="147">
        <f t="shared" si="61"/>
        <v>0</v>
      </c>
      <c r="CV85" s="156"/>
      <c r="CW85" s="157" t="e">
        <f t="shared" si="62"/>
        <v>#DIV/0!</v>
      </c>
      <c r="CX85" s="157" t="e">
        <f t="shared" si="63"/>
        <v>#DIV/0!</v>
      </c>
      <c r="CY85" s="157" t="e">
        <f t="shared" si="64"/>
        <v>#DIV/0!</v>
      </c>
      <c r="CZ85" s="157" t="e">
        <f t="shared" si="65"/>
        <v>#DIV/0!</v>
      </c>
      <c r="DA85" s="157" t="e">
        <f t="shared" si="66"/>
        <v>#DIV/0!</v>
      </c>
      <c r="DB85" s="158" t="e">
        <f t="shared" si="67"/>
        <v>#DIV/0!</v>
      </c>
      <c r="DC85" s="131"/>
      <c r="DD85" s="159">
        <f t="shared" si="68"/>
        <v>0</v>
      </c>
      <c r="DE85" s="160">
        <f t="shared" si="69"/>
        <v>0</v>
      </c>
      <c r="DF85" s="161">
        <f t="shared" si="70"/>
        <v>0</v>
      </c>
      <c r="DG85" s="162" t="e">
        <f t="shared" si="71"/>
        <v>#DIV/0!</v>
      </c>
      <c r="DH85" s="163">
        <f t="shared" si="72"/>
        <v>0</v>
      </c>
      <c r="DI85" s="164"/>
      <c r="DJ85" s="165">
        <f t="shared" si="55"/>
        <v>0</v>
      </c>
      <c r="DK85" s="166">
        <f t="shared" si="55"/>
        <v>0</v>
      </c>
      <c r="DL85" s="167" t="e">
        <f t="shared" si="73"/>
        <v>#DIV/0!</v>
      </c>
      <c r="DM85" s="168" t="e">
        <f t="shared" si="74"/>
        <v>#DIV/0!</v>
      </c>
      <c r="DN85" s="163" t="e">
        <f t="shared" si="75"/>
        <v>#DIV/0!</v>
      </c>
      <c r="DO85" s="169"/>
      <c r="DP85" s="170"/>
      <c r="DQ85" s="171"/>
      <c r="DR85" s="172">
        <f t="shared" si="76"/>
        <v>0</v>
      </c>
      <c r="DS85" s="173" t="e">
        <f t="shared" si="77"/>
        <v>#DIV/0!</v>
      </c>
      <c r="DT85" s="163" t="e">
        <f t="shared" si="78"/>
        <v>#DIV/0!</v>
      </c>
      <c r="DU85" s="174"/>
      <c r="DV85" s="175" t="e">
        <f t="shared" si="79"/>
        <v>#DIV/0!</v>
      </c>
      <c r="DW85" s="163">
        <f t="shared" si="80"/>
        <v>0</v>
      </c>
      <c r="DX85" s="164"/>
      <c r="DY85" s="176">
        <f t="shared" si="81"/>
        <v>0</v>
      </c>
      <c r="DZ85" s="177">
        <f t="shared" si="82"/>
        <v>0</v>
      </c>
      <c r="EA85" s="178">
        <f t="shared" si="83"/>
        <v>0</v>
      </c>
      <c r="EB85" s="179">
        <f t="shared" si="84"/>
        <v>0</v>
      </c>
      <c r="EC85" s="180"/>
      <c r="ED85" s="175" t="e">
        <f t="shared" si="85"/>
        <v>#DIV/0!</v>
      </c>
      <c r="EE85" s="163">
        <f t="shared" si="86"/>
        <v>0</v>
      </c>
      <c r="EF85" s="164"/>
      <c r="EG85" s="181">
        <f t="shared" si="87"/>
        <v>0</v>
      </c>
      <c r="EH85" s="182">
        <f t="shared" si="88"/>
        <v>0</v>
      </c>
      <c r="EI85" s="182">
        <f t="shared" si="89"/>
        <v>0</v>
      </c>
      <c r="EJ85" s="182">
        <f t="shared" si="90"/>
        <v>0</v>
      </c>
      <c r="EK85" s="183">
        <f t="shared" si="91"/>
        <v>0</v>
      </c>
      <c r="EL85" s="184" t="e">
        <f t="shared" si="92"/>
        <v>#DIV/0!</v>
      </c>
      <c r="EM85" s="185">
        <f t="shared" si="93"/>
        <v>0</v>
      </c>
      <c r="EN85" s="164"/>
      <c r="EO85" s="181">
        <f t="shared" si="94"/>
        <v>0</v>
      </c>
      <c r="EP85" s="183">
        <f t="shared" si="95"/>
        <v>0</v>
      </c>
      <c r="EQ85" s="184" t="e">
        <f t="shared" si="96"/>
        <v>#DIV/0!</v>
      </c>
      <c r="ER85" s="185">
        <f t="shared" si="97"/>
        <v>0</v>
      </c>
      <c r="ES85" s="164"/>
      <c r="ET85" s="164"/>
      <c r="EU85" s="186">
        <f t="shared" si="98"/>
        <v>0</v>
      </c>
      <c r="EV85" s="186">
        <f t="shared" si="99"/>
        <v>0</v>
      </c>
      <c r="EW85" s="186">
        <f t="shared" si="100"/>
        <v>0</v>
      </c>
      <c r="EX85" s="186">
        <f t="shared" si="101"/>
        <v>0</v>
      </c>
      <c r="EY85" s="131"/>
      <c r="EZ85" s="187">
        <f t="shared" si="102"/>
        <v>0</v>
      </c>
      <c r="FA85" s="188" t="e">
        <f t="shared" si="103"/>
        <v>#DIV/0!</v>
      </c>
      <c r="FB85" s="189"/>
      <c r="FC85" s="131"/>
      <c r="FD85" s="131"/>
      <c r="FE85" s="219"/>
      <c r="FF85" s="219"/>
      <c r="FG85" s="219"/>
    </row>
    <row r="86" spans="2:163" ht="16" outlineLevel="1" thickBot="1" x14ac:dyDescent="0.4">
      <c r="B86" s="356"/>
      <c r="C86" s="353"/>
      <c r="D86" s="133"/>
      <c r="E86" s="134"/>
      <c r="F86" s="135"/>
      <c r="G86" s="136"/>
      <c r="H86" s="137"/>
      <c r="I86" s="138">
        <f>IF(E86&gt;0.0001,9.4,0)</f>
        <v>0</v>
      </c>
      <c r="J86" s="139"/>
      <c r="K86" s="140">
        <f t="shared" si="107"/>
        <v>0</v>
      </c>
      <c r="L86" s="141"/>
      <c r="M86" s="142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2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4"/>
      <c r="AN86" s="145">
        <f t="shared" si="58"/>
        <v>0</v>
      </c>
      <c r="AO86" s="146"/>
      <c r="AP86" s="147">
        <f t="shared" si="59"/>
        <v>0</v>
      </c>
      <c r="AQ86" s="148"/>
      <c r="AR86" s="149"/>
      <c r="AS86" s="149"/>
      <c r="AT86" s="135"/>
      <c r="AU86" s="150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0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4"/>
      <c r="CD86" s="150"/>
      <c r="CE86" s="142"/>
      <c r="CF86" s="143"/>
      <c r="CG86" s="143"/>
      <c r="CH86" s="143"/>
      <c r="CI86" s="143"/>
      <c r="CJ86" s="143"/>
      <c r="CK86" s="143"/>
      <c r="CL86" s="143"/>
      <c r="CM86" s="143"/>
      <c r="CN86" s="143"/>
      <c r="CO86" s="346"/>
      <c r="CP86" s="151"/>
      <c r="CQ86" s="152"/>
      <c r="CR86" s="154"/>
      <c r="CS86" s="155">
        <f t="shared" si="60"/>
        <v>0</v>
      </c>
      <c r="CT86" s="146"/>
      <c r="CU86" s="147">
        <f t="shared" si="61"/>
        <v>0</v>
      </c>
      <c r="CV86" s="156"/>
      <c r="CW86" s="157" t="e">
        <f t="shared" si="62"/>
        <v>#DIV/0!</v>
      </c>
      <c r="CX86" s="157" t="e">
        <f t="shared" si="63"/>
        <v>#DIV/0!</v>
      </c>
      <c r="CY86" s="157" t="e">
        <f t="shared" si="64"/>
        <v>#DIV/0!</v>
      </c>
      <c r="CZ86" s="157" t="e">
        <f t="shared" si="65"/>
        <v>#DIV/0!</v>
      </c>
      <c r="DA86" s="157" t="e">
        <f t="shared" si="66"/>
        <v>#DIV/0!</v>
      </c>
      <c r="DB86" s="158" t="e">
        <f t="shared" si="67"/>
        <v>#DIV/0!</v>
      </c>
      <c r="DC86" s="131"/>
      <c r="DD86" s="159">
        <f t="shared" si="68"/>
        <v>0</v>
      </c>
      <c r="DE86" s="160">
        <f t="shared" si="69"/>
        <v>0</v>
      </c>
      <c r="DF86" s="161">
        <f t="shared" si="70"/>
        <v>0</v>
      </c>
      <c r="DG86" s="162" t="e">
        <f t="shared" si="71"/>
        <v>#DIV/0!</v>
      </c>
      <c r="DH86" s="163">
        <f t="shared" si="72"/>
        <v>0</v>
      </c>
      <c r="DI86" s="164"/>
      <c r="DJ86" s="165">
        <f t="shared" si="55"/>
        <v>0</v>
      </c>
      <c r="DK86" s="166">
        <f t="shared" si="55"/>
        <v>0</v>
      </c>
      <c r="DL86" s="167" t="e">
        <f t="shared" si="73"/>
        <v>#DIV/0!</v>
      </c>
      <c r="DM86" s="168" t="e">
        <f t="shared" si="74"/>
        <v>#DIV/0!</v>
      </c>
      <c r="DN86" s="163" t="e">
        <f t="shared" si="75"/>
        <v>#DIV/0!</v>
      </c>
      <c r="DO86" s="169"/>
      <c r="DP86" s="170"/>
      <c r="DQ86" s="171"/>
      <c r="DR86" s="172">
        <f t="shared" si="76"/>
        <v>0</v>
      </c>
      <c r="DS86" s="173" t="e">
        <f t="shared" si="77"/>
        <v>#DIV/0!</v>
      </c>
      <c r="DT86" s="163" t="e">
        <f t="shared" si="78"/>
        <v>#DIV/0!</v>
      </c>
      <c r="DU86" s="174"/>
      <c r="DV86" s="175" t="e">
        <f t="shared" si="79"/>
        <v>#DIV/0!</v>
      </c>
      <c r="DW86" s="163">
        <f t="shared" si="80"/>
        <v>0</v>
      </c>
      <c r="DX86" s="164"/>
      <c r="DY86" s="176">
        <f t="shared" si="81"/>
        <v>0</v>
      </c>
      <c r="DZ86" s="177">
        <f t="shared" si="82"/>
        <v>0</v>
      </c>
      <c r="EA86" s="178">
        <f t="shared" si="83"/>
        <v>0</v>
      </c>
      <c r="EB86" s="179">
        <f t="shared" si="84"/>
        <v>0</v>
      </c>
      <c r="EC86" s="180"/>
      <c r="ED86" s="175" t="e">
        <f t="shared" si="85"/>
        <v>#DIV/0!</v>
      </c>
      <c r="EE86" s="163">
        <f t="shared" si="86"/>
        <v>0</v>
      </c>
      <c r="EF86" s="164"/>
      <c r="EG86" s="181">
        <f t="shared" si="87"/>
        <v>0</v>
      </c>
      <c r="EH86" s="182">
        <f t="shared" si="88"/>
        <v>0</v>
      </c>
      <c r="EI86" s="182">
        <f t="shared" ref="EI86:EI88" si="108">SUM(M86:Z86)</f>
        <v>0</v>
      </c>
      <c r="EJ86" s="182">
        <f t="shared" si="90"/>
        <v>0</v>
      </c>
      <c r="EK86" s="183">
        <f t="shared" si="91"/>
        <v>0</v>
      </c>
      <c r="EL86" s="184" t="e">
        <f t="shared" si="92"/>
        <v>#DIV/0!</v>
      </c>
      <c r="EM86" s="185">
        <f t="shared" si="93"/>
        <v>0</v>
      </c>
      <c r="EN86" s="164"/>
      <c r="EO86" s="181">
        <f t="shared" si="94"/>
        <v>0</v>
      </c>
      <c r="EP86" s="183">
        <f t="shared" si="95"/>
        <v>0</v>
      </c>
      <c r="EQ86" s="184" t="e">
        <f t="shared" si="96"/>
        <v>#DIV/0!</v>
      </c>
      <c r="ER86" s="185">
        <f t="shared" si="97"/>
        <v>0</v>
      </c>
      <c r="ES86" s="164"/>
      <c r="ET86" s="164"/>
      <c r="EU86" s="186">
        <f t="shared" si="98"/>
        <v>0</v>
      </c>
      <c r="EV86" s="186">
        <f t="shared" si="99"/>
        <v>0</v>
      </c>
      <c r="EW86" s="186">
        <f t="shared" si="100"/>
        <v>0</v>
      </c>
      <c r="EX86" s="186">
        <f t="shared" si="101"/>
        <v>0</v>
      </c>
      <c r="EY86" s="131"/>
      <c r="EZ86" s="187">
        <f t="shared" si="102"/>
        <v>0</v>
      </c>
      <c r="FA86" s="188" t="e">
        <f t="shared" si="103"/>
        <v>#DIV/0!</v>
      </c>
      <c r="FB86" s="189"/>
      <c r="FC86" s="131"/>
      <c r="FD86" s="131"/>
      <c r="FE86" s="131"/>
      <c r="FF86" s="131"/>
      <c r="FG86" s="131"/>
    </row>
    <row r="87" spans="2:163" ht="16" outlineLevel="1" thickBot="1" x14ac:dyDescent="0.4">
      <c r="B87" s="357"/>
      <c r="C87" s="354"/>
      <c r="D87" s="190"/>
      <c r="E87" s="191"/>
      <c r="F87" s="135"/>
      <c r="G87" s="192"/>
      <c r="H87" s="137"/>
      <c r="I87" s="138">
        <f t="shared" ref="I87:I88" si="109">IF(E87&gt;0.0001,0,0)</f>
        <v>0</v>
      </c>
      <c r="J87" s="139"/>
      <c r="K87" s="193">
        <f t="shared" si="107"/>
        <v>0</v>
      </c>
      <c r="L87" s="141"/>
      <c r="M87" s="194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4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6"/>
      <c r="AN87" s="197">
        <f t="shared" si="58"/>
        <v>0</v>
      </c>
      <c r="AO87" s="146"/>
      <c r="AP87" s="147">
        <f t="shared" si="59"/>
        <v>0</v>
      </c>
      <c r="AQ87" s="148"/>
      <c r="AR87" s="198"/>
      <c r="AS87" s="198"/>
      <c r="AT87" s="135"/>
      <c r="AU87" s="199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1"/>
      <c r="BG87" s="201"/>
      <c r="BH87" s="201"/>
      <c r="BI87" s="201"/>
      <c r="BJ87" s="201"/>
      <c r="BK87" s="201"/>
      <c r="BL87" s="201"/>
      <c r="BM87" s="201"/>
      <c r="BN87" s="201"/>
      <c r="BO87" s="201"/>
      <c r="BP87" s="201"/>
      <c r="BQ87" s="201"/>
      <c r="BR87" s="199"/>
      <c r="BS87" s="200"/>
      <c r="BT87" s="200"/>
      <c r="BU87" s="200"/>
      <c r="BV87" s="200"/>
      <c r="BW87" s="200"/>
      <c r="BX87" s="200"/>
      <c r="BY87" s="200"/>
      <c r="BZ87" s="200"/>
      <c r="CA87" s="200"/>
      <c r="CB87" s="200"/>
      <c r="CC87" s="202"/>
      <c r="CD87" s="199"/>
      <c r="CE87" s="194"/>
      <c r="CF87" s="195"/>
      <c r="CG87" s="195"/>
      <c r="CH87" s="195"/>
      <c r="CI87" s="195"/>
      <c r="CJ87" s="195"/>
      <c r="CK87" s="195"/>
      <c r="CL87" s="195"/>
      <c r="CM87" s="195"/>
      <c r="CN87" s="195"/>
      <c r="CO87" s="347"/>
      <c r="CP87" s="200"/>
      <c r="CQ87" s="201"/>
      <c r="CR87" s="202"/>
      <c r="CS87" s="203">
        <f t="shared" si="60"/>
        <v>0</v>
      </c>
      <c r="CT87" s="146"/>
      <c r="CU87" s="147">
        <f t="shared" si="61"/>
        <v>0</v>
      </c>
      <c r="CV87" s="156"/>
      <c r="CW87" s="157" t="e">
        <f t="shared" si="62"/>
        <v>#DIV/0!</v>
      </c>
      <c r="CX87" s="157" t="e">
        <f t="shared" si="63"/>
        <v>#DIV/0!</v>
      </c>
      <c r="CY87" s="157" t="e">
        <f t="shared" si="64"/>
        <v>#DIV/0!</v>
      </c>
      <c r="CZ87" s="157" t="e">
        <f t="shared" si="65"/>
        <v>#DIV/0!</v>
      </c>
      <c r="DA87" s="157" t="e">
        <f t="shared" si="66"/>
        <v>#DIV/0!</v>
      </c>
      <c r="DB87" s="158" t="e">
        <f t="shared" si="67"/>
        <v>#DIV/0!</v>
      </c>
      <c r="DC87" s="131"/>
      <c r="DD87" s="159">
        <f t="shared" si="68"/>
        <v>0</v>
      </c>
      <c r="DE87" s="160">
        <f t="shared" si="69"/>
        <v>0</v>
      </c>
      <c r="DF87" s="161">
        <f t="shared" si="70"/>
        <v>0</v>
      </c>
      <c r="DG87" s="162" t="e">
        <f t="shared" si="71"/>
        <v>#DIV/0!</v>
      </c>
      <c r="DH87" s="163">
        <f t="shared" si="72"/>
        <v>0</v>
      </c>
      <c r="DI87" s="164"/>
      <c r="DJ87" s="165">
        <f t="shared" si="55"/>
        <v>0</v>
      </c>
      <c r="DK87" s="166">
        <f t="shared" si="55"/>
        <v>0</v>
      </c>
      <c r="DL87" s="167" t="e">
        <f t="shared" si="73"/>
        <v>#DIV/0!</v>
      </c>
      <c r="DM87" s="168" t="e">
        <f t="shared" si="74"/>
        <v>#DIV/0!</v>
      </c>
      <c r="DN87" s="163" t="e">
        <f t="shared" si="75"/>
        <v>#DIV/0!</v>
      </c>
      <c r="DO87" s="169"/>
      <c r="DP87" s="170"/>
      <c r="DQ87" s="171"/>
      <c r="DR87" s="172">
        <f t="shared" si="76"/>
        <v>0</v>
      </c>
      <c r="DS87" s="173" t="e">
        <f t="shared" si="77"/>
        <v>#DIV/0!</v>
      </c>
      <c r="DT87" s="163" t="e">
        <f t="shared" si="78"/>
        <v>#DIV/0!</v>
      </c>
      <c r="DU87" s="174"/>
      <c r="DV87" s="175" t="e">
        <f t="shared" si="79"/>
        <v>#DIV/0!</v>
      </c>
      <c r="DW87" s="163">
        <f t="shared" si="80"/>
        <v>0</v>
      </c>
      <c r="DX87" s="164"/>
      <c r="DY87" s="176">
        <f t="shared" si="81"/>
        <v>0</v>
      </c>
      <c r="DZ87" s="177">
        <f t="shared" si="82"/>
        <v>0</v>
      </c>
      <c r="EA87" s="178">
        <f t="shared" si="83"/>
        <v>0</v>
      </c>
      <c r="EB87" s="179">
        <f t="shared" si="84"/>
        <v>0</v>
      </c>
      <c r="EC87" s="180"/>
      <c r="ED87" s="175" t="e">
        <f t="shared" si="85"/>
        <v>#DIV/0!</v>
      </c>
      <c r="EE87" s="163">
        <f t="shared" si="86"/>
        <v>0</v>
      </c>
      <c r="EF87" s="164"/>
      <c r="EG87" s="181">
        <f t="shared" si="87"/>
        <v>0</v>
      </c>
      <c r="EH87" s="182">
        <f t="shared" si="88"/>
        <v>0</v>
      </c>
      <c r="EI87" s="182">
        <f t="shared" si="108"/>
        <v>0</v>
      </c>
      <c r="EJ87" s="182">
        <f t="shared" si="90"/>
        <v>0</v>
      </c>
      <c r="EK87" s="183">
        <f t="shared" si="91"/>
        <v>0</v>
      </c>
      <c r="EL87" s="184" t="e">
        <f t="shared" si="92"/>
        <v>#DIV/0!</v>
      </c>
      <c r="EM87" s="185">
        <f t="shared" si="93"/>
        <v>0</v>
      </c>
      <c r="EN87" s="164"/>
      <c r="EO87" s="181">
        <f t="shared" si="94"/>
        <v>0</v>
      </c>
      <c r="EP87" s="183">
        <f t="shared" si="95"/>
        <v>0</v>
      </c>
      <c r="EQ87" s="184" t="e">
        <f t="shared" si="96"/>
        <v>#DIV/0!</v>
      </c>
      <c r="ER87" s="185">
        <f t="shared" si="97"/>
        <v>0</v>
      </c>
      <c r="ES87" s="164"/>
      <c r="ET87" s="164"/>
      <c r="EU87" s="186">
        <f t="shared" si="98"/>
        <v>0</v>
      </c>
      <c r="EV87" s="186">
        <f t="shared" si="99"/>
        <v>0</v>
      </c>
      <c r="EW87" s="186">
        <f t="shared" si="100"/>
        <v>0</v>
      </c>
      <c r="EX87" s="186">
        <f t="shared" si="101"/>
        <v>0</v>
      </c>
      <c r="EY87" s="131"/>
      <c r="EZ87" s="187">
        <f t="shared" si="102"/>
        <v>0</v>
      </c>
      <c r="FA87" s="188" t="e">
        <f t="shared" si="103"/>
        <v>#DIV/0!</v>
      </c>
      <c r="FB87" s="189"/>
      <c r="FC87" s="131"/>
      <c r="FD87" s="131"/>
      <c r="FE87" s="131"/>
      <c r="FF87" s="131"/>
      <c r="FG87" s="131"/>
    </row>
    <row r="88" spans="2:163" ht="16" outlineLevel="1" thickBot="1" x14ac:dyDescent="0.4">
      <c r="B88" s="358"/>
      <c r="C88" s="355"/>
      <c r="D88" s="204"/>
      <c r="E88" s="205"/>
      <c r="F88" s="135"/>
      <c r="G88" s="206"/>
      <c r="H88" s="207"/>
      <c r="I88" s="138">
        <f t="shared" si="109"/>
        <v>0</v>
      </c>
      <c r="J88" s="139"/>
      <c r="K88" s="208">
        <f t="shared" si="107"/>
        <v>0</v>
      </c>
      <c r="L88" s="141"/>
      <c r="M88" s="209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09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1"/>
      <c r="AN88" s="212">
        <f t="shared" si="58"/>
        <v>0</v>
      </c>
      <c r="AO88" s="146"/>
      <c r="AP88" s="147">
        <f t="shared" si="59"/>
        <v>0</v>
      </c>
      <c r="AQ88" s="148"/>
      <c r="AR88" s="213"/>
      <c r="AS88" s="213"/>
      <c r="AT88" s="135"/>
      <c r="AU88" s="214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6"/>
      <c r="BG88" s="216"/>
      <c r="BH88" s="216"/>
      <c r="BI88" s="216"/>
      <c r="BJ88" s="216"/>
      <c r="BK88" s="216"/>
      <c r="BL88" s="216"/>
      <c r="BM88" s="216"/>
      <c r="BN88" s="216"/>
      <c r="BO88" s="216"/>
      <c r="BP88" s="216"/>
      <c r="BQ88" s="216"/>
      <c r="BR88" s="214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7"/>
      <c r="CD88" s="214"/>
      <c r="CE88" s="209"/>
      <c r="CF88" s="210"/>
      <c r="CG88" s="210"/>
      <c r="CH88" s="210"/>
      <c r="CI88" s="210"/>
      <c r="CJ88" s="210"/>
      <c r="CK88" s="210"/>
      <c r="CL88" s="210"/>
      <c r="CM88" s="210"/>
      <c r="CN88" s="210"/>
      <c r="CO88" s="348"/>
      <c r="CP88" s="215"/>
      <c r="CQ88" s="216"/>
      <c r="CR88" s="217"/>
      <c r="CS88" s="218">
        <f t="shared" si="60"/>
        <v>0</v>
      </c>
      <c r="CT88" s="146"/>
      <c r="CU88" s="147">
        <f t="shared" si="61"/>
        <v>0</v>
      </c>
      <c r="CV88" s="156"/>
      <c r="CW88" s="157" t="e">
        <f t="shared" si="62"/>
        <v>#DIV/0!</v>
      </c>
      <c r="CX88" s="157" t="e">
        <f t="shared" si="63"/>
        <v>#DIV/0!</v>
      </c>
      <c r="CY88" s="157" t="e">
        <f t="shared" si="64"/>
        <v>#DIV/0!</v>
      </c>
      <c r="CZ88" s="157" t="e">
        <f t="shared" si="65"/>
        <v>#DIV/0!</v>
      </c>
      <c r="DA88" s="157" t="e">
        <f t="shared" si="66"/>
        <v>#DIV/0!</v>
      </c>
      <c r="DB88" s="158" t="e">
        <f t="shared" si="67"/>
        <v>#DIV/0!</v>
      </c>
      <c r="DC88" s="131"/>
      <c r="DD88" s="159">
        <f t="shared" si="68"/>
        <v>0</v>
      </c>
      <c r="DE88" s="160">
        <f t="shared" si="69"/>
        <v>0</v>
      </c>
      <c r="DF88" s="161">
        <f t="shared" si="70"/>
        <v>0</v>
      </c>
      <c r="DG88" s="162" t="e">
        <f t="shared" si="71"/>
        <v>#DIV/0!</v>
      </c>
      <c r="DH88" s="163">
        <f t="shared" si="72"/>
        <v>0</v>
      </c>
      <c r="DI88" s="164"/>
      <c r="DJ88" s="165">
        <f t="shared" si="55"/>
        <v>0</v>
      </c>
      <c r="DK88" s="166">
        <f t="shared" si="55"/>
        <v>0</v>
      </c>
      <c r="DL88" s="167" t="e">
        <f t="shared" si="73"/>
        <v>#DIV/0!</v>
      </c>
      <c r="DM88" s="168" t="e">
        <f t="shared" si="74"/>
        <v>#DIV/0!</v>
      </c>
      <c r="DN88" s="163" t="e">
        <f t="shared" si="75"/>
        <v>#DIV/0!</v>
      </c>
      <c r="DO88" s="169"/>
      <c r="DP88" s="170"/>
      <c r="DQ88" s="171"/>
      <c r="DR88" s="172">
        <f t="shared" si="76"/>
        <v>0</v>
      </c>
      <c r="DS88" s="173" t="e">
        <f t="shared" si="77"/>
        <v>#DIV/0!</v>
      </c>
      <c r="DT88" s="163" t="e">
        <f t="shared" si="78"/>
        <v>#DIV/0!</v>
      </c>
      <c r="DU88" s="174"/>
      <c r="DV88" s="175" t="e">
        <f t="shared" si="79"/>
        <v>#DIV/0!</v>
      </c>
      <c r="DW88" s="163">
        <f t="shared" si="80"/>
        <v>0</v>
      </c>
      <c r="DX88" s="164"/>
      <c r="DY88" s="176">
        <f t="shared" si="81"/>
        <v>0</v>
      </c>
      <c r="DZ88" s="177">
        <f t="shared" si="82"/>
        <v>0</v>
      </c>
      <c r="EA88" s="178">
        <f t="shared" si="83"/>
        <v>0</v>
      </c>
      <c r="EB88" s="179">
        <f t="shared" si="84"/>
        <v>0</v>
      </c>
      <c r="EC88" s="180"/>
      <c r="ED88" s="175" t="e">
        <f t="shared" si="85"/>
        <v>#DIV/0!</v>
      </c>
      <c r="EE88" s="163">
        <f t="shared" si="86"/>
        <v>0</v>
      </c>
      <c r="EF88" s="164"/>
      <c r="EG88" s="181">
        <f t="shared" si="87"/>
        <v>0</v>
      </c>
      <c r="EH88" s="182">
        <f t="shared" si="88"/>
        <v>0</v>
      </c>
      <c r="EI88" s="182">
        <f t="shared" si="108"/>
        <v>0</v>
      </c>
      <c r="EJ88" s="182">
        <f t="shared" si="90"/>
        <v>0</v>
      </c>
      <c r="EK88" s="183">
        <f t="shared" si="91"/>
        <v>0</v>
      </c>
      <c r="EL88" s="184" t="e">
        <f t="shared" si="92"/>
        <v>#DIV/0!</v>
      </c>
      <c r="EM88" s="185">
        <f t="shared" si="93"/>
        <v>0</v>
      </c>
      <c r="EN88" s="164"/>
      <c r="EO88" s="181">
        <f t="shared" si="94"/>
        <v>0</v>
      </c>
      <c r="EP88" s="183">
        <f t="shared" si="95"/>
        <v>0</v>
      </c>
      <c r="EQ88" s="184" t="e">
        <f t="shared" si="96"/>
        <v>#DIV/0!</v>
      </c>
      <c r="ER88" s="185">
        <f t="shared" si="97"/>
        <v>0</v>
      </c>
      <c r="ES88" s="164"/>
      <c r="ET88" s="164"/>
      <c r="EU88" s="186">
        <f t="shared" si="98"/>
        <v>0</v>
      </c>
      <c r="EV88" s="186">
        <f t="shared" si="99"/>
        <v>0</v>
      </c>
      <c r="EW88" s="186">
        <f t="shared" si="100"/>
        <v>0</v>
      </c>
      <c r="EX88" s="186">
        <f t="shared" si="101"/>
        <v>0</v>
      </c>
      <c r="EY88" s="131"/>
      <c r="EZ88" s="187">
        <f t="shared" si="102"/>
        <v>0</v>
      </c>
      <c r="FA88" s="188" t="e">
        <f t="shared" si="103"/>
        <v>#DIV/0!</v>
      </c>
      <c r="FB88" s="189"/>
      <c r="FC88" s="131"/>
      <c r="FD88" s="131"/>
      <c r="FE88" s="131"/>
      <c r="FF88" s="131"/>
      <c r="FG88" s="131"/>
    </row>
    <row r="89" spans="2:163" ht="16" outlineLevel="1" thickBot="1" x14ac:dyDescent="0.4">
      <c r="B89" s="356"/>
      <c r="C89" s="353"/>
      <c r="D89" s="133"/>
      <c r="E89" s="134"/>
      <c r="F89" s="135"/>
      <c r="G89" s="136"/>
      <c r="H89" s="137"/>
      <c r="I89" s="138">
        <f>IF(E89&gt;0.0001,9.4,0)</f>
        <v>0</v>
      </c>
      <c r="J89" s="139"/>
      <c r="K89" s="140">
        <f t="shared" si="107"/>
        <v>0</v>
      </c>
      <c r="L89" s="141"/>
      <c r="M89" s="142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2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4"/>
      <c r="AN89" s="145">
        <f t="shared" si="58"/>
        <v>0</v>
      </c>
      <c r="AO89" s="146"/>
      <c r="AP89" s="147">
        <f t="shared" si="59"/>
        <v>0</v>
      </c>
      <c r="AQ89" s="148"/>
      <c r="AR89" s="149"/>
      <c r="AS89" s="149"/>
      <c r="AT89" s="135"/>
      <c r="AU89" s="150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0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4"/>
      <c r="CD89" s="150"/>
      <c r="CE89" s="142"/>
      <c r="CF89" s="143"/>
      <c r="CG89" s="143"/>
      <c r="CH89" s="143"/>
      <c r="CI89" s="143"/>
      <c r="CJ89" s="143"/>
      <c r="CK89" s="143"/>
      <c r="CL89" s="143"/>
      <c r="CM89" s="143"/>
      <c r="CN89" s="143"/>
      <c r="CO89" s="346"/>
      <c r="CP89" s="151"/>
      <c r="CQ89" s="152"/>
      <c r="CR89" s="154"/>
      <c r="CS89" s="155">
        <f t="shared" si="60"/>
        <v>0</v>
      </c>
      <c r="CT89" s="146"/>
      <c r="CU89" s="147">
        <f t="shared" si="61"/>
        <v>0</v>
      </c>
      <c r="CV89" s="156"/>
      <c r="CW89" s="157" t="e">
        <f t="shared" si="62"/>
        <v>#DIV/0!</v>
      </c>
      <c r="CX89" s="157" t="e">
        <f t="shared" si="63"/>
        <v>#DIV/0!</v>
      </c>
      <c r="CY89" s="157" t="e">
        <f t="shared" si="64"/>
        <v>#DIV/0!</v>
      </c>
      <c r="CZ89" s="157" t="e">
        <f t="shared" si="65"/>
        <v>#DIV/0!</v>
      </c>
      <c r="DA89" s="157" t="e">
        <f t="shared" si="66"/>
        <v>#DIV/0!</v>
      </c>
      <c r="DB89" s="158" t="e">
        <f t="shared" si="67"/>
        <v>#DIV/0!</v>
      </c>
      <c r="DC89" s="131"/>
      <c r="DD89" s="159">
        <f t="shared" si="68"/>
        <v>0</v>
      </c>
      <c r="DE89" s="160">
        <f t="shared" si="69"/>
        <v>0</v>
      </c>
      <c r="DF89" s="161">
        <f t="shared" si="70"/>
        <v>0</v>
      </c>
      <c r="DG89" s="162" t="e">
        <f t="shared" si="71"/>
        <v>#DIV/0!</v>
      </c>
      <c r="DH89" s="163">
        <f t="shared" si="72"/>
        <v>0</v>
      </c>
      <c r="DI89" s="164"/>
      <c r="DJ89" s="165">
        <f t="shared" si="55"/>
        <v>0</v>
      </c>
      <c r="DK89" s="166">
        <f t="shared" si="55"/>
        <v>0</v>
      </c>
      <c r="DL89" s="167" t="e">
        <f t="shared" si="73"/>
        <v>#DIV/0!</v>
      </c>
      <c r="DM89" s="168" t="e">
        <f t="shared" si="74"/>
        <v>#DIV/0!</v>
      </c>
      <c r="DN89" s="163" t="e">
        <f t="shared" si="75"/>
        <v>#DIV/0!</v>
      </c>
      <c r="DO89" s="169"/>
      <c r="DP89" s="170"/>
      <c r="DQ89" s="171"/>
      <c r="DR89" s="172">
        <f t="shared" si="76"/>
        <v>0</v>
      </c>
      <c r="DS89" s="173" t="e">
        <f t="shared" si="77"/>
        <v>#DIV/0!</v>
      </c>
      <c r="DT89" s="163" t="e">
        <f t="shared" si="78"/>
        <v>#DIV/0!</v>
      </c>
      <c r="DU89" s="174"/>
      <c r="DV89" s="175" t="e">
        <f t="shared" si="79"/>
        <v>#DIV/0!</v>
      </c>
      <c r="DW89" s="163">
        <f t="shared" si="80"/>
        <v>0</v>
      </c>
      <c r="DX89" s="164"/>
      <c r="DY89" s="176">
        <f t="shared" si="81"/>
        <v>0</v>
      </c>
      <c r="DZ89" s="177">
        <f t="shared" si="82"/>
        <v>0</v>
      </c>
      <c r="EA89" s="178">
        <f t="shared" si="83"/>
        <v>0</v>
      </c>
      <c r="EB89" s="179">
        <f t="shared" si="84"/>
        <v>0</v>
      </c>
      <c r="EC89" s="180"/>
      <c r="ED89" s="175" t="e">
        <f t="shared" si="85"/>
        <v>#DIV/0!</v>
      </c>
      <c r="EE89" s="163">
        <f t="shared" si="86"/>
        <v>0</v>
      </c>
      <c r="EF89" s="164"/>
      <c r="EG89" s="181">
        <f t="shared" si="87"/>
        <v>0</v>
      </c>
      <c r="EH89" s="182">
        <f t="shared" si="88"/>
        <v>0</v>
      </c>
      <c r="EI89" s="182">
        <f t="shared" si="89"/>
        <v>0</v>
      </c>
      <c r="EJ89" s="182">
        <f t="shared" si="90"/>
        <v>0</v>
      </c>
      <c r="EK89" s="183">
        <f t="shared" si="91"/>
        <v>0</v>
      </c>
      <c r="EL89" s="184" t="e">
        <f t="shared" si="92"/>
        <v>#DIV/0!</v>
      </c>
      <c r="EM89" s="185">
        <f t="shared" si="93"/>
        <v>0</v>
      </c>
      <c r="EN89" s="164"/>
      <c r="EO89" s="181">
        <f t="shared" si="94"/>
        <v>0</v>
      </c>
      <c r="EP89" s="183">
        <f t="shared" si="95"/>
        <v>0</v>
      </c>
      <c r="EQ89" s="184" t="e">
        <f t="shared" si="96"/>
        <v>#DIV/0!</v>
      </c>
      <c r="ER89" s="185">
        <f t="shared" si="97"/>
        <v>0</v>
      </c>
      <c r="ES89" s="164"/>
      <c r="ET89" s="164"/>
      <c r="EU89" s="186">
        <f t="shared" si="98"/>
        <v>0</v>
      </c>
      <c r="EV89" s="186">
        <f t="shared" si="99"/>
        <v>0</v>
      </c>
      <c r="EW89" s="186">
        <f t="shared" si="100"/>
        <v>0</v>
      </c>
      <c r="EX89" s="186">
        <f t="shared" si="101"/>
        <v>0</v>
      </c>
      <c r="EY89" s="131"/>
      <c r="EZ89" s="187">
        <f t="shared" si="102"/>
        <v>0</v>
      </c>
      <c r="FA89" s="188" t="e">
        <f t="shared" si="103"/>
        <v>#DIV/0!</v>
      </c>
      <c r="FB89" s="189"/>
      <c r="FC89" s="131"/>
      <c r="FD89" s="131"/>
      <c r="FE89" s="131"/>
      <c r="FF89" s="131"/>
      <c r="FG89" s="131"/>
    </row>
    <row r="90" spans="2:163" ht="16" outlineLevel="1" thickBot="1" x14ac:dyDescent="0.4">
      <c r="B90" s="357"/>
      <c r="C90" s="354"/>
      <c r="D90" s="190"/>
      <c r="E90" s="191"/>
      <c r="F90" s="135"/>
      <c r="G90" s="192"/>
      <c r="H90" s="137"/>
      <c r="I90" s="138">
        <f t="shared" ref="I90:I91" si="110">IF(E90&gt;0.0001,0,0)</f>
        <v>0</v>
      </c>
      <c r="J90" s="139"/>
      <c r="K90" s="193">
        <f t="shared" si="107"/>
        <v>0</v>
      </c>
      <c r="L90" s="141"/>
      <c r="M90" s="194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4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6"/>
      <c r="AN90" s="197">
        <f t="shared" si="58"/>
        <v>0</v>
      </c>
      <c r="AO90" s="146"/>
      <c r="AP90" s="147">
        <f t="shared" si="59"/>
        <v>0</v>
      </c>
      <c r="AQ90" s="148"/>
      <c r="AR90" s="198"/>
      <c r="AS90" s="198"/>
      <c r="AT90" s="135"/>
      <c r="AU90" s="199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199"/>
      <c r="BS90" s="200"/>
      <c r="BT90" s="200"/>
      <c r="BU90" s="200"/>
      <c r="BV90" s="200"/>
      <c r="BW90" s="200"/>
      <c r="BX90" s="200"/>
      <c r="BY90" s="200"/>
      <c r="BZ90" s="200"/>
      <c r="CA90" s="200"/>
      <c r="CB90" s="200"/>
      <c r="CC90" s="202"/>
      <c r="CD90" s="199"/>
      <c r="CE90" s="194"/>
      <c r="CF90" s="195"/>
      <c r="CG90" s="195"/>
      <c r="CH90" s="195"/>
      <c r="CI90" s="195"/>
      <c r="CJ90" s="195"/>
      <c r="CK90" s="195"/>
      <c r="CL90" s="195"/>
      <c r="CM90" s="195"/>
      <c r="CN90" s="195"/>
      <c r="CO90" s="347"/>
      <c r="CP90" s="200"/>
      <c r="CQ90" s="201"/>
      <c r="CR90" s="202"/>
      <c r="CS90" s="203">
        <f t="shared" si="60"/>
        <v>0</v>
      </c>
      <c r="CT90" s="146"/>
      <c r="CU90" s="147">
        <f t="shared" si="61"/>
        <v>0</v>
      </c>
      <c r="CV90" s="156"/>
      <c r="CW90" s="157" t="e">
        <f t="shared" si="62"/>
        <v>#DIV/0!</v>
      </c>
      <c r="CX90" s="157" t="e">
        <f t="shared" si="63"/>
        <v>#DIV/0!</v>
      </c>
      <c r="CY90" s="157" t="e">
        <f t="shared" si="64"/>
        <v>#DIV/0!</v>
      </c>
      <c r="CZ90" s="157" t="e">
        <f t="shared" si="65"/>
        <v>#DIV/0!</v>
      </c>
      <c r="DA90" s="157" t="e">
        <f t="shared" si="66"/>
        <v>#DIV/0!</v>
      </c>
      <c r="DB90" s="158" t="e">
        <f t="shared" si="67"/>
        <v>#DIV/0!</v>
      </c>
      <c r="DC90" s="131"/>
      <c r="DD90" s="159">
        <f t="shared" si="68"/>
        <v>0</v>
      </c>
      <c r="DE90" s="160">
        <f t="shared" si="69"/>
        <v>0</v>
      </c>
      <c r="DF90" s="161">
        <f t="shared" si="70"/>
        <v>0</v>
      </c>
      <c r="DG90" s="162" t="e">
        <f t="shared" si="71"/>
        <v>#DIV/0!</v>
      </c>
      <c r="DH90" s="163">
        <f t="shared" si="72"/>
        <v>0</v>
      </c>
      <c r="DI90" s="164"/>
      <c r="DJ90" s="165">
        <f t="shared" si="55"/>
        <v>0</v>
      </c>
      <c r="DK90" s="166">
        <f t="shared" si="55"/>
        <v>0</v>
      </c>
      <c r="DL90" s="167" t="e">
        <f t="shared" si="73"/>
        <v>#DIV/0!</v>
      </c>
      <c r="DM90" s="168" t="e">
        <f t="shared" si="74"/>
        <v>#DIV/0!</v>
      </c>
      <c r="DN90" s="163" t="e">
        <f t="shared" si="75"/>
        <v>#DIV/0!</v>
      </c>
      <c r="DO90" s="169"/>
      <c r="DP90" s="170"/>
      <c r="DQ90" s="171"/>
      <c r="DR90" s="172">
        <f t="shared" si="76"/>
        <v>0</v>
      </c>
      <c r="DS90" s="173" t="e">
        <f t="shared" si="77"/>
        <v>#DIV/0!</v>
      </c>
      <c r="DT90" s="163" t="e">
        <f t="shared" si="78"/>
        <v>#DIV/0!</v>
      </c>
      <c r="DU90" s="174"/>
      <c r="DV90" s="175" t="e">
        <f t="shared" si="79"/>
        <v>#DIV/0!</v>
      </c>
      <c r="DW90" s="163">
        <f t="shared" si="80"/>
        <v>0</v>
      </c>
      <c r="DX90" s="164"/>
      <c r="DY90" s="176">
        <f t="shared" si="81"/>
        <v>0</v>
      </c>
      <c r="DZ90" s="177">
        <f t="shared" si="82"/>
        <v>0</v>
      </c>
      <c r="EA90" s="178">
        <f t="shared" si="83"/>
        <v>0</v>
      </c>
      <c r="EB90" s="179">
        <f t="shared" si="84"/>
        <v>0</v>
      </c>
      <c r="EC90" s="180"/>
      <c r="ED90" s="175" t="e">
        <f t="shared" si="85"/>
        <v>#DIV/0!</v>
      </c>
      <c r="EE90" s="163">
        <f t="shared" si="86"/>
        <v>0</v>
      </c>
      <c r="EF90" s="164"/>
      <c r="EG90" s="181">
        <f t="shared" si="87"/>
        <v>0</v>
      </c>
      <c r="EH90" s="182">
        <f t="shared" si="88"/>
        <v>0</v>
      </c>
      <c r="EI90" s="182">
        <f t="shared" si="89"/>
        <v>0</v>
      </c>
      <c r="EJ90" s="182">
        <f t="shared" si="90"/>
        <v>0</v>
      </c>
      <c r="EK90" s="183">
        <f t="shared" si="91"/>
        <v>0</v>
      </c>
      <c r="EL90" s="184" t="e">
        <f t="shared" si="92"/>
        <v>#DIV/0!</v>
      </c>
      <c r="EM90" s="185">
        <f t="shared" si="93"/>
        <v>0</v>
      </c>
      <c r="EN90" s="164"/>
      <c r="EO90" s="181">
        <f t="shared" si="94"/>
        <v>0</v>
      </c>
      <c r="EP90" s="183">
        <f t="shared" si="95"/>
        <v>0</v>
      </c>
      <c r="EQ90" s="184" t="e">
        <f t="shared" si="96"/>
        <v>#DIV/0!</v>
      </c>
      <c r="ER90" s="185">
        <f t="shared" si="97"/>
        <v>0</v>
      </c>
      <c r="ES90" s="164"/>
      <c r="ET90" s="164"/>
      <c r="EU90" s="186">
        <f t="shared" si="98"/>
        <v>0</v>
      </c>
      <c r="EV90" s="186">
        <f t="shared" si="99"/>
        <v>0</v>
      </c>
      <c r="EW90" s="186">
        <f t="shared" si="100"/>
        <v>0</v>
      </c>
      <c r="EX90" s="186">
        <f t="shared" si="101"/>
        <v>0</v>
      </c>
      <c r="EY90" s="131"/>
      <c r="EZ90" s="187">
        <f t="shared" si="102"/>
        <v>0</v>
      </c>
      <c r="FA90" s="188" t="e">
        <f t="shared" si="103"/>
        <v>#DIV/0!</v>
      </c>
      <c r="FB90" s="189"/>
      <c r="FC90" s="131"/>
      <c r="FD90" s="131"/>
      <c r="FE90" s="131"/>
      <c r="FF90" s="131"/>
      <c r="FG90" s="131"/>
    </row>
    <row r="91" spans="2:163" ht="16" outlineLevel="1" thickBot="1" x14ac:dyDescent="0.4">
      <c r="B91" s="358"/>
      <c r="C91" s="355"/>
      <c r="D91" s="204"/>
      <c r="E91" s="205"/>
      <c r="F91" s="135"/>
      <c r="G91" s="206"/>
      <c r="H91" s="207"/>
      <c r="I91" s="138">
        <f t="shared" si="110"/>
        <v>0</v>
      </c>
      <c r="J91" s="139"/>
      <c r="K91" s="208">
        <f t="shared" si="107"/>
        <v>0</v>
      </c>
      <c r="L91" s="141"/>
      <c r="M91" s="209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09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1"/>
      <c r="AN91" s="212">
        <f t="shared" si="58"/>
        <v>0</v>
      </c>
      <c r="AO91" s="146"/>
      <c r="AP91" s="147">
        <f t="shared" si="59"/>
        <v>0</v>
      </c>
      <c r="AQ91" s="148"/>
      <c r="AR91" s="213"/>
      <c r="AS91" s="213"/>
      <c r="AT91" s="135"/>
      <c r="AU91" s="214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4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7"/>
      <c r="CD91" s="214"/>
      <c r="CE91" s="209"/>
      <c r="CF91" s="210"/>
      <c r="CG91" s="210"/>
      <c r="CH91" s="210"/>
      <c r="CI91" s="210"/>
      <c r="CJ91" s="210"/>
      <c r="CK91" s="210"/>
      <c r="CL91" s="210"/>
      <c r="CM91" s="210"/>
      <c r="CN91" s="210"/>
      <c r="CO91" s="348"/>
      <c r="CP91" s="215"/>
      <c r="CQ91" s="216"/>
      <c r="CR91" s="217"/>
      <c r="CS91" s="218">
        <f t="shared" si="60"/>
        <v>0</v>
      </c>
      <c r="CT91" s="146"/>
      <c r="CU91" s="147">
        <f t="shared" si="61"/>
        <v>0</v>
      </c>
      <c r="CV91" s="156"/>
      <c r="CW91" s="157" t="e">
        <f t="shared" si="62"/>
        <v>#DIV/0!</v>
      </c>
      <c r="CX91" s="157" t="e">
        <f t="shared" si="63"/>
        <v>#DIV/0!</v>
      </c>
      <c r="CY91" s="157" t="e">
        <f t="shared" si="64"/>
        <v>#DIV/0!</v>
      </c>
      <c r="CZ91" s="157" t="e">
        <f t="shared" si="65"/>
        <v>#DIV/0!</v>
      </c>
      <c r="DA91" s="157" t="e">
        <f t="shared" si="66"/>
        <v>#DIV/0!</v>
      </c>
      <c r="DB91" s="158" t="e">
        <f t="shared" si="67"/>
        <v>#DIV/0!</v>
      </c>
      <c r="DC91" s="131"/>
      <c r="DD91" s="159">
        <f t="shared" si="68"/>
        <v>0</v>
      </c>
      <c r="DE91" s="160">
        <f t="shared" si="69"/>
        <v>0</v>
      </c>
      <c r="DF91" s="161">
        <f t="shared" si="70"/>
        <v>0</v>
      </c>
      <c r="DG91" s="162" t="e">
        <f t="shared" si="71"/>
        <v>#DIV/0!</v>
      </c>
      <c r="DH91" s="163">
        <f t="shared" si="72"/>
        <v>0</v>
      </c>
      <c r="DI91" s="164"/>
      <c r="DJ91" s="165">
        <f t="shared" si="55"/>
        <v>0</v>
      </c>
      <c r="DK91" s="166">
        <f t="shared" si="55"/>
        <v>0</v>
      </c>
      <c r="DL91" s="167" t="e">
        <f t="shared" si="73"/>
        <v>#DIV/0!</v>
      </c>
      <c r="DM91" s="168" t="e">
        <f t="shared" si="74"/>
        <v>#DIV/0!</v>
      </c>
      <c r="DN91" s="163" t="e">
        <f t="shared" si="75"/>
        <v>#DIV/0!</v>
      </c>
      <c r="DO91" s="169"/>
      <c r="DP91" s="170"/>
      <c r="DQ91" s="171"/>
      <c r="DR91" s="172">
        <f t="shared" si="76"/>
        <v>0</v>
      </c>
      <c r="DS91" s="173" t="e">
        <f t="shared" si="77"/>
        <v>#DIV/0!</v>
      </c>
      <c r="DT91" s="163" t="e">
        <f t="shared" si="78"/>
        <v>#DIV/0!</v>
      </c>
      <c r="DU91" s="174"/>
      <c r="DV91" s="175" t="e">
        <f t="shared" si="79"/>
        <v>#DIV/0!</v>
      </c>
      <c r="DW91" s="163">
        <f t="shared" si="80"/>
        <v>0</v>
      </c>
      <c r="DX91" s="164"/>
      <c r="DY91" s="176">
        <f t="shared" si="81"/>
        <v>0</v>
      </c>
      <c r="DZ91" s="177">
        <f t="shared" si="82"/>
        <v>0</v>
      </c>
      <c r="EA91" s="178">
        <f t="shared" si="83"/>
        <v>0</v>
      </c>
      <c r="EB91" s="179">
        <f t="shared" si="84"/>
        <v>0</v>
      </c>
      <c r="EC91" s="180"/>
      <c r="ED91" s="175" t="e">
        <f t="shared" si="85"/>
        <v>#DIV/0!</v>
      </c>
      <c r="EE91" s="163">
        <f t="shared" si="86"/>
        <v>0</v>
      </c>
      <c r="EF91" s="164"/>
      <c r="EG91" s="181">
        <f t="shared" si="87"/>
        <v>0</v>
      </c>
      <c r="EH91" s="182">
        <f t="shared" si="88"/>
        <v>0</v>
      </c>
      <c r="EI91" s="182">
        <f t="shared" si="89"/>
        <v>0</v>
      </c>
      <c r="EJ91" s="182">
        <f t="shared" si="90"/>
        <v>0</v>
      </c>
      <c r="EK91" s="183">
        <f t="shared" si="91"/>
        <v>0</v>
      </c>
      <c r="EL91" s="184" t="e">
        <f t="shared" si="92"/>
        <v>#DIV/0!</v>
      </c>
      <c r="EM91" s="185">
        <f t="shared" si="93"/>
        <v>0</v>
      </c>
      <c r="EN91" s="164"/>
      <c r="EO91" s="181">
        <f t="shared" si="94"/>
        <v>0</v>
      </c>
      <c r="EP91" s="183">
        <f t="shared" si="95"/>
        <v>0</v>
      </c>
      <c r="EQ91" s="184" t="e">
        <f t="shared" si="96"/>
        <v>#DIV/0!</v>
      </c>
      <c r="ER91" s="185">
        <f t="shared" si="97"/>
        <v>0</v>
      </c>
      <c r="ES91" s="164"/>
      <c r="ET91" s="164"/>
      <c r="EU91" s="186">
        <f t="shared" si="98"/>
        <v>0</v>
      </c>
      <c r="EV91" s="186">
        <f t="shared" si="99"/>
        <v>0</v>
      </c>
      <c r="EW91" s="186">
        <f t="shared" si="100"/>
        <v>0</v>
      </c>
      <c r="EX91" s="186">
        <f t="shared" si="101"/>
        <v>0</v>
      </c>
      <c r="EY91" s="131"/>
      <c r="EZ91" s="187">
        <f t="shared" si="102"/>
        <v>0</v>
      </c>
      <c r="FA91" s="188" t="e">
        <f t="shared" si="103"/>
        <v>#DIV/0!</v>
      </c>
      <c r="FB91" s="189"/>
      <c r="FC91" s="131"/>
      <c r="FD91" s="131"/>
      <c r="FE91" s="131"/>
      <c r="FF91" s="131"/>
      <c r="FG91" s="131"/>
    </row>
    <row r="92" spans="2:163" ht="16" outlineLevel="1" thickBot="1" x14ac:dyDescent="0.4">
      <c r="B92" s="356"/>
      <c r="C92" s="353"/>
      <c r="D92" s="133"/>
      <c r="E92" s="134"/>
      <c r="F92" s="135"/>
      <c r="G92" s="136"/>
      <c r="H92" s="137"/>
      <c r="I92" s="138">
        <f>IF(E92&gt;0.0001,9.4,0)</f>
        <v>0</v>
      </c>
      <c r="J92" s="139"/>
      <c r="K92" s="140">
        <f t="shared" si="107"/>
        <v>0</v>
      </c>
      <c r="L92" s="141"/>
      <c r="M92" s="142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2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4"/>
      <c r="AN92" s="145">
        <f t="shared" si="58"/>
        <v>0</v>
      </c>
      <c r="AO92" s="146"/>
      <c r="AP92" s="147">
        <f t="shared" si="59"/>
        <v>0</v>
      </c>
      <c r="AQ92" s="148"/>
      <c r="AR92" s="149"/>
      <c r="AS92" s="149"/>
      <c r="AT92" s="135"/>
      <c r="AU92" s="150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0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4"/>
      <c r="CD92" s="150"/>
      <c r="CE92" s="142"/>
      <c r="CF92" s="143"/>
      <c r="CG92" s="143"/>
      <c r="CH92" s="143"/>
      <c r="CI92" s="143"/>
      <c r="CJ92" s="143"/>
      <c r="CK92" s="143"/>
      <c r="CL92" s="143"/>
      <c r="CM92" s="143"/>
      <c r="CN92" s="143"/>
      <c r="CO92" s="346"/>
      <c r="CP92" s="151"/>
      <c r="CQ92" s="152"/>
      <c r="CR92" s="154"/>
      <c r="CS92" s="155">
        <f t="shared" si="60"/>
        <v>0</v>
      </c>
      <c r="CT92" s="146"/>
      <c r="CU92" s="147">
        <f t="shared" si="61"/>
        <v>0</v>
      </c>
      <c r="CV92" s="156"/>
      <c r="CW92" s="157" t="e">
        <f t="shared" si="62"/>
        <v>#DIV/0!</v>
      </c>
      <c r="CX92" s="157" t="e">
        <f t="shared" si="63"/>
        <v>#DIV/0!</v>
      </c>
      <c r="CY92" s="157" t="e">
        <f t="shared" si="64"/>
        <v>#DIV/0!</v>
      </c>
      <c r="CZ92" s="157" t="e">
        <f t="shared" si="65"/>
        <v>#DIV/0!</v>
      </c>
      <c r="DA92" s="157" t="e">
        <f t="shared" si="66"/>
        <v>#DIV/0!</v>
      </c>
      <c r="DB92" s="158" t="e">
        <f t="shared" si="67"/>
        <v>#DIV/0!</v>
      </c>
      <c r="DC92" s="131"/>
      <c r="DD92" s="159">
        <f t="shared" si="68"/>
        <v>0</v>
      </c>
      <c r="DE92" s="160">
        <f t="shared" si="69"/>
        <v>0</v>
      </c>
      <c r="DF92" s="161">
        <f t="shared" si="70"/>
        <v>0</v>
      </c>
      <c r="DG92" s="162" t="e">
        <f t="shared" si="71"/>
        <v>#DIV/0!</v>
      </c>
      <c r="DH92" s="163">
        <f t="shared" si="72"/>
        <v>0</v>
      </c>
      <c r="DI92" s="164"/>
      <c r="DJ92" s="165">
        <f t="shared" si="55"/>
        <v>0</v>
      </c>
      <c r="DK92" s="166">
        <f t="shared" si="55"/>
        <v>0</v>
      </c>
      <c r="DL92" s="167" t="e">
        <f t="shared" si="73"/>
        <v>#DIV/0!</v>
      </c>
      <c r="DM92" s="168" t="e">
        <f t="shared" si="74"/>
        <v>#DIV/0!</v>
      </c>
      <c r="DN92" s="163" t="e">
        <f t="shared" si="75"/>
        <v>#DIV/0!</v>
      </c>
      <c r="DO92" s="169"/>
      <c r="DP92" s="170"/>
      <c r="DQ92" s="171"/>
      <c r="DR92" s="172">
        <f t="shared" si="76"/>
        <v>0</v>
      </c>
      <c r="DS92" s="173" t="e">
        <f t="shared" si="77"/>
        <v>#DIV/0!</v>
      </c>
      <c r="DT92" s="163" t="e">
        <f t="shared" si="78"/>
        <v>#DIV/0!</v>
      </c>
      <c r="DU92" s="174"/>
      <c r="DV92" s="175" t="e">
        <f t="shared" si="79"/>
        <v>#DIV/0!</v>
      </c>
      <c r="DW92" s="163">
        <f t="shared" si="80"/>
        <v>0</v>
      </c>
      <c r="DX92" s="164"/>
      <c r="DY92" s="176">
        <f t="shared" si="81"/>
        <v>0</v>
      </c>
      <c r="DZ92" s="177">
        <f t="shared" si="82"/>
        <v>0</v>
      </c>
      <c r="EA92" s="178">
        <f t="shared" si="83"/>
        <v>0</v>
      </c>
      <c r="EB92" s="179">
        <f t="shared" si="84"/>
        <v>0</v>
      </c>
      <c r="EC92" s="180"/>
      <c r="ED92" s="175" t="e">
        <f t="shared" si="85"/>
        <v>#DIV/0!</v>
      </c>
      <c r="EE92" s="163">
        <f t="shared" si="86"/>
        <v>0</v>
      </c>
      <c r="EF92" s="164"/>
      <c r="EG92" s="181">
        <f t="shared" si="87"/>
        <v>0</v>
      </c>
      <c r="EH92" s="182">
        <f t="shared" si="88"/>
        <v>0</v>
      </c>
      <c r="EI92" s="182">
        <f t="shared" ref="EI92:EI94" si="111">SUM(M92:Z92)</f>
        <v>0</v>
      </c>
      <c r="EJ92" s="182">
        <f t="shared" si="90"/>
        <v>0</v>
      </c>
      <c r="EK92" s="183">
        <f t="shared" si="91"/>
        <v>0</v>
      </c>
      <c r="EL92" s="184" t="e">
        <f t="shared" si="92"/>
        <v>#DIV/0!</v>
      </c>
      <c r="EM92" s="185">
        <f t="shared" si="93"/>
        <v>0</v>
      </c>
      <c r="EN92" s="164"/>
      <c r="EO92" s="181">
        <f t="shared" si="94"/>
        <v>0</v>
      </c>
      <c r="EP92" s="183">
        <f t="shared" si="95"/>
        <v>0</v>
      </c>
      <c r="EQ92" s="184" t="e">
        <f t="shared" si="96"/>
        <v>#DIV/0!</v>
      </c>
      <c r="ER92" s="185">
        <f t="shared" si="97"/>
        <v>0</v>
      </c>
      <c r="ES92" s="164"/>
      <c r="ET92" s="164"/>
      <c r="EU92" s="186">
        <f t="shared" si="98"/>
        <v>0</v>
      </c>
      <c r="EV92" s="186">
        <f t="shared" si="99"/>
        <v>0</v>
      </c>
      <c r="EW92" s="186">
        <f t="shared" si="100"/>
        <v>0</v>
      </c>
      <c r="EX92" s="186">
        <f t="shared" si="101"/>
        <v>0</v>
      </c>
      <c r="EY92" s="131"/>
      <c r="EZ92" s="187">
        <f t="shared" si="102"/>
        <v>0</v>
      </c>
      <c r="FA92" s="188" t="e">
        <f t="shared" si="103"/>
        <v>#DIV/0!</v>
      </c>
      <c r="FB92" s="189"/>
      <c r="FC92" s="131"/>
      <c r="FD92" s="131"/>
      <c r="FE92" s="131"/>
      <c r="FF92" s="131"/>
      <c r="FG92" s="131"/>
    </row>
    <row r="93" spans="2:163" ht="16" outlineLevel="1" thickBot="1" x14ac:dyDescent="0.4">
      <c r="B93" s="357"/>
      <c r="C93" s="354"/>
      <c r="D93" s="190"/>
      <c r="E93" s="191"/>
      <c r="F93" s="135"/>
      <c r="G93" s="192"/>
      <c r="H93" s="137"/>
      <c r="I93" s="138">
        <f t="shared" ref="I93:I94" si="112">IF(E93&gt;0.0001,0,0)</f>
        <v>0</v>
      </c>
      <c r="J93" s="139"/>
      <c r="K93" s="193">
        <f t="shared" si="107"/>
        <v>0</v>
      </c>
      <c r="L93" s="141"/>
      <c r="M93" s="194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4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6"/>
      <c r="AN93" s="197">
        <f t="shared" si="58"/>
        <v>0</v>
      </c>
      <c r="AO93" s="146"/>
      <c r="AP93" s="147">
        <f t="shared" si="59"/>
        <v>0</v>
      </c>
      <c r="AQ93" s="148"/>
      <c r="AR93" s="198"/>
      <c r="AS93" s="198"/>
      <c r="AT93" s="135"/>
      <c r="AU93" s="199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199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2"/>
      <c r="CD93" s="199"/>
      <c r="CE93" s="194"/>
      <c r="CF93" s="195"/>
      <c r="CG93" s="195"/>
      <c r="CH93" s="195"/>
      <c r="CI93" s="195"/>
      <c r="CJ93" s="195"/>
      <c r="CK93" s="195"/>
      <c r="CL93" s="195"/>
      <c r="CM93" s="195"/>
      <c r="CN93" s="195"/>
      <c r="CO93" s="347"/>
      <c r="CP93" s="200"/>
      <c r="CQ93" s="201"/>
      <c r="CR93" s="202"/>
      <c r="CS93" s="203">
        <f t="shared" si="60"/>
        <v>0</v>
      </c>
      <c r="CT93" s="146"/>
      <c r="CU93" s="147">
        <f t="shared" si="61"/>
        <v>0</v>
      </c>
      <c r="CV93" s="156"/>
      <c r="CW93" s="157" t="e">
        <f t="shared" si="62"/>
        <v>#DIV/0!</v>
      </c>
      <c r="CX93" s="157" t="e">
        <f t="shared" si="63"/>
        <v>#DIV/0!</v>
      </c>
      <c r="CY93" s="157" t="e">
        <f t="shared" si="64"/>
        <v>#DIV/0!</v>
      </c>
      <c r="CZ93" s="157" t="e">
        <f t="shared" si="65"/>
        <v>#DIV/0!</v>
      </c>
      <c r="DA93" s="157" t="e">
        <f t="shared" si="66"/>
        <v>#DIV/0!</v>
      </c>
      <c r="DB93" s="158" t="e">
        <f t="shared" si="67"/>
        <v>#DIV/0!</v>
      </c>
      <c r="DC93" s="131"/>
      <c r="DD93" s="159">
        <f t="shared" si="68"/>
        <v>0</v>
      </c>
      <c r="DE93" s="160">
        <f t="shared" si="69"/>
        <v>0</v>
      </c>
      <c r="DF93" s="161">
        <f t="shared" si="70"/>
        <v>0</v>
      </c>
      <c r="DG93" s="162" t="e">
        <f t="shared" si="71"/>
        <v>#DIV/0!</v>
      </c>
      <c r="DH93" s="163">
        <f t="shared" si="72"/>
        <v>0</v>
      </c>
      <c r="DI93" s="164"/>
      <c r="DJ93" s="165">
        <f t="shared" si="55"/>
        <v>0</v>
      </c>
      <c r="DK93" s="166">
        <f t="shared" si="55"/>
        <v>0</v>
      </c>
      <c r="DL93" s="167" t="e">
        <f t="shared" si="73"/>
        <v>#DIV/0!</v>
      </c>
      <c r="DM93" s="168" t="e">
        <f t="shared" si="74"/>
        <v>#DIV/0!</v>
      </c>
      <c r="DN93" s="163" t="e">
        <f t="shared" si="75"/>
        <v>#DIV/0!</v>
      </c>
      <c r="DO93" s="169"/>
      <c r="DP93" s="170"/>
      <c r="DQ93" s="171"/>
      <c r="DR93" s="172">
        <f t="shared" si="76"/>
        <v>0</v>
      </c>
      <c r="DS93" s="173" t="e">
        <f t="shared" si="77"/>
        <v>#DIV/0!</v>
      </c>
      <c r="DT93" s="163" t="e">
        <f t="shared" si="78"/>
        <v>#DIV/0!</v>
      </c>
      <c r="DU93" s="174"/>
      <c r="DV93" s="175" t="e">
        <f t="shared" si="79"/>
        <v>#DIV/0!</v>
      </c>
      <c r="DW93" s="163">
        <f t="shared" si="80"/>
        <v>0</v>
      </c>
      <c r="DX93" s="164"/>
      <c r="DY93" s="176">
        <f t="shared" si="81"/>
        <v>0</v>
      </c>
      <c r="DZ93" s="177">
        <f t="shared" si="82"/>
        <v>0</v>
      </c>
      <c r="EA93" s="178">
        <f t="shared" si="83"/>
        <v>0</v>
      </c>
      <c r="EB93" s="179">
        <f t="shared" si="84"/>
        <v>0</v>
      </c>
      <c r="EC93" s="180"/>
      <c r="ED93" s="175" t="e">
        <f t="shared" si="85"/>
        <v>#DIV/0!</v>
      </c>
      <c r="EE93" s="163">
        <f t="shared" si="86"/>
        <v>0</v>
      </c>
      <c r="EF93" s="164"/>
      <c r="EG93" s="181">
        <f t="shared" si="87"/>
        <v>0</v>
      </c>
      <c r="EH93" s="182">
        <f t="shared" si="88"/>
        <v>0</v>
      </c>
      <c r="EI93" s="182">
        <f t="shared" si="111"/>
        <v>0</v>
      </c>
      <c r="EJ93" s="182">
        <f t="shared" si="90"/>
        <v>0</v>
      </c>
      <c r="EK93" s="183">
        <f t="shared" si="91"/>
        <v>0</v>
      </c>
      <c r="EL93" s="184" t="e">
        <f t="shared" si="92"/>
        <v>#DIV/0!</v>
      </c>
      <c r="EM93" s="185">
        <f t="shared" si="93"/>
        <v>0</v>
      </c>
      <c r="EN93" s="164"/>
      <c r="EO93" s="181">
        <f t="shared" si="94"/>
        <v>0</v>
      </c>
      <c r="EP93" s="183">
        <f t="shared" si="95"/>
        <v>0</v>
      </c>
      <c r="EQ93" s="184" t="e">
        <f t="shared" si="96"/>
        <v>#DIV/0!</v>
      </c>
      <c r="ER93" s="185">
        <f t="shared" si="97"/>
        <v>0</v>
      </c>
      <c r="ES93" s="164"/>
      <c r="ET93" s="164"/>
      <c r="EU93" s="186">
        <f t="shared" si="98"/>
        <v>0</v>
      </c>
      <c r="EV93" s="186">
        <f t="shared" si="99"/>
        <v>0</v>
      </c>
      <c r="EW93" s="186">
        <f t="shared" si="100"/>
        <v>0</v>
      </c>
      <c r="EX93" s="186">
        <f t="shared" si="101"/>
        <v>0</v>
      </c>
      <c r="EY93" s="131"/>
      <c r="EZ93" s="187">
        <f t="shared" si="102"/>
        <v>0</v>
      </c>
      <c r="FA93" s="188" t="e">
        <f t="shared" si="103"/>
        <v>#DIV/0!</v>
      </c>
      <c r="FB93" s="189"/>
      <c r="FC93" s="131"/>
      <c r="FD93" s="131"/>
      <c r="FE93" s="131"/>
      <c r="FF93" s="131"/>
      <c r="FG93" s="131"/>
    </row>
    <row r="94" spans="2:163" ht="16" outlineLevel="1" thickBot="1" x14ac:dyDescent="0.4">
      <c r="B94" s="358"/>
      <c r="C94" s="355"/>
      <c r="D94" s="204"/>
      <c r="E94" s="205"/>
      <c r="F94" s="135"/>
      <c r="G94" s="206"/>
      <c r="H94" s="207"/>
      <c r="I94" s="138">
        <f t="shared" si="112"/>
        <v>0</v>
      </c>
      <c r="J94" s="139"/>
      <c r="K94" s="208">
        <f t="shared" si="107"/>
        <v>0</v>
      </c>
      <c r="L94" s="141"/>
      <c r="M94" s="209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09"/>
      <c r="AB94" s="210"/>
      <c r="AC94" s="210"/>
      <c r="AD94" s="210"/>
      <c r="AE94" s="210"/>
      <c r="AF94" s="210"/>
      <c r="AG94" s="210"/>
      <c r="AH94" s="210"/>
      <c r="AI94" s="210"/>
      <c r="AJ94" s="210"/>
      <c r="AK94" s="210"/>
      <c r="AL94" s="210"/>
      <c r="AM94" s="211"/>
      <c r="AN94" s="212">
        <f t="shared" si="58"/>
        <v>0</v>
      </c>
      <c r="AO94" s="146"/>
      <c r="AP94" s="147">
        <f t="shared" si="59"/>
        <v>0</v>
      </c>
      <c r="AQ94" s="148"/>
      <c r="AR94" s="213"/>
      <c r="AS94" s="213"/>
      <c r="AT94" s="135"/>
      <c r="AU94" s="214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6"/>
      <c r="BG94" s="216"/>
      <c r="BH94" s="216"/>
      <c r="BI94" s="216"/>
      <c r="BJ94" s="216"/>
      <c r="BK94" s="216"/>
      <c r="BL94" s="216"/>
      <c r="BM94" s="216"/>
      <c r="BN94" s="216"/>
      <c r="BO94" s="216"/>
      <c r="BP94" s="216"/>
      <c r="BQ94" s="216"/>
      <c r="BR94" s="214"/>
      <c r="BS94" s="215"/>
      <c r="BT94" s="215"/>
      <c r="BU94" s="215"/>
      <c r="BV94" s="215"/>
      <c r="BW94" s="215"/>
      <c r="BX94" s="215"/>
      <c r="BY94" s="215"/>
      <c r="BZ94" s="215"/>
      <c r="CA94" s="215"/>
      <c r="CB94" s="215"/>
      <c r="CC94" s="217"/>
      <c r="CD94" s="214"/>
      <c r="CE94" s="209"/>
      <c r="CF94" s="210"/>
      <c r="CG94" s="210"/>
      <c r="CH94" s="210"/>
      <c r="CI94" s="210"/>
      <c r="CJ94" s="210"/>
      <c r="CK94" s="210"/>
      <c r="CL94" s="210"/>
      <c r="CM94" s="210"/>
      <c r="CN94" s="210"/>
      <c r="CO94" s="348"/>
      <c r="CP94" s="215"/>
      <c r="CQ94" s="216"/>
      <c r="CR94" s="217"/>
      <c r="CS94" s="218">
        <f t="shared" si="60"/>
        <v>0</v>
      </c>
      <c r="CT94" s="146"/>
      <c r="CU94" s="147">
        <f t="shared" si="61"/>
        <v>0</v>
      </c>
      <c r="CV94" s="156"/>
      <c r="CW94" s="157" t="e">
        <f t="shared" si="62"/>
        <v>#DIV/0!</v>
      </c>
      <c r="CX94" s="157" t="e">
        <f t="shared" si="63"/>
        <v>#DIV/0!</v>
      </c>
      <c r="CY94" s="157" t="e">
        <f t="shared" si="64"/>
        <v>#DIV/0!</v>
      </c>
      <c r="CZ94" s="157" t="e">
        <f t="shared" si="65"/>
        <v>#DIV/0!</v>
      </c>
      <c r="DA94" s="157" t="e">
        <f t="shared" si="66"/>
        <v>#DIV/0!</v>
      </c>
      <c r="DB94" s="158" t="e">
        <f t="shared" si="67"/>
        <v>#DIV/0!</v>
      </c>
      <c r="DC94" s="131"/>
      <c r="DD94" s="159">
        <f t="shared" si="68"/>
        <v>0</v>
      </c>
      <c r="DE94" s="160">
        <f t="shared" si="69"/>
        <v>0</v>
      </c>
      <c r="DF94" s="161">
        <f t="shared" si="70"/>
        <v>0</v>
      </c>
      <c r="DG94" s="162" t="e">
        <f t="shared" si="71"/>
        <v>#DIV/0!</v>
      </c>
      <c r="DH94" s="163">
        <f t="shared" si="72"/>
        <v>0</v>
      </c>
      <c r="DI94" s="164"/>
      <c r="DJ94" s="165">
        <f t="shared" si="55"/>
        <v>0</v>
      </c>
      <c r="DK94" s="166">
        <f t="shared" si="55"/>
        <v>0</v>
      </c>
      <c r="DL94" s="167" t="e">
        <f t="shared" si="73"/>
        <v>#DIV/0!</v>
      </c>
      <c r="DM94" s="168" t="e">
        <f t="shared" si="74"/>
        <v>#DIV/0!</v>
      </c>
      <c r="DN94" s="163" t="e">
        <f t="shared" si="75"/>
        <v>#DIV/0!</v>
      </c>
      <c r="DO94" s="169"/>
      <c r="DP94" s="170"/>
      <c r="DQ94" s="171"/>
      <c r="DR94" s="172">
        <f t="shared" si="76"/>
        <v>0</v>
      </c>
      <c r="DS94" s="173" t="e">
        <f t="shared" si="77"/>
        <v>#DIV/0!</v>
      </c>
      <c r="DT94" s="163" t="e">
        <f t="shared" si="78"/>
        <v>#DIV/0!</v>
      </c>
      <c r="DU94" s="174"/>
      <c r="DV94" s="175" t="e">
        <f t="shared" si="79"/>
        <v>#DIV/0!</v>
      </c>
      <c r="DW94" s="163">
        <f t="shared" si="80"/>
        <v>0</v>
      </c>
      <c r="DX94" s="164"/>
      <c r="DY94" s="176">
        <f t="shared" si="81"/>
        <v>0</v>
      </c>
      <c r="DZ94" s="177">
        <f t="shared" si="82"/>
        <v>0</v>
      </c>
      <c r="EA94" s="178">
        <f t="shared" si="83"/>
        <v>0</v>
      </c>
      <c r="EB94" s="179">
        <f t="shared" si="84"/>
        <v>0</v>
      </c>
      <c r="EC94" s="180"/>
      <c r="ED94" s="175" t="e">
        <f t="shared" si="85"/>
        <v>#DIV/0!</v>
      </c>
      <c r="EE94" s="163">
        <f t="shared" si="86"/>
        <v>0</v>
      </c>
      <c r="EF94" s="164"/>
      <c r="EG94" s="181">
        <f t="shared" si="87"/>
        <v>0</v>
      </c>
      <c r="EH94" s="182">
        <f t="shared" si="88"/>
        <v>0</v>
      </c>
      <c r="EI94" s="182">
        <f t="shared" si="111"/>
        <v>0</v>
      </c>
      <c r="EJ94" s="182">
        <f t="shared" si="90"/>
        <v>0</v>
      </c>
      <c r="EK94" s="183">
        <f t="shared" si="91"/>
        <v>0</v>
      </c>
      <c r="EL94" s="184" t="e">
        <f t="shared" si="92"/>
        <v>#DIV/0!</v>
      </c>
      <c r="EM94" s="185">
        <f t="shared" si="93"/>
        <v>0</v>
      </c>
      <c r="EN94" s="164"/>
      <c r="EO94" s="181">
        <f t="shared" si="94"/>
        <v>0</v>
      </c>
      <c r="EP94" s="183">
        <f t="shared" si="95"/>
        <v>0</v>
      </c>
      <c r="EQ94" s="184" t="e">
        <f t="shared" si="96"/>
        <v>#DIV/0!</v>
      </c>
      <c r="ER94" s="185">
        <f t="shared" si="97"/>
        <v>0</v>
      </c>
      <c r="ES94" s="164"/>
      <c r="ET94" s="164"/>
      <c r="EU94" s="186">
        <f t="shared" si="98"/>
        <v>0</v>
      </c>
      <c r="EV94" s="186">
        <f t="shared" si="99"/>
        <v>0</v>
      </c>
      <c r="EW94" s="186">
        <f t="shared" si="100"/>
        <v>0</v>
      </c>
      <c r="EX94" s="186">
        <f t="shared" si="101"/>
        <v>0</v>
      </c>
      <c r="EY94" s="131"/>
      <c r="EZ94" s="187">
        <f t="shared" si="102"/>
        <v>0</v>
      </c>
      <c r="FA94" s="188" t="e">
        <f t="shared" si="103"/>
        <v>#DIV/0!</v>
      </c>
      <c r="FB94" s="189"/>
      <c r="FC94" s="131"/>
      <c r="FD94" s="131"/>
      <c r="FE94" s="131"/>
      <c r="FF94" s="131"/>
      <c r="FG94" s="131"/>
    </row>
    <row r="95" spans="2:163" ht="16" outlineLevel="1" thickBot="1" x14ac:dyDescent="0.4">
      <c r="B95" s="356"/>
      <c r="C95" s="353"/>
      <c r="D95" s="133"/>
      <c r="E95" s="134"/>
      <c r="F95" s="135"/>
      <c r="G95" s="136"/>
      <c r="H95" s="137"/>
      <c r="I95" s="138">
        <f>IF(E95&gt;0.0001,9.4,0)</f>
        <v>0</v>
      </c>
      <c r="J95" s="139"/>
      <c r="K95" s="140">
        <f t="shared" si="107"/>
        <v>0</v>
      </c>
      <c r="L95" s="141"/>
      <c r="M95" s="142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2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4"/>
      <c r="AN95" s="145">
        <f t="shared" si="58"/>
        <v>0</v>
      </c>
      <c r="AO95" s="146"/>
      <c r="AP95" s="147">
        <f t="shared" si="59"/>
        <v>0</v>
      </c>
      <c r="AQ95" s="148"/>
      <c r="AR95" s="149"/>
      <c r="AS95" s="149"/>
      <c r="AT95" s="135"/>
      <c r="AU95" s="150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0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4"/>
      <c r="CD95" s="150"/>
      <c r="CE95" s="142"/>
      <c r="CF95" s="143"/>
      <c r="CG95" s="143"/>
      <c r="CH95" s="143"/>
      <c r="CI95" s="143"/>
      <c r="CJ95" s="143"/>
      <c r="CK95" s="143"/>
      <c r="CL95" s="143"/>
      <c r="CM95" s="143"/>
      <c r="CN95" s="143"/>
      <c r="CO95" s="346"/>
      <c r="CP95" s="151"/>
      <c r="CQ95" s="152"/>
      <c r="CR95" s="154"/>
      <c r="CS95" s="155">
        <f t="shared" si="60"/>
        <v>0</v>
      </c>
      <c r="CT95" s="146"/>
      <c r="CU95" s="147">
        <f t="shared" si="61"/>
        <v>0</v>
      </c>
      <c r="CV95" s="156"/>
      <c r="CW95" s="157" t="e">
        <f t="shared" si="62"/>
        <v>#DIV/0!</v>
      </c>
      <c r="CX95" s="157" t="e">
        <f t="shared" si="63"/>
        <v>#DIV/0!</v>
      </c>
      <c r="CY95" s="157" t="e">
        <f t="shared" si="64"/>
        <v>#DIV/0!</v>
      </c>
      <c r="CZ95" s="157" t="e">
        <f t="shared" si="65"/>
        <v>#DIV/0!</v>
      </c>
      <c r="DA95" s="157" t="e">
        <f t="shared" si="66"/>
        <v>#DIV/0!</v>
      </c>
      <c r="DB95" s="158" t="e">
        <f t="shared" si="67"/>
        <v>#DIV/0!</v>
      </c>
      <c r="DC95" s="131"/>
      <c r="DD95" s="159">
        <f t="shared" si="68"/>
        <v>0</v>
      </c>
      <c r="DE95" s="160">
        <f t="shared" si="69"/>
        <v>0</v>
      </c>
      <c r="DF95" s="161">
        <f t="shared" si="70"/>
        <v>0</v>
      </c>
      <c r="DG95" s="162" t="e">
        <f t="shared" si="71"/>
        <v>#DIV/0!</v>
      </c>
      <c r="DH95" s="163">
        <f t="shared" si="72"/>
        <v>0</v>
      </c>
      <c r="DI95" s="164"/>
      <c r="DJ95" s="165">
        <f t="shared" si="55"/>
        <v>0</v>
      </c>
      <c r="DK95" s="166">
        <f t="shared" si="55"/>
        <v>0</v>
      </c>
      <c r="DL95" s="167" t="e">
        <f t="shared" si="73"/>
        <v>#DIV/0!</v>
      </c>
      <c r="DM95" s="168" t="e">
        <f t="shared" si="74"/>
        <v>#DIV/0!</v>
      </c>
      <c r="DN95" s="163" t="e">
        <f t="shared" si="75"/>
        <v>#DIV/0!</v>
      </c>
      <c r="DO95" s="169"/>
      <c r="DP95" s="170"/>
      <c r="DQ95" s="171"/>
      <c r="DR95" s="172">
        <f t="shared" si="76"/>
        <v>0</v>
      </c>
      <c r="DS95" s="173" t="e">
        <f t="shared" si="77"/>
        <v>#DIV/0!</v>
      </c>
      <c r="DT95" s="163" t="e">
        <f t="shared" si="78"/>
        <v>#DIV/0!</v>
      </c>
      <c r="DU95" s="174"/>
      <c r="DV95" s="175" t="e">
        <f t="shared" si="79"/>
        <v>#DIV/0!</v>
      </c>
      <c r="DW95" s="163">
        <f t="shared" si="80"/>
        <v>0</v>
      </c>
      <c r="DX95" s="164"/>
      <c r="DY95" s="176">
        <f t="shared" si="81"/>
        <v>0</v>
      </c>
      <c r="DZ95" s="177">
        <f t="shared" si="82"/>
        <v>0</v>
      </c>
      <c r="EA95" s="178">
        <f t="shared" si="83"/>
        <v>0</v>
      </c>
      <c r="EB95" s="179">
        <f t="shared" si="84"/>
        <v>0</v>
      </c>
      <c r="EC95" s="180"/>
      <c r="ED95" s="175" t="e">
        <f t="shared" si="85"/>
        <v>#DIV/0!</v>
      </c>
      <c r="EE95" s="163">
        <f t="shared" si="86"/>
        <v>0</v>
      </c>
      <c r="EF95" s="164"/>
      <c r="EG95" s="181">
        <f t="shared" si="87"/>
        <v>0</v>
      </c>
      <c r="EH95" s="182">
        <f t="shared" si="88"/>
        <v>0</v>
      </c>
      <c r="EI95" s="182">
        <f t="shared" si="89"/>
        <v>0</v>
      </c>
      <c r="EJ95" s="182">
        <f t="shared" si="90"/>
        <v>0</v>
      </c>
      <c r="EK95" s="183">
        <f t="shared" si="91"/>
        <v>0</v>
      </c>
      <c r="EL95" s="184" t="e">
        <f t="shared" si="92"/>
        <v>#DIV/0!</v>
      </c>
      <c r="EM95" s="185">
        <f t="shared" si="93"/>
        <v>0</v>
      </c>
      <c r="EN95" s="164"/>
      <c r="EO95" s="181">
        <f t="shared" si="94"/>
        <v>0</v>
      </c>
      <c r="EP95" s="183">
        <f t="shared" si="95"/>
        <v>0</v>
      </c>
      <c r="EQ95" s="184" t="e">
        <f t="shared" si="96"/>
        <v>#DIV/0!</v>
      </c>
      <c r="ER95" s="185">
        <f t="shared" si="97"/>
        <v>0</v>
      </c>
      <c r="ES95" s="164"/>
      <c r="ET95" s="164"/>
      <c r="EU95" s="186">
        <f t="shared" si="98"/>
        <v>0</v>
      </c>
      <c r="EV95" s="186">
        <f t="shared" si="99"/>
        <v>0</v>
      </c>
      <c r="EW95" s="186">
        <f t="shared" si="100"/>
        <v>0</v>
      </c>
      <c r="EX95" s="186">
        <f t="shared" si="101"/>
        <v>0</v>
      </c>
      <c r="EY95" s="131"/>
      <c r="EZ95" s="187">
        <f t="shared" si="102"/>
        <v>0</v>
      </c>
      <c r="FA95" s="188" t="e">
        <f t="shared" si="103"/>
        <v>#DIV/0!</v>
      </c>
      <c r="FB95" s="189"/>
      <c r="FC95" s="131"/>
      <c r="FD95" s="131"/>
      <c r="FE95" s="131"/>
      <c r="FF95" s="131"/>
      <c r="FG95" s="131"/>
    </row>
    <row r="96" spans="2:163" ht="16" outlineLevel="1" thickBot="1" x14ac:dyDescent="0.4">
      <c r="B96" s="357"/>
      <c r="C96" s="354"/>
      <c r="D96" s="190"/>
      <c r="E96" s="191"/>
      <c r="F96" s="135"/>
      <c r="G96" s="192"/>
      <c r="H96" s="137"/>
      <c r="I96" s="138">
        <f t="shared" si="56"/>
        <v>0</v>
      </c>
      <c r="J96" s="139"/>
      <c r="K96" s="193">
        <f t="shared" si="107"/>
        <v>0</v>
      </c>
      <c r="L96" s="141"/>
      <c r="M96" s="194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4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6"/>
      <c r="AN96" s="197">
        <f t="shared" si="58"/>
        <v>0</v>
      </c>
      <c r="AO96" s="146"/>
      <c r="AP96" s="147">
        <f t="shared" si="59"/>
        <v>0</v>
      </c>
      <c r="AQ96" s="148"/>
      <c r="AR96" s="198"/>
      <c r="AS96" s="198"/>
      <c r="AT96" s="135"/>
      <c r="AU96" s="199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1"/>
      <c r="BG96" s="201"/>
      <c r="BH96" s="201"/>
      <c r="BI96" s="201"/>
      <c r="BJ96" s="201"/>
      <c r="BK96" s="201"/>
      <c r="BL96" s="201"/>
      <c r="BM96" s="201"/>
      <c r="BN96" s="201"/>
      <c r="BO96" s="201"/>
      <c r="BP96" s="201"/>
      <c r="BQ96" s="201"/>
      <c r="BR96" s="199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2"/>
      <c r="CD96" s="199"/>
      <c r="CE96" s="194"/>
      <c r="CF96" s="195"/>
      <c r="CG96" s="195"/>
      <c r="CH96" s="195"/>
      <c r="CI96" s="195"/>
      <c r="CJ96" s="195"/>
      <c r="CK96" s="195"/>
      <c r="CL96" s="195"/>
      <c r="CM96" s="195"/>
      <c r="CN96" s="195"/>
      <c r="CO96" s="347"/>
      <c r="CP96" s="200"/>
      <c r="CQ96" s="201"/>
      <c r="CR96" s="202"/>
      <c r="CS96" s="203">
        <f t="shared" si="60"/>
        <v>0</v>
      </c>
      <c r="CT96" s="146"/>
      <c r="CU96" s="147">
        <f t="shared" si="61"/>
        <v>0</v>
      </c>
      <c r="CV96" s="156"/>
      <c r="CW96" s="157" t="e">
        <f t="shared" si="62"/>
        <v>#DIV/0!</v>
      </c>
      <c r="CX96" s="157" t="e">
        <f t="shared" si="63"/>
        <v>#DIV/0!</v>
      </c>
      <c r="CY96" s="157" t="e">
        <f t="shared" si="64"/>
        <v>#DIV/0!</v>
      </c>
      <c r="CZ96" s="157" t="e">
        <f t="shared" si="65"/>
        <v>#DIV/0!</v>
      </c>
      <c r="DA96" s="157" t="e">
        <f t="shared" si="66"/>
        <v>#DIV/0!</v>
      </c>
      <c r="DB96" s="158" t="e">
        <f t="shared" si="67"/>
        <v>#DIV/0!</v>
      </c>
      <c r="DC96" s="131"/>
      <c r="DD96" s="159">
        <f t="shared" si="68"/>
        <v>0</v>
      </c>
      <c r="DE96" s="160">
        <f t="shared" si="69"/>
        <v>0</v>
      </c>
      <c r="DF96" s="161">
        <f t="shared" si="70"/>
        <v>0</v>
      </c>
      <c r="DG96" s="162" t="e">
        <f t="shared" si="71"/>
        <v>#DIV/0!</v>
      </c>
      <c r="DH96" s="163">
        <f t="shared" si="72"/>
        <v>0</v>
      </c>
      <c r="DI96" s="164"/>
      <c r="DJ96" s="165">
        <f t="shared" si="55"/>
        <v>0</v>
      </c>
      <c r="DK96" s="166">
        <f t="shared" si="55"/>
        <v>0</v>
      </c>
      <c r="DL96" s="167" t="e">
        <f t="shared" si="73"/>
        <v>#DIV/0!</v>
      </c>
      <c r="DM96" s="168" t="e">
        <f t="shared" si="74"/>
        <v>#DIV/0!</v>
      </c>
      <c r="DN96" s="163" t="e">
        <f t="shared" si="75"/>
        <v>#DIV/0!</v>
      </c>
      <c r="DO96" s="169"/>
      <c r="DP96" s="170"/>
      <c r="DQ96" s="171"/>
      <c r="DR96" s="172">
        <f t="shared" si="76"/>
        <v>0</v>
      </c>
      <c r="DS96" s="173" t="e">
        <f t="shared" si="77"/>
        <v>#DIV/0!</v>
      </c>
      <c r="DT96" s="163" t="e">
        <f t="shared" si="78"/>
        <v>#DIV/0!</v>
      </c>
      <c r="DU96" s="174"/>
      <c r="DV96" s="175" t="e">
        <f t="shared" si="79"/>
        <v>#DIV/0!</v>
      </c>
      <c r="DW96" s="163">
        <f t="shared" si="80"/>
        <v>0</v>
      </c>
      <c r="DX96" s="164"/>
      <c r="DY96" s="176">
        <f t="shared" si="81"/>
        <v>0</v>
      </c>
      <c r="DZ96" s="177">
        <f t="shared" si="82"/>
        <v>0</v>
      </c>
      <c r="EA96" s="178">
        <f t="shared" si="83"/>
        <v>0</v>
      </c>
      <c r="EB96" s="179">
        <f t="shared" si="84"/>
        <v>0</v>
      </c>
      <c r="EC96" s="180"/>
      <c r="ED96" s="175" t="e">
        <f t="shared" si="85"/>
        <v>#DIV/0!</v>
      </c>
      <c r="EE96" s="163">
        <f t="shared" si="86"/>
        <v>0</v>
      </c>
      <c r="EF96" s="164"/>
      <c r="EG96" s="181">
        <f t="shared" si="87"/>
        <v>0</v>
      </c>
      <c r="EH96" s="182">
        <f t="shared" si="88"/>
        <v>0</v>
      </c>
      <c r="EI96" s="182">
        <f t="shared" si="89"/>
        <v>0</v>
      </c>
      <c r="EJ96" s="182">
        <f t="shared" si="90"/>
        <v>0</v>
      </c>
      <c r="EK96" s="183">
        <f t="shared" si="91"/>
        <v>0</v>
      </c>
      <c r="EL96" s="184" t="e">
        <f t="shared" si="92"/>
        <v>#DIV/0!</v>
      </c>
      <c r="EM96" s="185">
        <f t="shared" si="93"/>
        <v>0</v>
      </c>
      <c r="EN96" s="164"/>
      <c r="EO96" s="181">
        <f t="shared" si="94"/>
        <v>0</v>
      </c>
      <c r="EP96" s="183">
        <f t="shared" si="95"/>
        <v>0</v>
      </c>
      <c r="EQ96" s="184" t="e">
        <f t="shared" si="96"/>
        <v>#DIV/0!</v>
      </c>
      <c r="ER96" s="185">
        <f t="shared" si="97"/>
        <v>0</v>
      </c>
      <c r="ES96" s="164"/>
      <c r="ET96" s="164"/>
      <c r="EU96" s="186">
        <f t="shared" si="98"/>
        <v>0</v>
      </c>
      <c r="EV96" s="186">
        <f t="shared" si="99"/>
        <v>0</v>
      </c>
      <c r="EW96" s="186">
        <f t="shared" si="100"/>
        <v>0</v>
      </c>
      <c r="EX96" s="186">
        <f t="shared" si="101"/>
        <v>0</v>
      </c>
      <c r="EY96" s="131"/>
      <c r="EZ96" s="187">
        <f t="shared" si="102"/>
        <v>0</v>
      </c>
      <c r="FA96" s="188" t="e">
        <f t="shared" si="103"/>
        <v>#DIV/0!</v>
      </c>
      <c r="FB96" s="189"/>
      <c r="FC96" s="131"/>
      <c r="FD96" s="131"/>
      <c r="FE96" s="131"/>
      <c r="FF96" s="131"/>
      <c r="FG96" s="131"/>
    </row>
    <row r="97" spans="1:164" ht="16" outlineLevel="1" thickBot="1" x14ac:dyDescent="0.4">
      <c r="B97" s="358"/>
      <c r="C97" s="355"/>
      <c r="D97" s="204"/>
      <c r="E97" s="205"/>
      <c r="F97" s="135"/>
      <c r="G97" s="206"/>
      <c r="H97" s="207"/>
      <c r="I97" s="138">
        <f t="shared" si="56"/>
        <v>0</v>
      </c>
      <c r="J97" s="139"/>
      <c r="K97" s="208">
        <f t="shared" si="107"/>
        <v>0</v>
      </c>
      <c r="L97" s="141"/>
      <c r="M97" s="209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09"/>
      <c r="AB97" s="210"/>
      <c r="AC97" s="210"/>
      <c r="AD97" s="210"/>
      <c r="AE97" s="210"/>
      <c r="AF97" s="210"/>
      <c r="AG97" s="210"/>
      <c r="AH97" s="210"/>
      <c r="AI97" s="210"/>
      <c r="AJ97" s="210"/>
      <c r="AK97" s="210"/>
      <c r="AL97" s="210"/>
      <c r="AM97" s="211"/>
      <c r="AN97" s="212">
        <f t="shared" si="58"/>
        <v>0</v>
      </c>
      <c r="AO97" s="146"/>
      <c r="AP97" s="147">
        <f t="shared" si="59"/>
        <v>0</v>
      </c>
      <c r="AQ97" s="148"/>
      <c r="AR97" s="213"/>
      <c r="AS97" s="213"/>
      <c r="AT97" s="135"/>
      <c r="AU97" s="214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4"/>
      <c r="BS97" s="215"/>
      <c r="BT97" s="215"/>
      <c r="BU97" s="215"/>
      <c r="BV97" s="215"/>
      <c r="BW97" s="215"/>
      <c r="BX97" s="215"/>
      <c r="BY97" s="215"/>
      <c r="BZ97" s="215"/>
      <c r="CA97" s="215"/>
      <c r="CB97" s="215"/>
      <c r="CC97" s="217"/>
      <c r="CD97" s="214"/>
      <c r="CE97" s="209"/>
      <c r="CF97" s="210"/>
      <c r="CG97" s="210"/>
      <c r="CH97" s="210"/>
      <c r="CI97" s="210"/>
      <c r="CJ97" s="210"/>
      <c r="CK97" s="210"/>
      <c r="CL97" s="210"/>
      <c r="CM97" s="210"/>
      <c r="CN97" s="210"/>
      <c r="CO97" s="348"/>
      <c r="CP97" s="215"/>
      <c r="CQ97" s="216"/>
      <c r="CR97" s="217"/>
      <c r="CS97" s="218">
        <f t="shared" si="60"/>
        <v>0</v>
      </c>
      <c r="CT97" s="146"/>
      <c r="CU97" s="147">
        <f t="shared" si="61"/>
        <v>0</v>
      </c>
      <c r="CV97" s="156"/>
      <c r="CW97" s="157" t="e">
        <f t="shared" si="62"/>
        <v>#DIV/0!</v>
      </c>
      <c r="CX97" s="157" t="e">
        <f t="shared" si="63"/>
        <v>#DIV/0!</v>
      </c>
      <c r="CY97" s="157" t="e">
        <f t="shared" si="64"/>
        <v>#DIV/0!</v>
      </c>
      <c r="CZ97" s="157" t="e">
        <f t="shared" si="65"/>
        <v>#DIV/0!</v>
      </c>
      <c r="DA97" s="157" t="e">
        <f t="shared" si="66"/>
        <v>#DIV/0!</v>
      </c>
      <c r="DB97" s="158" t="e">
        <f t="shared" si="67"/>
        <v>#DIV/0!</v>
      </c>
      <c r="DC97" s="131"/>
      <c r="DD97" s="159">
        <f t="shared" si="68"/>
        <v>0</v>
      </c>
      <c r="DE97" s="160">
        <f t="shared" si="69"/>
        <v>0</v>
      </c>
      <c r="DF97" s="161">
        <f t="shared" si="70"/>
        <v>0</v>
      </c>
      <c r="DG97" s="162" t="e">
        <f t="shared" si="71"/>
        <v>#DIV/0!</v>
      </c>
      <c r="DH97" s="163">
        <f t="shared" si="72"/>
        <v>0</v>
      </c>
      <c r="DI97" s="164"/>
      <c r="DJ97" s="165">
        <f t="shared" si="55"/>
        <v>0</v>
      </c>
      <c r="DK97" s="166">
        <f t="shared" si="55"/>
        <v>0</v>
      </c>
      <c r="DL97" s="167" t="e">
        <f t="shared" si="73"/>
        <v>#DIV/0!</v>
      </c>
      <c r="DM97" s="168" t="e">
        <f t="shared" si="74"/>
        <v>#DIV/0!</v>
      </c>
      <c r="DN97" s="163" t="e">
        <f t="shared" si="75"/>
        <v>#DIV/0!</v>
      </c>
      <c r="DO97" s="169"/>
      <c r="DP97" s="170"/>
      <c r="DQ97" s="171"/>
      <c r="DR97" s="172">
        <f t="shared" si="76"/>
        <v>0</v>
      </c>
      <c r="DS97" s="173" t="e">
        <f t="shared" si="77"/>
        <v>#DIV/0!</v>
      </c>
      <c r="DT97" s="163" t="e">
        <f t="shared" si="78"/>
        <v>#DIV/0!</v>
      </c>
      <c r="DU97" s="174"/>
      <c r="DV97" s="175" t="e">
        <f t="shared" si="79"/>
        <v>#DIV/0!</v>
      </c>
      <c r="DW97" s="163">
        <f t="shared" si="80"/>
        <v>0</v>
      </c>
      <c r="DX97" s="164"/>
      <c r="DY97" s="176">
        <f t="shared" si="81"/>
        <v>0</v>
      </c>
      <c r="DZ97" s="177">
        <f t="shared" si="82"/>
        <v>0</v>
      </c>
      <c r="EA97" s="178">
        <f t="shared" si="83"/>
        <v>0</v>
      </c>
      <c r="EB97" s="179">
        <f t="shared" si="84"/>
        <v>0</v>
      </c>
      <c r="EC97" s="180"/>
      <c r="ED97" s="175" t="e">
        <f t="shared" si="85"/>
        <v>#DIV/0!</v>
      </c>
      <c r="EE97" s="163">
        <f t="shared" si="86"/>
        <v>0</v>
      </c>
      <c r="EF97" s="164"/>
      <c r="EG97" s="181">
        <f t="shared" si="87"/>
        <v>0</v>
      </c>
      <c r="EH97" s="182">
        <f t="shared" si="88"/>
        <v>0</v>
      </c>
      <c r="EI97" s="182">
        <f t="shared" si="89"/>
        <v>0</v>
      </c>
      <c r="EJ97" s="182">
        <f t="shared" si="90"/>
        <v>0</v>
      </c>
      <c r="EK97" s="183">
        <f t="shared" si="91"/>
        <v>0</v>
      </c>
      <c r="EL97" s="184" t="e">
        <f t="shared" si="92"/>
        <v>#DIV/0!</v>
      </c>
      <c r="EM97" s="185">
        <f t="shared" si="93"/>
        <v>0</v>
      </c>
      <c r="EN97" s="164"/>
      <c r="EO97" s="181">
        <f t="shared" si="94"/>
        <v>0</v>
      </c>
      <c r="EP97" s="183">
        <f t="shared" si="95"/>
        <v>0</v>
      </c>
      <c r="EQ97" s="184" t="e">
        <f t="shared" si="96"/>
        <v>#DIV/0!</v>
      </c>
      <c r="ER97" s="185">
        <f t="shared" si="97"/>
        <v>0</v>
      </c>
      <c r="ES97" s="164"/>
      <c r="ET97" s="164"/>
      <c r="EU97" s="186">
        <f t="shared" si="98"/>
        <v>0</v>
      </c>
      <c r="EV97" s="186">
        <f t="shared" si="99"/>
        <v>0</v>
      </c>
      <c r="EW97" s="186">
        <f t="shared" si="100"/>
        <v>0</v>
      </c>
      <c r="EX97" s="186">
        <f t="shared" si="101"/>
        <v>0</v>
      </c>
      <c r="EY97" s="131"/>
      <c r="EZ97" s="187">
        <f t="shared" si="102"/>
        <v>0</v>
      </c>
      <c r="FA97" s="188" t="e">
        <f t="shared" si="103"/>
        <v>#DIV/0!</v>
      </c>
      <c r="FB97" s="189"/>
      <c r="FC97" s="131"/>
      <c r="FD97" s="131"/>
      <c r="FE97" s="131"/>
      <c r="FF97" s="131"/>
      <c r="FG97" s="131"/>
    </row>
    <row r="98" spans="1:164" s="169" customFormat="1" ht="16" hidden="1" outlineLevel="1" thickBot="1" x14ac:dyDescent="0.4">
      <c r="B98" s="356">
        <v>44863</v>
      </c>
      <c r="C98" s="353"/>
      <c r="D98" s="133"/>
      <c r="E98" s="134"/>
      <c r="F98" s="135"/>
      <c r="G98" s="136"/>
      <c r="H98" s="137"/>
      <c r="I98" s="138">
        <f t="shared" si="56"/>
        <v>0</v>
      </c>
      <c r="J98" s="139"/>
      <c r="K98" s="140">
        <f>E98*60</f>
        <v>0</v>
      </c>
      <c r="L98" s="141"/>
      <c r="M98" s="142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2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4"/>
      <c r="AN98" s="145">
        <f t="shared" si="58"/>
        <v>0</v>
      </c>
      <c r="AO98" s="146"/>
      <c r="AP98" s="147">
        <f t="shared" si="59"/>
        <v>0</v>
      </c>
      <c r="AQ98" s="148"/>
      <c r="AR98" s="149"/>
      <c r="AS98" s="149"/>
      <c r="AT98" s="135"/>
      <c r="AU98" s="150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0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4"/>
      <c r="CD98" s="150"/>
      <c r="CE98" s="142"/>
      <c r="CF98" s="143"/>
      <c r="CG98" s="143"/>
      <c r="CH98" s="143"/>
      <c r="CI98" s="143"/>
      <c r="CJ98" s="143"/>
      <c r="CK98" s="143"/>
      <c r="CL98" s="143"/>
      <c r="CM98" s="143"/>
      <c r="CN98" s="144"/>
      <c r="CO98" s="151"/>
      <c r="CP98" s="151"/>
      <c r="CQ98" s="152"/>
      <c r="CR98" s="154"/>
      <c r="CS98" s="155">
        <f t="shared" si="60"/>
        <v>0</v>
      </c>
      <c r="CT98" s="146"/>
      <c r="CU98" s="147">
        <f t="shared" si="61"/>
        <v>0</v>
      </c>
      <c r="CV98" s="156"/>
      <c r="CW98" s="157" t="e">
        <f t="shared" si="62"/>
        <v>#DIV/0!</v>
      </c>
      <c r="CX98" s="157" t="e">
        <f t="shared" si="63"/>
        <v>#DIV/0!</v>
      </c>
      <c r="CY98" s="157" t="e">
        <f t="shared" si="64"/>
        <v>#DIV/0!</v>
      </c>
      <c r="CZ98" s="157" t="e">
        <f t="shared" si="65"/>
        <v>#DIV/0!</v>
      </c>
      <c r="DA98" s="157" t="e">
        <f t="shared" si="66"/>
        <v>#DIV/0!</v>
      </c>
      <c r="DB98" s="158" t="e">
        <f t="shared" si="67"/>
        <v>#DIV/0!</v>
      </c>
      <c r="DC98" s="131"/>
      <c r="DD98" s="159">
        <f t="shared" si="68"/>
        <v>0</v>
      </c>
      <c r="DE98" s="160">
        <f t="shared" si="69"/>
        <v>0</v>
      </c>
      <c r="DF98" s="161">
        <f t="shared" si="70"/>
        <v>0</v>
      </c>
      <c r="DG98" s="162" t="e">
        <f t="shared" si="71"/>
        <v>#DIV/0!</v>
      </c>
      <c r="DH98" s="163">
        <f t="shared" si="72"/>
        <v>0</v>
      </c>
      <c r="DI98" s="164"/>
      <c r="DJ98" s="165">
        <f t="shared" si="55"/>
        <v>0</v>
      </c>
      <c r="DK98" s="166">
        <f t="shared" si="55"/>
        <v>0</v>
      </c>
      <c r="DL98" s="167" t="e">
        <f t="shared" si="73"/>
        <v>#DIV/0!</v>
      </c>
      <c r="DM98" s="168" t="e">
        <f t="shared" si="74"/>
        <v>#DIV/0!</v>
      </c>
      <c r="DN98" s="163" t="e">
        <f t="shared" si="75"/>
        <v>#DIV/0!</v>
      </c>
      <c r="DP98" s="170"/>
      <c r="DQ98" s="171"/>
      <c r="DR98" s="172">
        <f t="shared" si="76"/>
        <v>0</v>
      </c>
      <c r="DS98" s="173" t="e">
        <f t="shared" si="77"/>
        <v>#DIV/0!</v>
      </c>
      <c r="DT98" s="163" t="e">
        <f t="shared" si="78"/>
        <v>#DIV/0!</v>
      </c>
      <c r="DU98" s="174"/>
      <c r="DV98" s="175" t="e">
        <f t="shared" si="79"/>
        <v>#DIV/0!</v>
      </c>
      <c r="DW98" s="163">
        <f t="shared" si="80"/>
        <v>0</v>
      </c>
      <c r="DX98" s="164"/>
      <c r="DY98" s="176">
        <f t="shared" si="81"/>
        <v>0</v>
      </c>
      <c r="DZ98" s="177">
        <f t="shared" si="82"/>
        <v>0</v>
      </c>
      <c r="EA98" s="178">
        <f t="shared" si="83"/>
        <v>0</v>
      </c>
      <c r="EB98" s="179">
        <f t="shared" si="84"/>
        <v>0</v>
      </c>
      <c r="EC98" s="180"/>
      <c r="ED98" s="175" t="e">
        <f t="shared" si="85"/>
        <v>#DIV/0!</v>
      </c>
      <c r="EE98" s="163">
        <f t="shared" si="86"/>
        <v>0</v>
      </c>
      <c r="EF98" s="164"/>
      <c r="EG98" s="181">
        <f t="shared" si="87"/>
        <v>0</v>
      </c>
      <c r="EH98" s="182">
        <f t="shared" si="88"/>
        <v>0</v>
      </c>
      <c r="EI98" s="182">
        <f t="shared" si="89"/>
        <v>0</v>
      </c>
      <c r="EJ98" s="182">
        <f t="shared" si="90"/>
        <v>0</v>
      </c>
      <c r="EK98" s="183">
        <f t="shared" si="91"/>
        <v>0</v>
      </c>
      <c r="EL98" s="184" t="e">
        <f t="shared" si="92"/>
        <v>#DIV/0!</v>
      </c>
      <c r="EM98" s="185">
        <f t="shared" si="93"/>
        <v>0</v>
      </c>
      <c r="EN98" s="164"/>
      <c r="EO98" s="181">
        <f t="shared" si="94"/>
        <v>0</v>
      </c>
      <c r="EP98" s="183">
        <f t="shared" si="95"/>
        <v>0</v>
      </c>
      <c r="EQ98" s="184" t="e">
        <f t="shared" si="96"/>
        <v>#DIV/0!</v>
      </c>
      <c r="ER98" s="185">
        <f t="shared" si="97"/>
        <v>0</v>
      </c>
      <c r="ES98" s="164"/>
      <c r="ET98" s="164"/>
      <c r="EU98" s="186">
        <f t="shared" si="98"/>
        <v>0</v>
      </c>
      <c r="EV98" s="186">
        <f t="shared" si="99"/>
        <v>0</v>
      </c>
      <c r="EW98" s="186">
        <f t="shared" si="100"/>
        <v>0</v>
      </c>
      <c r="EX98" s="186">
        <f t="shared" si="101"/>
        <v>0</v>
      </c>
      <c r="EY98" s="131"/>
      <c r="EZ98" s="187">
        <f t="shared" si="102"/>
        <v>0</v>
      </c>
      <c r="FA98" s="188" t="e">
        <f t="shared" si="103"/>
        <v>#DIV/0!</v>
      </c>
      <c r="FB98" s="189"/>
      <c r="FC98" s="131"/>
      <c r="FD98" s="131"/>
      <c r="FE98" s="131"/>
      <c r="FF98" s="131"/>
      <c r="FG98" s="131"/>
    </row>
    <row r="99" spans="1:164" s="169" customFormat="1" ht="16" hidden="1" outlineLevel="1" thickBot="1" x14ac:dyDescent="0.4">
      <c r="B99" s="357"/>
      <c r="C99" s="354"/>
      <c r="D99" s="240"/>
      <c r="E99" s="241"/>
      <c r="F99" s="135"/>
      <c r="G99" s="192"/>
      <c r="H99" s="242"/>
      <c r="I99" s="138">
        <f t="shared" si="56"/>
        <v>0</v>
      </c>
      <c r="J99" s="139"/>
      <c r="K99" s="193">
        <f t="shared" si="107"/>
        <v>0</v>
      </c>
      <c r="L99" s="141"/>
      <c r="M99" s="194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4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6"/>
      <c r="AN99" s="197">
        <f t="shared" si="58"/>
        <v>0</v>
      </c>
      <c r="AO99" s="146"/>
      <c r="AP99" s="147">
        <f t="shared" si="59"/>
        <v>0</v>
      </c>
      <c r="AQ99" s="148"/>
      <c r="AR99" s="198"/>
      <c r="AS99" s="198"/>
      <c r="AT99" s="135"/>
      <c r="AU99" s="199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199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2"/>
      <c r="CD99" s="199"/>
      <c r="CE99" s="194"/>
      <c r="CF99" s="195"/>
      <c r="CG99" s="195"/>
      <c r="CH99" s="195"/>
      <c r="CI99" s="195"/>
      <c r="CJ99" s="195"/>
      <c r="CK99" s="195"/>
      <c r="CL99" s="195"/>
      <c r="CM99" s="195"/>
      <c r="CN99" s="196"/>
      <c r="CO99" s="200"/>
      <c r="CP99" s="200"/>
      <c r="CQ99" s="201"/>
      <c r="CR99" s="202"/>
      <c r="CS99" s="203">
        <f t="shared" si="60"/>
        <v>0</v>
      </c>
      <c r="CT99" s="146"/>
      <c r="CU99" s="147">
        <f t="shared" si="61"/>
        <v>0</v>
      </c>
      <c r="CV99" s="156"/>
      <c r="CW99" s="157" t="e">
        <f t="shared" si="62"/>
        <v>#DIV/0!</v>
      </c>
      <c r="CX99" s="157" t="e">
        <f t="shared" si="63"/>
        <v>#DIV/0!</v>
      </c>
      <c r="CY99" s="157" t="e">
        <f t="shared" si="64"/>
        <v>#DIV/0!</v>
      </c>
      <c r="CZ99" s="157" t="e">
        <f t="shared" si="65"/>
        <v>#DIV/0!</v>
      </c>
      <c r="DA99" s="157" t="e">
        <f t="shared" si="66"/>
        <v>#DIV/0!</v>
      </c>
      <c r="DB99" s="158" t="e">
        <f t="shared" si="67"/>
        <v>#DIV/0!</v>
      </c>
      <c r="DC99" s="131"/>
      <c r="DD99" s="159">
        <f t="shared" si="68"/>
        <v>0</v>
      </c>
      <c r="DE99" s="160">
        <f t="shared" si="69"/>
        <v>0</v>
      </c>
      <c r="DF99" s="161">
        <f t="shared" si="70"/>
        <v>0</v>
      </c>
      <c r="DG99" s="162" t="e">
        <f t="shared" si="71"/>
        <v>#DIV/0!</v>
      </c>
      <c r="DH99" s="163">
        <f t="shared" si="72"/>
        <v>0</v>
      </c>
      <c r="DI99" s="164"/>
      <c r="DJ99" s="165">
        <f t="shared" si="55"/>
        <v>0</v>
      </c>
      <c r="DK99" s="166">
        <f t="shared" si="55"/>
        <v>0</v>
      </c>
      <c r="DL99" s="167" t="e">
        <f t="shared" si="73"/>
        <v>#DIV/0!</v>
      </c>
      <c r="DM99" s="168" t="e">
        <f t="shared" si="74"/>
        <v>#DIV/0!</v>
      </c>
      <c r="DN99" s="163" t="e">
        <f t="shared" si="75"/>
        <v>#DIV/0!</v>
      </c>
      <c r="DP99" s="170"/>
      <c r="DQ99" s="171"/>
      <c r="DR99" s="172">
        <f t="shared" si="76"/>
        <v>0</v>
      </c>
      <c r="DS99" s="173" t="e">
        <f t="shared" si="77"/>
        <v>#DIV/0!</v>
      </c>
      <c r="DT99" s="163" t="e">
        <f t="shared" si="78"/>
        <v>#DIV/0!</v>
      </c>
      <c r="DU99" s="174"/>
      <c r="DV99" s="175" t="e">
        <f t="shared" si="79"/>
        <v>#DIV/0!</v>
      </c>
      <c r="DW99" s="163">
        <f t="shared" si="80"/>
        <v>0</v>
      </c>
      <c r="DX99" s="164"/>
      <c r="DY99" s="176">
        <f t="shared" si="81"/>
        <v>0</v>
      </c>
      <c r="DZ99" s="177">
        <f t="shared" si="82"/>
        <v>0</v>
      </c>
      <c r="EA99" s="178">
        <f t="shared" si="83"/>
        <v>0</v>
      </c>
      <c r="EB99" s="179">
        <f t="shared" si="84"/>
        <v>0</v>
      </c>
      <c r="EC99" s="180"/>
      <c r="ED99" s="175" t="e">
        <f t="shared" si="85"/>
        <v>#DIV/0!</v>
      </c>
      <c r="EE99" s="163">
        <f t="shared" si="86"/>
        <v>0</v>
      </c>
      <c r="EF99" s="164"/>
      <c r="EG99" s="181">
        <f t="shared" si="87"/>
        <v>0</v>
      </c>
      <c r="EH99" s="182">
        <f t="shared" si="88"/>
        <v>0</v>
      </c>
      <c r="EI99" s="182">
        <f t="shared" si="89"/>
        <v>0</v>
      </c>
      <c r="EJ99" s="182">
        <f t="shared" si="90"/>
        <v>0</v>
      </c>
      <c r="EK99" s="183">
        <f t="shared" si="91"/>
        <v>0</v>
      </c>
      <c r="EL99" s="184" t="e">
        <f t="shared" si="92"/>
        <v>#DIV/0!</v>
      </c>
      <c r="EM99" s="185">
        <f t="shared" si="93"/>
        <v>0</v>
      </c>
      <c r="EN99" s="164"/>
      <c r="EO99" s="181">
        <f t="shared" si="94"/>
        <v>0</v>
      </c>
      <c r="EP99" s="183">
        <f t="shared" si="95"/>
        <v>0</v>
      </c>
      <c r="EQ99" s="184" t="e">
        <f t="shared" si="96"/>
        <v>#DIV/0!</v>
      </c>
      <c r="ER99" s="185">
        <f t="shared" si="97"/>
        <v>0</v>
      </c>
      <c r="ES99" s="164"/>
      <c r="ET99" s="164"/>
      <c r="EU99" s="186">
        <f t="shared" si="98"/>
        <v>0</v>
      </c>
      <c r="EV99" s="186">
        <f t="shared" si="99"/>
        <v>0</v>
      </c>
      <c r="EW99" s="186">
        <f t="shared" si="100"/>
        <v>0</v>
      </c>
      <c r="EX99" s="186">
        <f t="shared" si="101"/>
        <v>0</v>
      </c>
      <c r="EY99" s="131"/>
      <c r="EZ99" s="187">
        <f t="shared" si="102"/>
        <v>0</v>
      </c>
      <c r="FA99" s="188" t="e">
        <f t="shared" si="103"/>
        <v>#DIV/0!</v>
      </c>
      <c r="FB99" s="189"/>
      <c r="FC99" s="131"/>
      <c r="FD99" s="131"/>
      <c r="FE99" s="131"/>
      <c r="FF99" s="131"/>
      <c r="FG99" s="131"/>
    </row>
    <row r="100" spans="1:164" s="169" customFormat="1" ht="16" hidden="1" outlineLevel="1" thickBot="1" x14ac:dyDescent="0.4">
      <c r="B100" s="358"/>
      <c r="C100" s="355"/>
      <c r="D100" s="243"/>
      <c r="E100" s="244"/>
      <c r="F100" s="135"/>
      <c r="G100" s="192"/>
      <c r="H100" s="245"/>
      <c r="I100" s="138">
        <f t="shared" si="56"/>
        <v>0</v>
      </c>
      <c r="J100" s="139"/>
      <c r="K100" s="208">
        <f t="shared" si="107"/>
        <v>0</v>
      </c>
      <c r="L100" s="141"/>
      <c r="M100" s="209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09"/>
      <c r="AB100" s="210"/>
      <c r="AC100" s="210"/>
      <c r="AD100" s="210"/>
      <c r="AE100" s="210"/>
      <c r="AF100" s="210"/>
      <c r="AG100" s="210"/>
      <c r="AH100" s="210"/>
      <c r="AI100" s="210"/>
      <c r="AJ100" s="210"/>
      <c r="AK100" s="210"/>
      <c r="AL100" s="210"/>
      <c r="AM100" s="211"/>
      <c r="AN100" s="212">
        <f t="shared" si="58"/>
        <v>0</v>
      </c>
      <c r="AO100" s="146"/>
      <c r="AP100" s="147">
        <f t="shared" si="59"/>
        <v>0</v>
      </c>
      <c r="AQ100" s="148"/>
      <c r="AR100" s="213"/>
      <c r="AS100" s="213"/>
      <c r="AT100" s="135"/>
      <c r="AU100" s="214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4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7"/>
      <c r="CD100" s="214"/>
      <c r="CE100" s="209"/>
      <c r="CF100" s="210"/>
      <c r="CG100" s="210"/>
      <c r="CH100" s="210"/>
      <c r="CI100" s="210"/>
      <c r="CJ100" s="210"/>
      <c r="CK100" s="210"/>
      <c r="CL100" s="210"/>
      <c r="CM100" s="210"/>
      <c r="CN100" s="211"/>
      <c r="CO100" s="215"/>
      <c r="CP100" s="215"/>
      <c r="CQ100" s="216"/>
      <c r="CR100" s="217"/>
      <c r="CS100" s="218">
        <f t="shared" si="60"/>
        <v>0</v>
      </c>
      <c r="CT100" s="146"/>
      <c r="CU100" s="147">
        <f t="shared" si="61"/>
        <v>0</v>
      </c>
      <c r="CV100" s="156"/>
      <c r="CW100" s="157" t="e">
        <f t="shared" si="62"/>
        <v>#DIV/0!</v>
      </c>
      <c r="CX100" s="157" t="e">
        <f t="shared" si="63"/>
        <v>#DIV/0!</v>
      </c>
      <c r="CY100" s="157" t="e">
        <f t="shared" si="64"/>
        <v>#DIV/0!</v>
      </c>
      <c r="CZ100" s="157" t="e">
        <f t="shared" si="65"/>
        <v>#DIV/0!</v>
      </c>
      <c r="DA100" s="157" t="e">
        <f t="shared" si="66"/>
        <v>#DIV/0!</v>
      </c>
      <c r="DB100" s="158" t="e">
        <f t="shared" si="67"/>
        <v>#DIV/0!</v>
      </c>
      <c r="DC100" s="131"/>
      <c r="DD100" s="159">
        <f t="shared" si="68"/>
        <v>0</v>
      </c>
      <c r="DE100" s="160">
        <f t="shared" si="69"/>
        <v>0</v>
      </c>
      <c r="DF100" s="161">
        <f t="shared" si="70"/>
        <v>0</v>
      </c>
      <c r="DG100" s="162" t="e">
        <f t="shared" si="71"/>
        <v>#DIV/0!</v>
      </c>
      <c r="DH100" s="163">
        <f t="shared" si="72"/>
        <v>0</v>
      </c>
      <c r="DI100" s="164"/>
      <c r="DJ100" s="165">
        <f t="shared" si="55"/>
        <v>0</v>
      </c>
      <c r="DK100" s="166">
        <f t="shared" si="55"/>
        <v>0</v>
      </c>
      <c r="DL100" s="167" t="e">
        <f t="shared" si="73"/>
        <v>#DIV/0!</v>
      </c>
      <c r="DM100" s="168" t="e">
        <f t="shared" si="74"/>
        <v>#DIV/0!</v>
      </c>
      <c r="DN100" s="163" t="e">
        <f t="shared" si="75"/>
        <v>#DIV/0!</v>
      </c>
      <c r="DP100" s="170"/>
      <c r="DQ100" s="171"/>
      <c r="DR100" s="172">
        <f t="shared" si="76"/>
        <v>0</v>
      </c>
      <c r="DS100" s="173" t="e">
        <f t="shared" si="77"/>
        <v>#DIV/0!</v>
      </c>
      <c r="DT100" s="163" t="e">
        <f t="shared" si="78"/>
        <v>#DIV/0!</v>
      </c>
      <c r="DU100" s="174"/>
      <c r="DV100" s="175" t="e">
        <f t="shared" si="79"/>
        <v>#DIV/0!</v>
      </c>
      <c r="DW100" s="163">
        <f t="shared" si="80"/>
        <v>0</v>
      </c>
      <c r="DX100" s="164"/>
      <c r="DY100" s="176">
        <f t="shared" si="81"/>
        <v>0</v>
      </c>
      <c r="DZ100" s="177">
        <f t="shared" si="82"/>
        <v>0</v>
      </c>
      <c r="EA100" s="178">
        <f t="shared" si="83"/>
        <v>0</v>
      </c>
      <c r="EB100" s="179">
        <f t="shared" si="84"/>
        <v>0</v>
      </c>
      <c r="EC100" s="180"/>
      <c r="ED100" s="175" t="e">
        <f t="shared" si="85"/>
        <v>#DIV/0!</v>
      </c>
      <c r="EE100" s="163">
        <f t="shared" si="86"/>
        <v>0</v>
      </c>
      <c r="EF100" s="164"/>
      <c r="EG100" s="181">
        <f t="shared" si="87"/>
        <v>0</v>
      </c>
      <c r="EH100" s="182">
        <f t="shared" si="88"/>
        <v>0</v>
      </c>
      <c r="EI100" s="182">
        <f t="shared" si="89"/>
        <v>0</v>
      </c>
      <c r="EJ100" s="182">
        <f t="shared" si="90"/>
        <v>0</v>
      </c>
      <c r="EK100" s="183">
        <f t="shared" si="91"/>
        <v>0</v>
      </c>
      <c r="EL100" s="184" t="e">
        <f t="shared" si="92"/>
        <v>#DIV/0!</v>
      </c>
      <c r="EM100" s="185">
        <f t="shared" si="93"/>
        <v>0</v>
      </c>
      <c r="EN100" s="164"/>
      <c r="EO100" s="181">
        <f t="shared" si="94"/>
        <v>0</v>
      </c>
      <c r="EP100" s="183">
        <f t="shared" si="95"/>
        <v>0</v>
      </c>
      <c r="EQ100" s="184" t="e">
        <f t="shared" si="96"/>
        <v>#DIV/0!</v>
      </c>
      <c r="ER100" s="185">
        <f t="shared" si="97"/>
        <v>0</v>
      </c>
      <c r="ES100" s="164"/>
      <c r="ET100" s="164"/>
      <c r="EU100" s="186">
        <f t="shared" si="98"/>
        <v>0</v>
      </c>
      <c r="EV100" s="186">
        <f t="shared" si="99"/>
        <v>0</v>
      </c>
      <c r="EW100" s="186">
        <f t="shared" si="100"/>
        <v>0</v>
      </c>
      <c r="EX100" s="186">
        <f t="shared" si="101"/>
        <v>0</v>
      </c>
      <c r="EY100" s="131"/>
      <c r="EZ100" s="187">
        <f t="shared" si="102"/>
        <v>0</v>
      </c>
      <c r="FA100" s="188" t="e">
        <f t="shared" si="103"/>
        <v>#DIV/0!</v>
      </c>
      <c r="FB100" s="189"/>
      <c r="FC100" s="131"/>
      <c r="FD100" s="131"/>
      <c r="FE100" s="131"/>
      <c r="FF100" s="131"/>
      <c r="FG100" s="131"/>
    </row>
    <row r="101" spans="1:164" s="169" customFormat="1" ht="16" hidden="1" outlineLevel="1" thickBot="1" x14ac:dyDescent="0.4">
      <c r="B101" s="356">
        <v>44864</v>
      </c>
      <c r="C101" s="353"/>
      <c r="D101" s="133"/>
      <c r="E101" s="134"/>
      <c r="F101" s="135"/>
      <c r="G101" s="136"/>
      <c r="H101" s="137"/>
      <c r="I101" s="138">
        <f t="shared" si="56"/>
        <v>0</v>
      </c>
      <c r="J101" s="139"/>
      <c r="K101" s="140">
        <f>E101*60</f>
        <v>0</v>
      </c>
      <c r="L101" s="141"/>
      <c r="M101" s="142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2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4"/>
      <c r="AN101" s="145">
        <f t="shared" si="58"/>
        <v>0</v>
      </c>
      <c r="AO101" s="146"/>
      <c r="AP101" s="147">
        <f t="shared" si="59"/>
        <v>0</v>
      </c>
      <c r="AQ101" s="148"/>
      <c r="AR101" s="149"/>
      <c r="AS101" s="149"/>
      <c r="AT101" s="135"/>
      <c r="AU101" s="150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0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4"/>
      <c r="CD101" s="150"/>
      <c r="CE101" s="142"/>
      <c r="CF101" s="143"/>
      <c r="CG101" s="143"/>
      <c r="CH101" s="143"/>
      <c r="CI101" s="143"/>
      <c r="CJ101" s="143"/>
      <c r="CK101" s="143"/>
      <c r="CL101" s="143"/>
      <c r="CM101" s="143"/>
      <c r="CN101" s="144"/>
      <c r="CO101" s="151"/>
      <c r="CP101" s="151"/>
      <c r="CQ101" s="152"/>
      <c r="CR101" s="154"/>
      <c r="CS101" s="155">
        <f t="shared" ref="CS101:CS106" si="113">SUM(AU101:CR101)</f>
        <v>0</v>
      </c>
      <c r="CT101" s="146"/>
      <c r="CU101" s="147">
        <f t="shared" si="61"/>
        <v>0</v>
      </c>
      <c r="CV101" s="156"/>
      <c r="CW101" s="157" t="e">
        <f t="shared" si="62"/>
        <v>#DIV/0!</v>
      </c>
      <c r="CX101" s="157" t="e">
        <f t="shared" si="63"/>
        <v>#DIV/0!</v>
      </c>
      <c r="CY101" s="157" t="e">
        <f t="shared" ref="CY101:CY106" si="114">(SUM(AU101:BQ101))/$K101</f>
        <v>#DIV/0!</v>
      </c>
      <c r="CZ101" s="157" t="e">
        <f t="shared" si="65"/>
        <v>#DIV/0!</v>
      </c>
      <c r="DA101" s="157" t="e">
        <f t="shared" si="66"/>
        <v>#DIV/0!</v>
      </c>
      <c r="DB101" s="158" t="e">
        <f t="shared" si="67"/>
        <v>#DIV/0!</v>
      </c>
      <c r="DC101" s="131"/>
      <c r="DD101" s="159">
        <f t="shared" si="68"/>
        <v>0</v>
      </c>
      <c r="DE101" s="160">
        <f t="shared" si="69"/>
        <v>0</v>
      </c>
      <c r="DF101" s="161">
        <f t="shared" si="70"/>
        <v>0</v>
      </c>
      <c r="DG101" s="162" t="e">
        <f t="shared" si="71"/>
        <v>#DIV/0!</v>
      </c>
      <c r="DH101" s="163">
        <f t="shared" si="72"/>
        <v>0</v>
      </c>
      <c r="DI101" s="164"/>
      <c r="DJ101" s="165">
        <f t="shared" si="55"/>
        <v>0</v>
      </c>
      <c r="DK101" s="166">
        <f t="shared" si="55"/>
        <v>0</v>
      </c>
      <c r="DL101" s="167" t="e">
        <f t="shared" si="73"/>
        <v>#DIV/0!</v>
      </c>
      <c r="DM101" s="168" t="e">
        <f t="shared" si="74"/>
        <v>#DIV/0!</v>
      </c>
      <c r="DN101" s="163" t="e">
        <f t="shared" si="75"/>
        <v>#DIV/0!</v>
      </c>
      <c r="DP101" s="170"/>
      <c r="DQ101" s="171"/>
      <c r="DR101" s="172">
        <f t="shared" si="76"/>
        <v>0</v>
      </c>
      <c r="DS101" s="173" t="e">
        <f t="shared" si="77"/>
        <v>#DIV/0!</v>
      </c>
      <c r="DT101" s="163" t="e">
        <f t="shared" si="78"/>
        <v>#DIV/0!</v>
      </c>
      <c r="DU101" s="174"/>
      <c r="DV101" s="175" t="e">
        <f t="shared" si="79"/>
        <v>#DIV/0!</v>
      </c>
      <c r="DW101" s="163">
        <f t="shared" si="80"/>
        <v>0</v>
      </c>
      <c r="DX101" s="164"/>
      <c r="DY101" s="176">
        <f t="shared" si="81"/>
        <v>0</v>
      </c>
      <c r="DZ101" s="177">
        <f t="shared" si="82"/>
        <v>0</v>
      </c>
      <c r="EA101" s="178">
        <f t="shared" si="83"/>
        <v>0</v>
      </c>
      <c r="EB101" s="179">
        <f t="shared" si="84"/>
        <v>0</v>
      </c>
      <c r="EC101" s="180"/>
      <c r="ED101" s="175" t="e">
        <f t="shared" si="85"/>
        <v>#DIV/0!</v>
      </c>
      <c r="EE101" s="163">
        <f t="shared" si="86"/>
        <v>0</v>
      </c>
      <c r="EF101" s="164"/>
      <c r="EG101" s="181">
        <f t="shared" si="87"/>
        <v>0</v>
      </c>
      <c r="EH101" s="182">
        <f t="shared" si="88"/>
        <v>0</v>
      </c>
      <c r="EI101" s="182">
        <f t="shared" si="89"/>
        <v>0</v>
      </c>
      <c r="EJ101" s="182">
        <f t="shared" si="90"/>
        <v>0</v>
      </c>
      <c r="EK101" s="183">
        <f t="shared" si="91"/>
        <v>0</v>
      </c>
      <c r="EL101" s="184" t="e">
        <f t="shared" si="92"/>
        <v>#DIV/0!</v>
      </c>
      <c r="EM101" s="185">
        <f t="shared" si="93"/>
        <v>0</v>
      </c>
      <c r="EN101" s="164"/>
      <c r="EO101" s="181">
        <f t="shared" si="94"/>
        <v>0</v>
      </c>
      <c r="EP101" s="183">
        <f t="shared" si="95"/>
        <v>0</v>
      </c>
      <c r="EQ101" s="184" t="e">
        <f t="shared" si="96"/>
        <v>#DIV/0!</v>
      </c>
      <c r="ER101" s="185">
        <f t="shared" si="97"/>
        <v>0</v>
      </c>
      <c r="ES101" s="164"/>
      <c r="ET101" s="164"/>
      <c r="EU101" s="186">
        <f t="shared" si="98"/>
        <v>0</v>
      </c>
      <c r="EV101" s="186">
        <f t="shared" si="99"/>
        <v>0</v>
      </c>
      <c r="EW101" s="186">
        <f t="shared" si="100"/>
        <v>0</v>
      </c>
      <c r="EX101" s="186">
        <f t="shared" si="101"/>
        <v>0</v>
      </c>
      <c r="EY101" s="131"/>
      <c r="EZ101" s="187">
        <f t="shared" si="102"/>
        <v>0</v>
      </c>
      <c r="FA101" s="188" t="e">
        <f t="shared" si="103"/>
        <v>#DIV/0!</v>
      </c>
      <c r="FB101" s="189"/>
      <c r="FC101" s="131"/>
      <c r="FD101" s="131"/>
      <c r="FE101" s="131"/>
      <c r="FF101" s="131"/>
      <c r="FG101" s="131"/>
    </row>
    <row r="102" spans="1:164" s="169" customFormat="1" ht="16" hidden="1" outlineLevel="1" thickBot="1" x14ac:dyDescent="0.4">
      <c r="B102" s="357"/>
      <c r="C102" s="354"/>
      <c r="D102" s="240"/>
      <c r="E102" s="241"/>
      <c r="F102" s="135"/>
      <c r="G102" s="192"/>
      <c r="H102" s="242"/>
      <c r="I102" s="138">
        <f t="shared" si="56"/>
        <v>0</v>
      </c>
      <c r="J102" s="139"/>
      <c r="K102" s="193">
        <f t="shared" si="107"/>
        <v>0</v>
      </c>
      <c r="L102" s="141"/>
      <c r="M102" s="194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4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6"/>
      <c r="AN102" s="197">
        <f t="shared" si="58"/>
        <v>0</v>
      </c>
      <c r="AO102" s="146"/>
      <c r="AP102" s="147">
        <f t="shared" si="59"/>
        <v>0</v>
      </c>
      <c r="AQ102" s="148"/>
      <c r="AR102" s="198"/>
      <c r="AS102" s="198"/>
      <c r="AT102" s="135"/>
      <c r="AU102" s="199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199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2"/>
      <c r="CD102" s="199"/>
      <c r="CE102" s="194"/>
      <c r="CF102" s="195"/>
      <c r="CG102" s="195"/>
      <c r="CH102" s="195"/>
      <c r="CI102" s="195"/>
      <c r="CJ102" s="195"/>
      <c r="CK102" s="195"/>
      <c r="CL102" s="195"/>
      <c r="CM102" s="195"/>
      <c r="CN102" s="196"/>
      <c r="CO102" s="200"/>
      <c r="CP102" s="200"/>
      <c r="CQ102" s="201"/>
      <c r="CR102" s="202"/>
      <c r="CS102" s="203">
        <f t="shared" si="113"/>
        <v>0</v>
      </c>
      <c r="CT102" s="146"/>
      <c r="CU102" s="147">
        <f t="shared" si="61"/>
        <v>0</v>
      </c>
      <c r="CV102" s="156"/>
      <c r="CW102" s="157" t="e">
        <f t="shared" si="62"/>
        <v>#DIV/0!</v>
      </c>
      <c r="CX102" s="157" t="e">
        <f t="shared" si="63"/>
        <v>#DIV/0!</v>
      </c>
      <c r="CY102" s="157" t="e">
        <f t="shared" si="114"/>
        <v>#DIV/0!</v>
      </c>
      <c r="CZ102" s="157" t="e">
        <f t="shared" si="65"/>
        <v>#DIV/0!</v>
      </c>
      <c r="DA102" s="157" t="e">
        <f t="shared" si="66"/>
        <v>#DIV/0!</v>
      </c>
      <c r="DB102" s="158" t="e">
        <f t="shared" si="67"/>
        <v>#DIV/0!</v>
      </c>
      <c r="DC102" s="131"/>
      <c r="DD102" s="159">
        <f t="shared" si="68"/>
        <v>0</v>
      </c>
      <c r="DE102" s="160">
        <f t="shared" si="69"/>
        <v>0</v>
      </c>
      <c r="DF102" s="161">
        <f t="shared" si="70"/>
        <v>0</v>
      </c>
      <c r="DG102" s="162" t="e">
        <f t="shared" si="71"/>
        <v>#DIV/0!</v>
      </c>
      <c r="DH102" s="163">
        <f t="shared" si="72"/>
        <v>0</v>
      </c>
      <c r="DI102" s="164"/>
      <c r="DJ102" s="165">
        <f t="shared" si="55"/>
        <v>0</v>
      </c>
      <c r="DK102" s="166">
        <f t="shared" si="55"/>
        <v>0</v>
      </c>
      <c r="DL102" s="167" t="e">
        <f t="shared" si="73"/>
        <v>#DIV/0!</v>
      </c>
      <c r="DM102" s="168" t="e">
        <f t="shared" si="74"/>
        <v>#DIV/0!</v>
      </c>
      <c r="DN102" s="163" t="e">
        <f t="shared" si="75"/>
        <v>#DIV/0!</v>
      </c>
      <c r="DP102" s="170"/>
      <c r="DQ102" s="171"/>
      <c r="DR102" s="172">
        <f t="shared" si="76"/>
        <v>0</v>
      </c>
      <c r="DS102" s="173" t="e">
        <f t="shared" si="77"/>
        <v>#DIV/0!</v>
      </c>
      <c r="DT102" s="163" t="e">
        <f t="shared" si="78"/>
        <v>#DIV/0!</v>
      </c>
      <c r="DU102" s="174"/>
      <c r="DV102" s="175" t="e">
        <f t="shared" si="79"/>
        <v>#DIV/0!</v>
      </c>
      <c r="DW102" s="163">
        <f t="shared" si="80"/>
        <v>0</v>
      </c>
      <c r="DX102" s="164"/>
      <c r="DY102" s="176">
        <f t="shared" si="81"/>
        <v>0</v>
      </c>
      <c r="DZ102" s="177">
        <f t="shared" si="82"/>
        <v>0</v>
      </c>
      <c r="EA102" s="178">
        <f t="shared" si="83"/>
        <v>0</v>
      </c>
      <c r="EB102" s="179">
        <f t="shared" si="84"/>
        <v>0</v>
      </c>
      <c r="EC102" s="180"/>
      <c r="ED102" s="175" t="e">
        <f t="shared" si="85"/>
        <v>#DIV/0!</v>
      </c>
      <c r="EE102" s="163">
        <f t="shared" si="86"/>
        <v>0</v>
      </c>
      <c r="EF102" s="164"/>
      <c r="EG102" s="181">
        <f t="shared" si="87"/>
        <v>0</v>
      </c>
      <c r="EH102" s="182">
        <f t="shared" si="88"/>
        <v>0</v>
      </c>
      <c r="EI102" s="182">
        <f t="shared" si="89"/>
        <v>0</v>
      </c>
      <c r="EJ102" s="182">
        <f t="shared" si="90"/>
        <v>0</v>
      </c>
      <c r="EK102" s="183">
        <f t="shared" si="91"/>
        <v>0</v>
      </c>
      <c r="EL102" s="184" t="e">
        <f t="shared" si="92"/>
        <v>#DIV/0!</v>
      </c>
      <c r="EM102" s="185">
        <f t="shared" si="93"/>
        <v>0</v>
      </c>
      <c r="EN102" s="164"/>
      <c r="EO102" s="181">
        <f t="shared" si="94"/>
        <v>0</v>
      </c>
      <c r="EP102" s="183">
        <f t="shared" si="95"/>
        <v>0</v>
      </c>
      <c r="EQ102" s="184" t="e">
        <f t="shared" si="96"/>
        <v>#DIV/0!</v>
      </c>
      <c r="ER102" s="185">
        <f t="shared" si="97"/>
        <v>0</v>
      </c>
      <c r="ES102" s="164"/>
      <c r="ET102" s="164"/>
      <c r="EU102" s="186">
        <f t="shared" si="98"/>
        <v>0</v>
      </c>
      <c r="EV102" s="186">
        <f t="shared" si="99"/>
        <v>0</v>
      </c>
      <c r="EW102" s="186">
        <f t="shared" si="100"/>
        <v>0</v>
      </c>
      <c r="EX102" s="186">
        <f t="shared" si="101"/>
        <v>0</v>
      </c>
      <c r="EY102" s="131"/>
      <c r="EZ102" s="187">
        <f t="shared" si="102"/>
        <v>0</v>
      </c>
      <c r="FA102" s="188" t="e">
        <f t="shared" si="103"/>
        <v>#DIV/0!</v>
      </c>
      <c r="FB102" s="189"/>
      <c r="FC102" s="131"/>
      <c r="FD102" s="131"/>
      <c r="FE102" s="131"/>
      <c r="FF102" s="131"/>
      <c r="FG102" s="131"/>
    </row>
    <row r="103" spans="1:164" s="169" customFormat="1" ht="16" hidden="1" outlineLevel="1" thickBot="1" x14ac:dyDescent="0.4">
      <c r="B103" s="358"/>
      <c r="C103" s="355"/>
      <c r="D103" s="243"/>
      <c r="E103" s="244"/>
      <c r="F103" s="135"/>
      <c r="G103" s="192"/>
      <c r="H103" s="245"/>
      <c r="I103" s="138">
        <f t="shared" si="56"/>
        <v>0</v>
      </c>
      <c r="J103" s="139"/>
      <c r="K103" s="208">
        <f t="shared" si="107"/>
        <v>0</v>
      </c>
      <c r="L103" s="141"/>
      <c r="M103" s="209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09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1"/>
      <c r="AN103" s="212">
        <f t="shared" si="58"/>
        <v>0</v>
      </c>
      <c r="AO103" s="146"/>
      <c r="AP103" s="147">
        <f t="shared" si="59"/>
        <v>0</v>
      </c>
      <c r="AQ103" s="148"/>
      <c r="AR103" s="213"/>
      <c r="AS103" s="213"/>
      <c r="AT103" s="135"/>
      <c r="AU103" s="214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215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4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7"/>
      <c r="CD103" s="214"/>
      <c r="CE103" s="209"/>
      <c r="CF103" s="210"/>
      <c r="CG103" s="210"/>
      <c r="CH103" s="210"/>
      <c r="CI103" s="210"/>
      <c r="CJ103" s="210"/>
      <c r="CK103" s="210"/>
      <c r="CL103" s="210"/>
      <c r="CM103" s="210"/>
      <c r="CN103" s="211"/>
      <c r="CO103" s="215"/>
      <c r="CP103" s="215"/>
      <c r="CQ103" s="216"/>
      <c r="CR103" s="217"/>
      <c r="CS103" s="218">
        <f t="shared" si="113"/>
        <v>0</v>
      </c>
      <c r="CT103" s="146"/>
      <c r="CU103" s="147">
        <f t="shared" si="61"/>
        <v>0</v>
      </c>
      <c r="CV103" s="156"/>
      <c r="CW103" s="157" t="e">
        <f t="shared" si="62"/>
        <v>#DIV/0!</v>
      </c>
      <c r="CX103" s="157" t="e">
        <f t="shared" si="63"/>
        <v>#DIV/0!</v>
      </c>
      <c r="CY103" s="157" t="e">
        <f t="shared" si="114"/>
        <v>#DIV/0!</v>
      </c>
      <c r="CZ103" s="157" t="e">
        <f t="shared" si="65"/>
        <v>#DIV/0!</v>
      </c>
      <c r="DA103" s="157" t="e">
        <f t="shared" si="66"/>
        <v>#DIV/0!</v>
      </c>
      <c r="DB103" s="158" t="e">
        <f t="shared" si="67"/>
        <v>#DIV/0!</v>
      </c>
      <c r="DC103" s="131"/>
      <c r="DD103" s="159">
        <f t="shared" si="68"/>
        <v>0</v>
      </c>
      <c r="DE103" s="160">
        <f t="shared" si="69"/>
        <v>0</v>
      </c>
      <c r="DF103" s="161">
        <f t="shared" si="70"/>
        <v>0</v>
      </c>
      <c r="DG103" s="162" t="e">
        <f t="shared" si="71"/>
        <v>#DIV/0!</v>
      </c>
      <c r="DH103" s="163">
        <f t="shared" si="72"/>
        <v>0</v>
      </c>
      <c r="DI103" s="164"/>
      <c r="DJ103" s="165">
        <f t="shared" si="55"/>
        <v>0</v>
      </c>
      <c r="DK103" s="166">
        <f t="shared" si="55"/>
        <v>0</v>
      </c>
      <c r="DL103" s="167" t="e">
        <f t="shared" si="73"/>
        <v>#DIV/0!</v>
      </c>
      <c r="DM103" s="168" t="e">
        <f t="shared" si="74"/>
        <v>#DIV/0!</v>
      </c>
      <c r="DN103" s="163" t="e">
        <f t="shared" si="75"/>
        <v>#DIV/0!</v>
      </c>
      <c r="DP103" s="170"/>
      <c r="DQ103" s="171"/>
      <c r="DR103" s="172">
        <f t="shared" si="76"/>
        <v>0</v>
      </c>
      <c r="DS103" s="173" t="e">
        <f t="shared" si="77"/>
        <v>#DIV/0!</v>
      </c>
      <c r="DT103" s="163" t="e">
        <f t="shared" si="78"/>
        <v>#DIV/0!</v>
      </c>
      <c r="DU103" s="174"/>
      <c r="DV103" s="175" t="e">
        <f t="shared" si="79"/>
        <v>#DIV/0!</v>
      </c>
      <c r="DW103" s="163">
        <f t="shared" si="80"/>
        <v>0</v>
      </c>
      <c r="DX103" s="164"/>
      <c r="DY103" s="176">
        <f t="shared" si="81"/>
        <v>0</v>
      </c>
      <c r="DZ103" s="177">
        <f t="shared" si="82"/>
        <v>0</v>
      </c>
      <c r="EA103" s="178">
        <f t="shared" si="83"/>
        <v>0</v>
      </c>
      <c r="EB103" s="179">
        <f t="shared" si="84"/>
        <v>0</v>
      </c>
      <c r="EC103" s="180"/>
      <c r="ED103" s="175" t="e">
        <f t="shared" si="85"/>
        <v>#DIV/0!</v>
      </c>
      <c r="EE103" s="163">
        <f t="shared" si="86"/>
        <v>0</v>
      </c>
      <c r="EF103" s="164"/>
      <c r="EG103" s="181">
        <f t="shared" si="87"/>
        <v>0</v>
      </c>
      <c r="EH103" s="182">
        <f t="shared" si="88"/>
        <v>0</v>
      </c>
      <c r="EI103" s="182">
        <f t="shared" si="89"/>
        <v>0</v>
      </c>
      <c r="EJ103" s="182">
        <f t="shared" si="90"/>
        <v>0</v>
      </c>
      <c r="EK103" s="183">
        <f t="shared" si="91"/>
        <v>0</v>
      </c>
      <c r="EL103" s="184" t="e">
        <f t="shared" si="92"/>
        <v>#DIV/0!</v>
      </c>
      <c r="EM103" s="185">
        <f t="shared" si="93"/>
        <v>0</v>
      </c>
      <c r="EN103" s="164"/>
      <c r="EO103" s="181">
        <f t="shared" si="94"/>
        <v>0</v>
      </c>
      <c r="EP103" s="183">
        <f t="shared" si="95"/>
        <v>0</v>
      </c>
      <c r="EQ103" s="184" t="e">
        <f t="shared" si="96"/>
        <v>#DIV/0!</v>
      </c>
      <c r="ER103" s="185">
        <f t="shared" si="97"/>
        <v>0</v>
      </c>
      <c r="ES103" s="164"/>
      <c r="ET103" s="164"/>
      <c r="EU103" s="186">
        <f t="shared" si="98"/>
        <v>0</v>
      </c>
      <c r="EV103" s="186">
        <f t="shared" si="99"/>
        <v>0</v>
      </c>
      <c r="EW103" s="186">
        <f t="shared" si="100"/>
        <v>0</v>
      </c>
      <c r="EX103" s="186">
        <f t="shared" si="101"/>
        <v>0</v>
      </c>
      <c r="EY103" s="131"/>
      <c r="EZ103" s="187">
        <f t="shared" si="102"/>
        <v>0</v>
      </c>
      <c r="FA103" s="188" t="e">
        <f t="shared" si="103"/>
        <v>#DIV/0!</v>
      </c>
      <c r="FB103" s="189"/>
      <c r="FC103" s="131"/>
      <c r="FD103" s="131"/>
      <c r="FE103" s="131"/>
      <c r="FF103" s="131"/>
      <c r="FG103" s="131"/>
    </row>
    <row r="104" spans="1:164" s="169" customFormat="1" ht="16" hidden="1" outlineLevel="1" thickBot="1" x14ac:dyDescent="0.4">
      <c r="B104" s="356">
        <v>44865</v>
      </c>
      <c r="C104" s="353"/>
      <c r="D104" s="133"/>
      <c r="E104" s="134"/>
      <c r="F104" s="135"/>
      <c r="G104" s="136"/>
      <c r="H104" s="137"/>
      <c r="I104" s="138">
        <f t="shared" si="56"/>
        <v>0</v>
      </c>
      <c r="J104" s="139"/>
      <c r="K104" s="140">
        <f>E104*60</f>
        <v>0</v>
      </c>
      <c r="L104" s="141"/>
      <c r="M104" s="142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2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4"/>
      <c r="AN104" s="145">
        <f t="shared" si="58"/>
        <v>0</v>
      </c>
      <c r="AO104" s="146"/>
      <c r="AP104" s="147">
        <f t="shared" si="59"/>
        <v>0</v>
      </c>
      <c r="AQ104" s="148"/>
      <c r="AR104" s="149"/>
      <c r="AS104" s="149"/>
      <c r="AT104" s="135"/>
      <c r="AU104" s="150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0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4"/>
      <c r="CD104" s="150"/>
      <c r="CE104" s="142"/>
      <c r="CF104" s="143"/>
      <c r="CG104" s="143"/>
      <c r="CH104" s="143"/>
      <c r="CI104" s="143"/>
      <c r="CJ104" s="143"/>
      <c r="CK104" s="143"/>
      <c r="CL104" s="143"/>
      <c r="CM104" s="143"/>
      <c r="CN104" s="144"/>
      <c r="CO104" s="151"/>
      <c r="CP104" s="151"/>
      <c r="CQ104" s="152"/>
      <c r="CR104" s="154"/>
      <c r="CS104" s="155">
        <f t="shared" si="113"/>
        <v>0</v>
      </c>
      <c r="CT104" s="146"/>
      <c r="CU104" s="147">
        <f t="shared" si="61"/>
        <v>0</v>
      </c>
      <c r="CV104" s="156"/>
      <c r="CW104" s="157" t="e">
        <f t="shared" si="62"/>
        <v>#DIV/0!</v>
      </c>
      <c r="CX104" s="157" t="e">
        <f t="shared" si="63"/>
        <v>#DIV/0!</v>
      </c>
      <c r="CY104" s="157" t="e">
        <f t="shared" si="114"/>
        <v>#DIV/0!</v>
      </c>
      <c r="CZ104" s="157" t="e">
        <f t="shared" si="65"/>
        <v>#DIV/0!</v>
      </c>
      <c r="DA104" s="157" t="e">
        <f t="shared" si="66"/>
        <v>#DIV/0!</v>
      </c>
      <c r="DB104" s="158" t="e">
        <f t="shared" si="67"/>
        <v>#DIV/0!</v>
      </c>
      <c r="DC104" s="131"/>
      <c r="DD104" s="159">
        <f t="shared" si="68"/>
        <v>0</v>
      </c>
      <c r="DE104" s="160">
        <f t="shared" si="69"/>
        <v>0</v>
      </c>
      <c r="DF104" s="161">
        <f t="shared" si="70"/>
        <v>0</v>
      </c>
      <c r="DG104" s="162" t="e">
        <f t="shared" si="71"/>
        <v>#DIV/0!</v>
      </c>
      <c r="DH104" s="163">
        <f t="shared" si="72"/>
        <v>0</v>
      </c>
      <c r="DI104" s="164"/>
      <c r="DJ104" s="165">
        <f t="shared" ref="DJ104:DK106" si="115">H104</f>
        <v>0</v>
      </c>
      <c r="DK104" s="166">
        <f t="shared" si="115"/>
        <v>0</v>
      </c>
      <c r="DL104" s="167" t="e">
        <f t="shared" si="73"/>
        <v>#DIV/0!</v>
      </c>
      <c r="DM104" s="168" t="e">
        <f t="shared" si="74"/>
        <v>#DIV/0!</v>
      </c>
      <c r="DN104" s="163" t="e">
        <f t="shared" si="75"/>
        <v>#DIV/0!</v>
      </c>
      <c r="DP104" s="170"/>
      <c r="DQ104" s="171"/>
      <c r="DR104" s="172">
        <f t="shared" si="76"/>
        <v>0</v>
      </c>
      <c r="DS104" s="173" t="e">
        <f t="shared" si="77"/>
        <v>#DIV/0!</v>
      </c>
      <c r="DT104" s="163" t="e">
        <f t="shared" si="78"/>
        <v>#DIV/0!</v>
      </c>
      <c r="DU104" s="174"/>
      <c r="DV104" s="175" t="e">
        <f t="shared" si="79"/>
        <v>#DIV/0!</v>
      </c>
      <c r="DW104" s="163">
        <f t="shared" si="80"/>
        <v>0</v>
      </c>
      <c r="DX104" s="164"/>
      <c r="DY104" s="176">
        <f t="shared" si="81"/>
        <v>0</v>
      </c>
      <c r="DZ104" s="177">
        <f t="shared" si="82"/>
        <v>0</v>
      </c>
      <c r="EA104" s="178">
        <f t="shared" si="83"/>
        <v>0</v>
      </c>
      <c r="EB104" s="179">
        <f t="shared" si="84"/>
        <v>0</v>
      </c>
      <c r="EC104" s="180"/>
      <c r="ED104" s="175" t="e">
        <f t="shared" si="85"/>
        <v>#DIV/0!</v>
      </c>
      <c r="EE104" s="163">
        <f t="shared" si="86"/>
        <v>0</v>
      </c>
      <c r="EF104" s="164"/>
      <c r="EG104" s="181">
        <f t="shared" si="87"/>
        <v>0</v>
      </c>
      <c r="EH104" s="182">
        <f t="shared" si="88"/>
        <v>0</v>
      </c>
      <c r="EI104" s="182">
        <f t="shared" si="89"/>
        <v>0</v>
      </c>
      <c r="EJ104" s="182">
        <f t="shared" si="90"/>
        <v>0</v>
      </c>
      <c r="EK104" s="183">
        <f t="shared" si="91"/>
        <v>0</v>
      </c>
      <c r="EL104" s="184" t="e">
        <f t="shared" si="92"/>
        <v>#DIV/0!</v>
      </c>
      <c r="EM104" s="185">
        <f t="shared" si="93"/>
        <v>0</v>
      </c>
      <c r="EN104" s="164"/>
      <c r="EO104" s="181">
        <f t="shared" si="94"/>
        <v>0</v>
      </c>
      <c r="EP104" s="183">
        <f t="shared" si="95"/>
        <v>0</v>
      </c>
      <c r="EQ104" s="184" t="e">
        <f t="shared" si="96"/>
        <v>#DIV/0!</v>
      </c>
      <c r="ER104" s="185">
        <f t="shared" si="97"/>
        <v>0</v>
      </c>
      <c r="ES104" s="164"/>
      <c r="ET104" s="164"/>
      <c r="EU104" s="186">
        <f t="shared" si="98"/>
        <v>0</v>
      </c>
      <c r="EV104" s="186">
        <f t="shared" si="99"/>
        <v>0</v>
      </c>
      <c r="EW104" s="186">
        <f t="shared" si="100"/>
        <v>0</v>
      </c>
      <c r="EX104" s="186">
        <f t="shared" si="101"/>
        <v>0</v>
      </c>
      <c r="EY104" s="131"/>
      <c r="EZ104" s="187">
        <f t="shared" si="102"/>
        <v>0</v>
      </c>
      <c r="FA104" s="188" t="e">
        <f t="shared" si="103"/>
        <v>#DIV/0!</v>
      </c>
      <c r="FB104" s="189"/>
      <c r="FC104" s="131"/>
      <c r="FD104" s="131"/>
      <c r="FE104" s="131"/>
      <c r="FF104" s="131"/>
      <c r="FG104" s="131"/>
    </row>
    <row r="105" spans="1:164" s="169" customFormat="1" ht="16" hidden="1" outlineLevel="1" thickBot="1" x14ac:dyDescent="0.4">
      <c r="B105" s="357"/>
      <c r="C105" s="354"/>
      <c r="D105" s="240"/>
      <c r="E105" s="241"/>
      <c r="F105" s="135"/>
      <c r="G105" s="192"/>
      <c r="H105" s="242"/>
      <c r="I105" s="138">
        <f t="shared" si="56"/>
        <v>0</v>
      </c>
      <c r="J105" s="139"/>
      <c r="K105" s="193">
        <f t="shared" ref="K105:K106" si="116">E105*60</f>
        <v>0</v>
      </c>
      <c r="L105" s="141"/>
      <c r="M105" s="194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4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6"/>
      <c r="AN105" s="197">
        <f t="shared" si="58"/>
        <v>0</v>
      </c>
      <c r="AO105" s="146"/>
      <c r="AP105" s="147">
        <f t="shared" si="59"/>
        <v>0</v>
      </c>
      <c r="AQ105" s="148"/>
      <c r="AR105" s="198"/>
      <c r="AS105" s="198"/>
      <c r="AT105" s="135"/>
      <c r="AU105" s="199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1"/>
      <c r="BG105" s="201"/>
      <c r="BH105" s="201"/>
      <c r="BI105" s="201"/>
      <c r="BJ105" s="201"/>
      <c r="BK105" s="201"/>
      <c r="BL105" s="201"/>
      <c r="BM105" s="201"/>
      <c r="BN105" s="201"/>
      <c r="BO105" s="201"/>
      <c r="BP105" s="201"/>
      <c r="BQ105" s="201"/>
      <c r="BR105" s="199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2"/>
      <c r="CD105" s="199"/>
      <c r="CE105" s="194"/>
      <c r="CF105" s="195"/>
      <c r="CG105" s="195"/>
      <c r="CH105" s="195"/>
      <c r="CI105" s="195"/>
      <c r="CJ105" s="195"/>
      <c r="CK105" s="195"/>
      <c r="CL105" s="195"/>
      <c r="CM105" s="195"/>
      <c r="CN105" s="196"/>
      <c r="CO105" s="200"/>
      <c r="CP105" s="200"/>
      <c r="CQ105" s="201"/>
      <c r="CR105" s="202"/>
      <c r="CS105" s="203">
        <f t="shared" si="113"/>
        <v>0</v>
      </c>
      <c r="CT105" s="146"/>
      <c r="CU105" s="147">
        <f t="shared" si="61"/>
        <v>0</v>
      </c>
      <c r="CV105" s="156"/>
      <c r="CW105" s="157" t="e">
        <f t="shared" si="62"/>
        <v>#DIV/0!</v>
      </c>
      <c r="CX105" s="157" t="e">
        <f t="shared" si="63"/>
        <v>#DIV/0!</v>
      </c>
      <c r="CY105" s="157" t="e">
        <f t="shared" si="114"/>
        <v>#DIV/0!</v>
      </c>
      <c r="CZ105" s="157" t="e">
        <f t="shared" si="65"/>
        <v>#DIV/0!</v>
      </c>
      <c r="DA105" s="157" t="e">
        <f t="shared" si="66"/>
        <v>#DIV/0!</v>
      </c>
      <c r="DB105" s="158" t="e">
        <f t="shared" si="67"/>
        <v>#DIV/0!</v>
      </c>
      <c r="DC105" s="131"/>
      <c r="DD105" s="159">
        <f t="shared" si="68"/>
        <v>0</v>
      </c>
      <c r="DE105" s="160">
        <f t="shared" si="69"/>
        <v>0</v>
      </c>
      <c r="DF105" s="161">
        <f t="shared" si="70"/>
        <v>0</v>
      </c>
      <c r="DG105" s="162" t="e">
        <f t="shared" si="71"/>
        <v>#DIV/0!</v>
      </c>
      <c r="DH105" s="163">
        <f t="shared" si="72"/>
        <v>0</v>
      </c>
      <c r="DI105" s="164"/>
      <c r="DJ105" s="165">
        <f t="shared" si="115"/>
        <v>0</v>
      </c>
      <c r="DK105" s="166">
        <f t="shared" si="115"/>
        <v>0</v>
      </c>
      <c r="DL105" s="167" t="e">
        <f t="shared" si="73"/>
        <v>#DIV/0!</v>
      </c>
      <c r="DM105" s="168" t="e">
        <f t="shared" si="74"/>
        <v>#DIV/0!</v>
      </c>
      <c r="DN105" s="163" t="e">
        <f t="shared" si="75"/>
        <v>#DIV/0!</v>
      </c>
      <c r="DP105" s="170"/>
      <c r="DQ105" s="171"/>
      <c r="DR105" s="172">
        <f t="shared" si="76"/>
        <v>0</v>
      </c>
      <c r="DS105" s="173" t="e">
        <f t="shared" si="77"/>
        <v>#DIV/0!</v>
      </c>
      <c r="DT105" s="163" t="e">
        <f t="shared" si="78"/>
        <v>#DIV/0!</v>
      </c>
      <c r="DU105" s="174"/>
      <c r="DV105" s="175" t="e">
        <f t="shared" si="79"/>
        <v>#DIV/0!</v>
      </c>
      <c r="DW105" s="163">
        <f t="shared" si="80"/>
        <v>0</v>
      </c>
      <c r="DX105" s="164"/>
      <c r="DY105" s="176">
        <f t="shared" si="81"/>
        <v>0</v>
      </c>
      <c r="DZ105" s="177">
        <f t="shared" si="82"/>
        <v>0</v>
      </c>
      <c r="EA105" s="178">
        <f t="shared" si="83"/>
        <v>0</v>
      </c>
      <c r="EB105" s="179">
        <f t="shared" si="84"/>
        <v>0</v>
      </c>
      <c r="EC105" s="180"/>
      <c r="ED105" s="175" t="e">
        <f t="shared" si="85"/>
        <v>#DIV/0!</v>
      </c>
      <c r="EE105" s="163">
        <f t="shared" si="86"/>
        <v>0</v>
      </c>
      <c r="EF105" s="164"/>
      <c r="EG105" s="181">
        <f t="shared" si="87"/>
        <v>0</v>
      </c>
      <c r="EH105" s="182">
        <f t="shared" si="88"/>
        <v>0</v>
      </c>
      <c r="EI105" s="182">
        <f t="shared" si="89"/>
        <v>0</v>
      </c>
      <c r="EJ105" s="182">
        <f t="shared" si="90"/>
        <v>0</v>
      </c>
      <c r="EK105" s="183">
        <f t="shared" si="91"/>
        <v>0</v>
      </c>
      <c r="EL105" s="184" t="e">
        <f t="shared" si="92"/>
        <v>#DIV/0!</v>
      </c>
      <c r="EM105" s="185">
        <f t="shared" si="93"/>
        <v>0</v>
      </c>
      <c r="EN105" s="164"/>
      <c r="EO105" s="181">
        <f t="shared" si="94"/>
        <v>0</v>
      </c>
      <c r="EP105" s="183">
        <f t="shared" si="95"/>
        <v>0</v>
      </c>
      <c r="EQ105" s="184" t="e">
        <f t="shared" si="96"/>
        <v>#DIV/0!</v>
      </c>
      <c r="ER105" s="185">
        <f t="shared" si="97"/>
        <v>0</v>
      </c>
      <c r="ES105" s="164"/>
      <c r="ET105" s="164"/>
      <c r="EU105" s="186">
        <f t="shared" si="98"/>
        <v>0</v>
      </c>
      <c r="EV105" s="186">
        <f t="shared" si="99"/>
        <v>0</v>
      </c>
      <c r="EW105" s="186">
        <f t="shared" si="100"/>
        <v>0</v>
      </c>
      <c r="EX105" s="186">
        <f t="shared" si="101"/>
        <v>0</v>
      </c>
      <c r="EY105" s="131"/>
      <c r="EZ105" s="187">
        <f t="shared" si="102"/>
        <v>0</v>
      </c>
      <c r="FA105" s="188" t="e">
        <f t="shared" si="103"/>
        <v>#DIV/0!</v>
      </c>
      <c r="FB105" s="189"/>
      <c r="FC105" s="131"/>
      <c r="FD105" s="131"/>
      <c r="FE105" s="131"/>
      <c r="FF105" s="131"/>
      <c r="FG105" s="131"/>
    </row>
    <row r="106" spans="1:164" s="169" customFormat="1" ht="16" hidden="1" outlineLevel="1" thickBot="1" x14ac:dyDescent="0.4">
      <c r="B106" s="358"/>
      <c r="C106" s="355"/>
      <c r="D106" s="243"/>
      <c r="E106" s="244"/>
      <c r="F106" s="135"/>
      <c r="G106" s="192"/>
      <c r="H106" s="245"/>
      <c r="I106" s="138">
        <f t="shared" si="56"/>
        <v>0</v>
      </c>
      <c r="J106" s="139"/>
      <c r="K106" s="208">
        <f t="shared" si="116"/>
        <v>0</v>
      </c>
      <c r="L106" s="141"/>
      <c r="M106" s="209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09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1"/>
      <c r="AN106" s="212">
        <f t="shared" si="58"/>
        <v>0</v>
      </c>
      <c r="AO106" s="146"/>
      <c r="AP106" s="147">
        <f t="shared" si="59"/>
        <v>0</v>
      </c>
      <c r="AQ106" s="148"/>
      <c r="AR106" s="213"/>
      <c r="AS106" s="213"/>
      <c r="AT106" s="135"/>
      <c r="AU106" s="214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6"/>
      <c r="BG106" s="216"/>
      <c r="BH106" s="216"/>
      <c r="BI106" s="216"/>
      <c r="BJ106" s="216"/>
      <c r="BK106" s="216"/>
      <c r="BL106" s="216"/>
      <c r="BM106" s="216"/>
      <c r="BN106" s="216"/>
      <c r="BO106" s="216"/>
      <c r="BP106" s="216"/>
      <c r="BQ106" s="216"/>
      <c r="BR106" s="214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7"/>
      <c r="CD106" s="214"/>
      <c r="CE106" s="209"/>
      <c r="CF106" s="210"/>
      <c r="CG106" s="210"/>
      <c r="CH106" s="210"/>
      <c r="CI106" s="210"/>
      <c r="CJ106" s="210"/>
      <c r="CK106" s="210"/>
      <c r="CL106" s="210"/>
      <c r="CM106" s="210"/>
      <c r="CN106" s="211"/>
      <c r="CO106" s="215"/>
      <c r="CP106" s="215"/>
      <c r="CQ106" s="216"/>
      <c r="CR106" s="217"/>
      <c r="CS106" s="218">
        <f t="shared" si="113"/>
        <v>0</v>
      </c>
      <c r="CT106" s="146"/>
      <c r="CU106" s="147">
        <f t="shared" si="61"/>
        <v>0</v>
      </c>
      <c r="CV106" s="156"/>
      <c r="CW106" s="157" t="e">
        <f t="shared" si="62"/>
        <v>#DIV/0!</v>
      </c>
      <c r="CX106" s="157" t="e">
        <f t="shared" si="63"/>
        <v>#DIV/0!</v>
      </c>
      <c r="CY106" s="157" t="e">
        <f t="shared" si="114"/>
        <v>#DIV/0!</v>
      </c>
      <c r="CZ106" s="157" t="e">
        <f t="shared" si="65"/>
        <v>#DIV/0!</v>
      </c>
      <c r="DA106" s="157" t="e">
        <f t="shared" si="66"/>
        <v>#DIV/0!</v>
      </c>
      <c r="DB106" s="158" t="e">
        <f t="shared" si="67"/>
        <v>#DIV/0!</v>
      </c>
      <c r="DC106" s="131"/>
      <c r="DD106" s="159">
        <f t="shared" si="68"/>
        <v>0</v>
      </c>
      <c r="DE106" s="160">
        <f t="shared" si="69"/>
        <v>0</v>
      </c>
      <c r="DF106" s="161">
        <f t="shared" si="70"/>
        <v>0</v>
      </c>
      <c r="DG106" s="162" t="e">
        <f t="shared" si="71"/>
        <v>#DIV/0!</v>
      </c>
      <c r="DH106" s="163">
        <f t="shared" si="72"/>
        <v>0</v>
      </c>
      <c r="DI106" s="164"/>
      <c r="DJ106" s="165">
        <f t="shared" si="115"/>
        <v>0</v>
      </c>
      <c r="DK106" s="166">
        <f t="shared" si="115"/>
        <v>0</v>
      </c>
      <c r="DL106" s="167" t="e">
        <f t="shared" si="73"/>
        <v>#DIV/0!</v>
      </c>
      <c r="DM106" s="168" t="e">
        <f t="shared" si="74"/>
        <v>#DIV/0!</v>
      </c>
      <c r="DN106" s="163" t="e">
        <f t="shared" si="75"/>
        <v>#DIV/0!</v>
      </c>
      <c r="DP106" s="170"/>
      <c r="DQ106" s="171"/>
      <c r="DR106" s="172">
        <f t="shared" si="76"/>
        <v>0</v>
      </c>
      <c r="DS106" s="173" t="e">
        <f t="shared" si="77"/>
        <v>#DIV/0!</v>
      </c>
      <c r="DT106" s="163" t="e">
        <f t="shared" si="78"/>
        <v>#DIV/0!</v>
      </c>
      <c r="DU106" s="174"/>
      <c r="DV106" s="175" t="e">
        <f t="shared" si="79"/>
        <v>#DIV/0!</v>
      </c>
      <c r="DW106" s="163">
        <f t="shared" si="80"/>
        <v>0</v>
      </c>
      <c r="DX106" s="164"/>
      <c r="DY106" s="176">
        <f t="shared" si="81"/>
        <v>0</v>
      </c>
      <c r="DZ106" s="177">
        <f t="shared" si="82"/>
        <v>0</v>
      </c>
      <c r="EA106" s="178">
        <f t="shared" si="83"/>
        <v>0</v>
      </c>
      <c r="EB106" s="179">
        <f t="shared" si="84"/>
        <v>0</v>
      </c>
      <c r="EC106" s="180"/>
      <c r="ED106" s="175" t="e">
        <f t="shared" si="85"/>
        <v>#DIV/0!</v>
      </c>
      <c r="EE106" s="163">
        <f t="shared" si="86"/>
        <v>0</v>
      </c>
      <c r="EF106" s="164"/>
      <c r="EG106" s="181">
        <f t="shared" si="87"/>
        <v>0</v>
      </c>
      <c r="EH106" s="182">
        <f t="shared" si="88"/>
        <v>0</v>
      </c>
      <c r="EI106" s="182">
        <f t="shared" si="89"/>
        <v>0</v>
      </c>
      <c r="EJ106" s="182">
        <f t="shared" si="90"/>
        <v>0</v>
      </c>
      <c r="EK106" s="183">
        <f t="shared" si="91"/>
        <v>0</v>
      </c>
      <c r="EL106" s="184" t="e">
        <f t="shared" si="92"/>
        <v>#DIV/0!</v>
      </c>
      <c r="EM106" s="185">
        <f t="shared" si="93"/>
        <v>0</v>
      </c>
      <c r="EN106" s="164"/>
      <c r="EO106" s="181">
        <f t="shared" si="94"/>
        <v>0</v>
      </c>
      <c r="EP106" s="183">
        <f t="shared" si="95"/>
        <v>0</v>
      </c>
      <c r="EQ106" s="184" t="e">
        <f t="shared" si="96"/>
        <v>#DIV/0!</v>
      </c>
      <c r="ER106" s="185">
        <f t="shared" si="97"/>
        <v>0</v>
      </c>
      <c r="ES106" s="164"/>
      <c r="ET106" s="164"/>
      <c r="EU106" s="186">
        <f t="shared" si="98"/>
        <v>0</v>
      </c>
      <c r="EV106" s="186">
        <f t="shared" si="99"/>
        <v>0</v>
      </c>
      <c r="EW106" s="186">
        <f t="shared" si="100"/>
        <v>0</v>
      </c>
      <c r="EX106" s="186">
        <f t="shared" si="101"/>
        <v>0</v>
      </c>
      <c r="EY106" s="131"/>
      <c r="EZ106" s="187">
        <f t="shared" si="102"/>
        <v>0</v>
      </c>
      <c r="FA106" s="188" t="e">
        <f t="shared" si="103"/>
        <v>#DIV/0!</v>
      </c>
      <c r="FB106" s="189"/>
      <c r="FC106" s="131"/>
      <c r="FD106" s="131"/>
      <c r="FE106" s="131"/>
      <c r="FF106" s="131"/>
      <c r="FG106" s="131"/>
    </row>
    <row r="107" spans="1:164" s="220" customFormat="1" ht="69" customHeight="1" thickBot="1" x14ac:dyDescent="0.35">
      <c r="B107" s="329"/>
      <c r="C107" s="132"/>
      <c r="D107" s="131"/>
      <c r="E107" s="246">
        <f>SUM(E5:E106)</f>
        <v>0</v>
      </c>
      <c r="F107" s="247"/>
      <c r="G107" s="248">
        <f>SUM(G5:G103)</f>
        <v>0</v>
      </c>
      <c r="H107" s="249"/>
      <c r="I107" s="250"/>
      <c r="J107" s="251"/>
      <c r="K107" s="252">
        <f>SUMIF(K5:K106,"&gt;0")</f>
        <v>0</v>
      </c>
      <c r="L107" s="253">
        <f>SUM(L5:L103)</f>
        <v>0</v>
      </c>
      <c r="M107" s="254">
        <f t="shared" ref="M107:AN107" si="117">SUM(M5:M106)</f>
        <v>0</v>
      </c>
      <c r="N107" s="254">
        <f t="shared" si="117"/>
        <v>0</v>
      </c>
      <c r="O107" s="254">
        <f t="shared" si="117"/>
        <v>0</v>
      </c>
      <c r="P107" s="254">
        <f t="shared" si="117"/>
        <v>0</v>
      </c>
      <c r="Q107" s="254">
        <f t="shared" si="117"/>
        <v>0</v>
      </c>
      <c r="R107" s="254">
        <f t="shared" si="117"/>
        <v>480</v>
      </c>
      <c r="S107" s="254">
        <f t="shared" si="117"/>
        <v>0</v>
      </c>
      <c r="T107" s="254">
        <f t="shared" si="117"/>
        <v>0</v>
      </c>
      <c r="U107" s="254">
        <f t="shared" si="117"/>
        <v>0</v>
      </c>
      <c r="V107" s="254">
        <f t="shared" si="117"/>
        <v>0</v>
      </c>
      <c r="W107" s="254">
        <f t="shared" si="117"/>
        <v>0</v>
      </c>
      <c r="X107" s="254">
        <f t="shared" si="117"/>
        <v>0</v>
      </c>
      <c r="Y107" s="254">
        <f t="shared" si="117"/>
        <v>0</v>
      </c>
      <c r="Z107" s="254">
        <f t="shared" si="117"/>
        <v>0</v>
      </c>
      <c r="AA107" s="254">
        <f t="shared" si="117"/>
        <v>0</v>
      </c>
      <c r="AB107" s="254">
        <f t="shared" si="117"/>
        <v>0</v>
      </c>
      <c r="AC107" s="254">
        <f t="shared" si="117"/>
        <v>0</v>
      </c>
      <c r="AD107" s="254">
        <f t="shared" si="117"/>
        <v>0</v>
      </c>
      <c r="AE107" s="254">
        <f t="shared" si="117"/>
        <v>0</v>
      </c>
      <c r="AF107" s="254">
        <f t="shared" si="117"/>
        <v>0</v>
      </c>
      <c r="AG107" s="254">
        <f t="shared" si="117"/>
        <v>0</v>
      </c>
      <c r="AH107" s="254">
        <f t="shared" si="117"/>
        <v>0</v>
      </c>
      <c r="AI107" s="254">
        <f t="shared" si="117"/>
        <v>0</v>
      </c>
      <c r="AJ107" s="254">
        <f t="shared" si="117"/>
        <v>0</v>
      </c>
      <c r="AK107" s="254">
        <f t="shared" si="117"/>
        <v>0</v>
      </c>
      <c r="AL107" s="254">
        <f t="shared" si="117"/>
        <v>0</v>
      </c>
      <c r="AM107" s="255">
        <f t="shared" si="117"/>
        <v>0</v>
      </c>
      <c r="AN107" s="252">
        <f t="shared" si="117"/>
        <v>480</v>
      </c>
      <c r="AO107" s="256"/>
      <c r="AP107" s="333">
        <f>K107-(SUM(M107:AM107))</f>
        <v>-480</v>
      </c>
      <c r="AQ107" s="257"/>
      <c r="AR107" s="258">
        <f>SUMIF(AR5:AR106,"&gt;0")</f>
        <v>0</v>
      </c>
      <c r="AS107" s="259"/>
      <c r="AT107" s="257"/>
      <c r="AU107" s="260">
        <f t="shared" ref="AU107:BZ107" si="118">SUM(AU5:AU106)</f>
        <v>0</v>
      </c>
      <c r="AV107" s="260">
        <f t="shared" si="118"/>
        <v>0</v>
      </c>
      <c r="AW107" s="260">
        <f t="shared" si="118"/>
        <v>0</v>
      </c>
      <c r="AX107" s="260">
        <f t="shared" si="118"/>
        <v>0</v>
      </c>
      <c r="AY107" s="260">
        <f t="shared" si="118"/>
        <v>0</v>
      </c>
      <c r="AZ107" s="260">
        <f t="shared" si="118"/>
        <v>0</v>
      </c>
      <c r="BA107" s="260">
        <f t="shared" si="118"/>
        <v>0</v>
      </c>
      <c r="BB107" s="260">
        <f t="shared" si="118"/>
        <v>0</v>
      </c>
      <c r="BC107" s="260">
        <f t="shared" si="118"/>
        <v>0</v>
      </c>
      <c r="BD107" s="260">
        <f t="shared" si="118"/>
        <v>0</v>
      </c>
      <c r="BE107" s="260">
        <f t="shared" si="118"/>
        <v>0</v>
      </c>
      <c r="BF107" s="260">
        <f t="shared" si="118"/>
        <v>0</v>
      </c>
      <c r="BG107" s="260">
        <f t="shared" si="118"/>
        <v>0</v>
      </c>
      <c r="BH107" s="260">
        <f t="shared" si="118"/>
        <v>0</v>
      </c>
      <c r="BI107" s="260">
        <f t="shared" si="118"/>
        <v>0</v>
      </c>
      <c r="BJ107" s="260">
        <f t="shared" si="118"/>
        <v>0</v>
      </c>
      <c r="BK107" s="260">
        <f t="shared" si="118"/>
        <v>0</v>
      </c>
      <c r="BL107" s="260">
        <f t="shared" si="118"/>
        <v>0</v>
      </c>
      <c r="BM107" s="260">
        <f t="shared" si="118"/>
        <v>0</v>
      </c>
      <c r="BN107" s="260">
        <f t="shared" si="118"/>
        <v>0</v>
      </c>
      <c r="BO107" s="260">
        <f t="shared" si="118"/>
        <v>0</v>
      </c>
      <c r="BP107" s="260">
        <f t="shared" si="118"/>
        <v>0</v>
      </c>
      <c r="BQ107" s="260">
        <f t="shared" si="118"/>
        <v>0</v>
      </c>
      <c r="BR107" s="260">
        <f t="shared" si="118"/>
        <v>0</v>
      </c>
      <c r="BS107" s="260">
        <f t="shared" si="118"/>
        <v>0</v>
      </c>
      <c r="BT107" s="260">
        <f t="shared" si="118"/>
        <v>0</v>
      </c>
      <c r="BU107" s="260">
        <f t="shared" si="118"/>
        <v>0</v>
      </c>
      <c r="BV107" s="260">
        <f t="shared" si="118"/>
        <v>0</v>
      </c>
      <c r="BW107" s="260">
        <f t="shared" si="118"/>
        <v>0</v>
      </c>
      <c r="BX107" s="260">
        <f t="shared" si="118"/>
        <v>0</v>
      </c>
      <c r="BY107" s="260">
        <f t="shared" si="118"/>
        <v>0</v>
      </c>
      <c r="BZ107" s="260">
        <f t="shared" si="118"/>
        <v>0</v>
      </c>
      <c r="CA107" s="260">
        <f t="shared" ref="CA107:CR107" si="119">SUM(CA5:CA106)</f>
        <v>0</v>
      </c>
      <c r="CB107" s="260">
        <f t="shared" si="119"/>
        <v>0</v>
      </c>
      <c r="CC107" s="260">
        <f t="shared" si="119"/>
        <v>0</v>
      </c>
      <c r="CD107" s="260">
        <f t="shared" si="119"/>
        <v>0</v>
      </c>
      <c r="CE107" s="254">
        <f t="shared" si="119"/>
        <v>0</v>
      </c>
      <c r="CF107" s="254">
        <f t="shared" si="119"/>
        <v>0</v>
      </c>
      <c r="CG107" s="254">
        <f t="shared" si="119"/>
        <v>0</v>
      </c>
      <c r="CH107" s="254">
        <f t="shared" si="119"/>
        <v>0</v>
      </c>
      <c r="CI107" s="254">
        <f t="shared" si="119"/>
        <v>0</v>
      </c>
      <c r="CJ107" s="254">
        <f t="shared" si="119"/>
        <v>0</v>
      </c>
      <c r="CK107" s="254">
        <f t="shared" si="119"/>
        <v>0</v>
      </c>
      <c r="CL107" s="254">
        <f t="shared" si="119"/>
        <v>0</v>
      </c>
      <c r="CM107" s="254">
        <f t="shared" si="119"/>
        <v>0</v>
      </c>
      <c r="CN107" s="255">
        <f t="shared" si="119"/>
        <v>0</v>
      </c>
      <c r="CO107" s="260">
        <f t="shared" si="119"/>
        <v>0</v>
      </c>
      <c r="CP107" s="260">
        <f t="shared" si="119"/>
        <v>0</v>
      </c>
      <c r="CQ107" s="260">
        <f t="shared" si="119"/>
        <v>0</v>
      </c>
      <c r="CR107" s="260">
        <f t="shared" si="119"/>
        <v>0</v>
      </c>
      <c r="CS107" s="261">
        <f>SUMIF(CS5:CS106,"&gt;0")</f>
        <v>0</v>
      </c>
      <c r="CT107" s="262"/>
      <c r="CU107" s="263">
        <f>SUMIF(CU5:CU106,"&gt;0")</f>
        <v>0</v>
      </c>
      <c r="CV107" s="264"/>
      <c r="CW107" s="265" t="e">
        <f>(SUM(M107:Z107))/K107</f>
        <v>#DIV/0!</v>
      </c>
      <c r="CX107" s="265" t="e">
        <f t="shared" si="63"/>
        <v>#DIV/0!</v>
      </c>
      <c r="CY107" s="265" t="e">
        <f t="shared" si="64"/>
        <v>#DIV/0!</v>
      </c>
      <c r="CZ107" s="265" t="e">
        <f t="shared" si="65"/>
        <v>#DIV/0!</v>
      </c>
      <c r="DA107" s="265" t="e">
        <f t="shared" si="66"/>
        <v>#DIV/0!</v>
      </c>
      <c r="DB107" s="266" t="e">
        <f t="shared" si="67"/>
        <v>#DIV/0!</v>
      </c>
      <c r="DC107" s="267"/>
      <c r="DD107" s="268">
        <f>SUMIF(DD5:DD106,"&gt;0")</f>
        <v>0</v>
      </c>
      <c r="DE107" s="268">
        <f>SUMIF(DE5:DE106,"&gt;0")</f>
        <v>0</v>
      </c>
      <c r="DF107" s="269">
        <f t="shared" si="70"/>
        <v>0</v>
      </c>
      <c r="DG107" s="270" t="e">
        <f>(SUMIF(DG5:DG106,"&gt;0"))/DH107</f>
        <v>#DIV/0!</v>
      </c>
      <c r="DH107" s="271">
        <f>COUNTIF(DH5:DH106,1)</f>
        <v>0</v>
      </c>
      <c r="DI107" s="272"/>
      <c r="DJ107" s="273"/>
      <c r="DK107" s="274">
        <f>SUMIF(DK5:DK106,"&gt;0")</f>
        <v>0</v>
      </c>
      <c r="DL107" s="268">
        <f>SUMIF(DL5:DL106,"&gt;0")</f>
        <v>0</v>
      </c>
      <c r="DM107" s="270" t="e">
        <f>(SUMIF(DM5:DM106,"&gt;0"))/DN107</f>
        <v>#DIV/0!</v>
      </c>
      <c r="DN107" s="331">
        <f>COUNTIF(DN5:DN106,1)</f>
        <v>0</v>
      </c>
      <c r="DO107" s="275"/>
      <c r="DP107" s="276">
        <f>SUMIF(DP5:DP106,"&gt;0")</f>
        <v>0</v>
      </c>
      <c r="DQ107" s="277">
        <f>SUMIF(DQ5:DQ106,"&gt;0")</f>
        <v>0</v>
      </c>
      <c r="DR107" s="278">
        <f t="shared" si="76"/>
        <v>0</v>
      </c>
      <c r="DS107" s="270" t="e">
        <f>(SUMIF(DS5:DS106,"&gt;0"))/DT107</f>
        <v>#DIV/0!</v>
      </c>
      <c r="DT107" s="331">
        <f>COUNTIF(DT5:DT106,1)</f>
        <v>0</v>
      </c>
      <c r="DU107" s="279"/>
      <c r="DV107" s="280" t="e">
        <f>(SUMIF(DV5:DV106,"&gt;0"))/DW107</f>
        <v>#DIV/0!</v>
      </c>
      <c r="DW107" s="331">
        <f>COUNTIF(DW5:DW106,1)</f>
        <v>0</v>
      </c>
      <c r="DX107" s="279"/>
      <c r="DY107" s="277">
        <f t="shared" si="81"/>
        <v>0</v>
      </c>
      <c r="DZ107" s="281">
        <v>2.0299999999999998</v>
      </c>
      <c r="EA107" s="282">
        <f>SUMIF(EA5:EA103,"&gt;0")</f>
        <v>0</v>
      </c>
      <c r="EB107" s="277">
        <f>SUMIF(EB5:EB106,"&gt;0")</f>
        <v>0</v>
      </c>
      <c r="EC107" s="283"/>
      <c r="ED107" s="280" t="e">
        <f>(SUMIF(ED5:ED106,"&gt;0"))/EE107</f>
        <v>#DIV/0!</v>
      </c>
      <c r="EE107" s="331">
        <f>COUNTIF(EE5:EE106,1)</f>
        <v>0</v>
      </c>
      <c r="EF107" s="272"/>
      <c r="EG107" s="284">
        <f>SUMIF(EG5:EG106,"&gt;0")</f>
        <v>0</v>
      </c>
      <c r="EH107" s="284">
        <f>SUMIF(EH5:EH106,"&gt;0")</f>
        <v>0</v>
      </c>
      <c r="EI107" s="284">
        <f>SUMIF(EI5:EI106,"&gt;0")</f>
        <v>480</v>
      </c>
      <c r="EJ107" s="285"/>
      <c r="EK107" s="284">
        <f>SUMIF(EK5:EK106,"&gt;0")</f>
        <v>0</v>
      </c>
      <c r="EL107" s="280" t="e">
        <f>(SUMIF(EL5:EL106,"&gt;0"))/EM107</f>
        <v>#DIV/0!</v>
      </c>
      <c r="EM107" s="271">
        <f>COUNTIF(EM5:EM106,1)</f>
        <v>0</v>
      </c>
      <c r="EN107" s="272"/>
      <c r="EO107" s="284">
        <f>SUMIF(EO5:EO106,"&gt;0")</f>
        <v>0</v>
      </c>
      <c r="EP107" s="284">
        <f>SUMIF(EP5:EP106,"&gt;0")</f>
        <v>0</v>
      </c>
      <c r="EQ107" s="280" t="e">
        <f>(SUMIF(EQ5:EQ106,"&gt;0"))/ER107</f>
        <v>#DIV/0!</v>
      </c>
      <c r="ER107" s="271">
        <f>COUNTIF(ER5:ER106,1)</f>
        <v>0</v>
      </c>
      <c r="ES107" s="272"/>
      <c r="ET107" s="272"/>
      <c r="EU107" s="286">
        <f t="shared" si="98"/>
        <v>0</v>
      </c>
      <c r="EV107" s="286">
        <f>SUMIF(EV5:EV106,"&gt;0")</f>
        <v>0</v>
      </c>
      <c r="EW107" s="286">
        <f>SUMIF(EW5:EW106,"&gt;0")</f>
        <v>0</v>
      </c>
      <c r="EX107" s="286">
        <f>SUMIF(EX5:EX106,"&gt;0")</f>
        <v>0</v>
      </c>
      <c r="EY107" s="287"/>
      <c r="EZ107" s="286">
        <f>SUMIF(EZ5:EZ106,"&gt;0")</f>
        <v>0</v>
      </c>
      <c r="FA107" s="288">
        <f>SUMIF(FA5:FA106,"&gt;0")</f>
        <v>0</v>
      </c>
      <c r="FB107" s="332"/>
      <c r="FC107" s="267"/>
      <c r="FD107" s="131"/>
      <c r="FE107" s="219"/>
      <c r="FF107" s="219"/>
      <c r="FG107" s="219"/>
    </row>
    <row r="108" spans="1:164" s="302" customFormat="1" ht="54" customHeight="1" thickBot="1" x14ac:dyDescent="0.3">
      <c r="A108" s="289"/>
      <c r="B108" s="329"/>
      <c r="C108" s="132"/>
      <c r="D108" s="131"/>
      <c r="E108" s="421" t="s">
        <v>73</v>
      </c>
      <c r="F108" s="422"/>
      <c r="G108" s="422"/>
      <c r="H108" s="422"/>
      <c r="I108" s="422"/>
      <c r="J108" s="422"/>
      <c r="K108" s="423"/>
      <c r="L108" s="290"/>
      <c r="M108" s="291">
        <f t="shared" ref="M108:AM108" si="120">M107/($AN107+$CS107)</f>
        <v>0</v>
      </c>
      <c r="N108" s="291">
        <f t="shared" si="120"/>
        <v>0</v>
      </c>
      <c r="O108" s="291">
        <f t="shared" si="120"/>
        <v>0</v>
      </c>
      <c r="P108" s="291">
        <f t="shared" si="120"/>
        <v>0</v>
      </c>
      <c r="Q108" s="291">
        <f t="shared" si="120"/>
        <v>0</v>
      </c>
      <c r="R108" s="291">
        <f t="shared" si="120"/>
        <v>1</v>
      </c>
      <c r="S108" s="291">
        <f t="shared" si="120"/>
        <v>0</v>
      </c>
      <c r="T108" s="291">
        <f t="shared" si="120"/>
        <v>0</v>
      </c>
      <c r="U108" s="291">
        <f t="shared" si="120"/>
        <v>0</v>
      </c>
      <c r="V108" s="291">
        <f t="shared" si="120"/>
        <v>0</v>
      </c>
      <c r="W108" s="291">
        <f t="shared" si="120"/>
        <v>0</v>
      </c>
      <c r="X108" s="291">
        <f t="shared" si="120"/>
        <v>0</v>
      </c>
      <c r="Y108" s="291">
        <f t="shared" si="120"/>
        <v>0</v>
      </c>
      <c r="Z108" s="291">
        <f t="shared" si="120"/>
        <v>0</v>
      </c>
      <c r="AA108" s="291">
        <f t="shared" si="120"/>
        <v>0</v>
      </c>
      <c r="AB108" s="291">
        <f t="shared" si="120"/>
        <v>0</v>
      </c>
      <c r="AC108" s="291">
        <f t="shared" si="120"/>
        <v>0</v>
      </c>
      <c r="AD108" s="291">
        <f t="shared" si="120"/>
        <v>0</v>
      </c>
      <c r="AE108" s="291">
        <f t="shared" si="120"/>
        <v>0</v>
      </c>
      <c r="AF108" s="291">
        <f t="shared" si="120"/>
        <v>0</v>
      </c>
      <c r="AG108" s="291">
        <f t="shared" si="120"/>
        <v>0</v>
      </c>
      <c r="AH108" s="291">
        <f t="shared" si="120"/>
        <v>0</v>
      </c>
      <c r="AI108" s="291">
        <f t="shared" si="120"/>
        <v>0</v>
      </c>
      <c r="AJ108" s="291">
        <f t="shared" si="120"/>
        <v>0</v>
      </c>
      <c r="AK108" s="291">
        <f t="shared" si="120"/>
        <v>0</v>
      </c>
      <c r="AL108" s="291">
        <f t="shared" si="120"/>
        <v>0</v>
      </c>
      <c r="AM108" s="291">
        <f t="shared" si="120"/>
        <v>0</v>
      </c>
      <c r="AN108" s="292"/>
      <c r="AO108" s="292"/>
      <c r="AP108" s="293"/>
      <c r="AQ108" s="293"/>
      <c r="AR108" s="292"/>
      <c r="AS108" s="292"/>
      <c r="AT108" s="293"/>
      <c r="AU108" s="291">
        <f t="shared" ref="AU108:CR108" si="121">AU107/($AN107+$CS107)</f>
        <v>0</v>
      </c>
      <c r="AV108" s="291">
        <f t="shared" si="121"/>
        <v>0</v>
      </c>
      <c r="AW108" s="291">
        <f t="shared" si="121"/>
        <v>0</v>
      </c>
      <c r="AX108" s="291">
        <f t="shared" si="121"/>
        <v>0</v>
      </c>
      <c r="AY108" s="291">
        <f t="shared" si="121"/>
        <v>0</v>
      </c>
      <c r="AZ108" s="291">
        <f t="shared" si="121"/>
        <v>0</v>
      </c>
      <c r="BA108" s="291">
        <f t="shared" si="121"/>
        <v>0</v>
      </c>
      <c r="BB108" s="291">
        <f t="shared" si="121"/>
        <v>0</v>
      </c>
      <c r="BC108" s="291">
        <f t="shared" si="121"/>
        <v>0</v>
      </c>
      <c r="BD108" s="291">
        <f t="shared" si="121"/>
        <v>0</v>
      </c>
      <c r="BE108" s="291">
        <f t="shared" si="121"/>
        <v>0</v>
      </c>
      <c r="BF108" s="291">
        <f t="shared" si="121"/>
        <v>0</v>
      </c>
      <c r="BG108" s="291">
        <f t="shared" si="121"/>
        <v>0</v>
      </c>
      <c r="BH108" s="291">
        <f t="shared" si="121"/>
        <v>0</v>
      </c>
      <c r="BI108" s="291">
        <f t="shared" si="121"/>
        <v>0</v>
      </c>
      <c r="BJ108" s="291">
        <f t="shared" si="121"/>
        <v>0</v>
      </c>
      <c r="BK108" s="291">
        <f t="shared" si="121"/>
        <v>0</v>
      </c>
      <c r="BL108" s="291">
        <f t="shared" si="121"/>
        <v>0</v>
      </c>
      <c r="BM108" s="291">
        <f t="shared" si="121"/>
        <v>0</v>
      </c>
      <c r="BN108" s="291">
        <f t="shared" si="121"/>
        <v>0</v>
      </c>
      <c r="BO108" s="291">
        <f t="shared" si="121"/>
        <v>0</v>
      </c>
      <c r="BP108" s="291">
        <f t="shared" si="121"/>
        <v>0</v>
      </c>
      <c r="BQ108" s="291">
        <f t="shared" si="121"/>
        <v>0</v>
      </c>
      <c r="BR108" s="291">
        <f t="shared" si="121"/>
        <v>0</v>
      </c>
      <c r="BS108" s="291">
        <f t="shared" si="121"/>
        <v>0</v>
      </c>
      <c r="BT108" s="291">
        <f t="shared" si="121"/>
        <v>0</v>
      </c>
      <c r="BU108" s="291">
        <f t="shared" si="121"/>
        <v>0</v>
      </c>
      <c r="BV108" s="291">
        <f t="shared" si="121"/>
        <v>0</v>
      </c>
      <c r="BW108" s="291">
        <f t="shared" si="121"/>
        <v>0</v>
      </c>
      <c r="BX108" s="291">
        <f t="shared" si="121"/>
        <v>0</v>
      </c>
      <c r="BY108" s="291">
        <f t="shared" si="121"/>
        <v>0</v>
      </c>
      <c r="BZ108" s="291">
        <f t="shared" si="121"/>
        <v>0</v>
      </c>
      <c r="CA108" s="291">
        <f t="shared" si="121"/>
        <v>0</v>
      </c>
      <c r="CB108" s="291">
        <f t="shared" si="121"/>
        <v>0</v>
      </c>
      <c r="CC108" s="291">
        <f t="shared" si="121"/>
        <v>0</v>
      </c>
      <c r="CD108" s="291">
        <f t="shared" si="121"/>
        <v>0</v>
      </c>
      <c r="CE108" s="291">
        <f t="shared" si="121"/>
        <v>0</v>
      </c>
      <c r="CF108" s="291">
        <f t="shared" si="121"/>
        <v>0</v>
      </c>
      <c r="CG108" s="291">
        <f t="shared" si="121"/>
        <v>0</v>
      </c>
      <c r="CH108" s="291">
        <f t="shared" si="121"/>
        <v>0</v>
      </c>
      <c r="CI108" s="291">
        <f t="shared" si="121"/>
        <v>0</v>
      </c>
      <c r="CJ108" s="291">
        <f t="shared" si="121"/>
        <v>0</v>
      </c>
      <c r="CK108" s="291">
        <f t="shared" si="121"/>
        <v>0</v>
      </c>
      <c r="CL108" s="291">
        <f t="shared" si="121"/>
        <v>0</v>
      </c>
      <c r="CM108" s="291">
        <f t="shared" si="121"/>
        <v>0</v>
      </c>
      <c r="CN108" s="291">
        <f t="shared" si="121"/>
        <v>0</v>
      </c>
      <c r="CO108" s="291">
        <f t="shared" si="121"/>
        <v>0</v>
      </c>
      <c r="CP108" s="291">
        <f t="shared" si="121"/>
        <v>0</v>
      </c>
      <c r="CQ108" s="291">
        <f t="shared" si="121"/>
        <v>0</v>
      </c>
      <c r="CR108" s="291">
        <f t="shared" si="121"/>
        <v>0</v>
      </c>
      <c r="CS108" s="292"/>
      <c r="CT108" s="292"/>
      <c r="CU108" s="292"/>
      <c r="CV108" s="292"/>
      <c r="CW108" s="294"/>
      <c r="CX108" s="295"/>
      <c r="CY108" s="296"/>
      <c r="CZ108" s="296"/>
      <c r="DA108" s="296"/>
      <c r="DB108" s="272"/>
      <c r="DC108" s="292"/>
      <c r="DD108" s="272"/>
      <c r="DE108" s="272"/>
      <c r="DF108" s="272"/>
      <c r="DG108" s="297"/>
      <c r="DH108" s="298"/>
      <c r="DI108" s="272"/>
      <c r="DJ108" s="272"/>
      <c r="DK108" s="272"/>
      <c r="DL108" s="272"/>
      <c r="DM108" s="297"/>
      <c r="DN108" s="298"/>
      <c r="DO108" s="272"/>
      <c r="DP108" s="272"/>
      <c r="DQ108" s="272"/>
      <c r="DR108" s="272"/>
      <c r="DS108" s="297"/>
      <c r="DT108" s="298"/>
      <c r="DU108" s="272"/>
      <c r="DV108" s="272"/>
      <c r="DW108" s="298"/>
      <c r="DX108" s="272"/>
      <c r="DY108" s="272"/>
      <c r="DZ108" s="272"/>
      <c r="EA108" s="272"/>
      <c r="EB108" s="272"/>
      <c r="EC108" s="272"/>
      <c r="ED108" s="272"/>
      <c r="EE108" s="298"/>
      <c r="EF108" s="272"/>
      <c r="EG108" s="272"/>
      <c r="EH108" s="272"/>
      <c r="EI108" s="272"/>
      <c r="EJ108" s="272"/>
      <c r="EK108" s="272"/>
      <c r="EL108" s="272"/>
      <c r="EM108" s="298"/>
      <c r="EN108" s="272"/>
      <c r="EO108" s="272"/>
      <c r="EP108" s="272"/>
      <c r="EQ108" s="272"/>
      <c r="ER108" s="298"/>
      <c r="ES108" s="272"/>
      <c r="ET108" s="272"/>
      <c r="EU108" s="272"/>
      <c r="EV108" s="272"/>
      <c r="EW108" s="272"/>
      <c r="EX108" s="272"/>
      <c r="EY108" s="272"/>
      <c r="EZ108" s="272"/>
      <c r="FA108" s="299"/>
      <c r="FB108" s="300"/>
      <c r="FC108" s="272"/>
      <c r="FD108" s="272"/>
      <c r="FE108" s="301"/>
      <c r="FF108" s="301"/>
      <c r="FG108" s="301"/>
      <c r="FH108" s="289"/>
    </row>
    <row r="109" spans="1:164" s="302" customFormat="1" ht="54" customHeight="1" thickBot="1" x14ac:dyDescent="0.3">
      <c r="A109" s="289"/>
      <c r="B109" s="329"/>
      <c r="C109" s="132"/>
      <c r="D109" s="131"/>
      <c r="E109" s="424" t="s">
        <v>74</v>
      </c>
      <c r="F109" s="425"/>
      <c r="G109" s="425"/>
      <c r="H109" s="425"/>
      <c r="I109" s="425"/>
      <c r="J109" s="425"/>
      <c r="K109" s="426"/>
      <c r="L109" s="303"/>
      <c r="M109" s="304" t="e">
        <f t="shared" ref="M109:AM109" si="122">M107/$K107</f>
        <v>#DIV/0!</v>
      </c>
      <c r="N109" s="304" t="e">
        <f t="shared" si="122"/>
        <v>#DIV/0!</v>
      </c>
      <c r="O109" s="304" t="e">
        <f t="shared" si="122"/>
        <v>#DIV/0!</v>
      </c>
      <c r="P109" s="304" t="e">
        <f t="shared" si="122"/>
        <v>#DIV/0!</v>
      </c>
      <c r="Q109" s="304" t="e">
        <f t="shared" si="122"/>
        <v>#DIV/0!</v>
      </c>
      <c r="R109" s="304" t="e">
        <f t="shared" si="122"/>
        <v>#DIV/0!</v>
      </c>
      <c r="S109" s="304" t="e">
        <f t="shared" si="122"/>
        <v>#DIV/0!</v>
      </c>
      <c r="T109" s="304" t="e">
        <f t="shared" si="122"/>
        <v>#DIV/0!</v>
      </c>
      <c r="U109" s="304" t="e">
        <f t="shared" si="122"/>
        <v>#DIV/0!</v>
      </c>
      <c r="V109" s="304" t="e">
        <f t="shared" si="122"/>
        <v>#DIV/0!</v>
      </c>
      <c r="W109" s="304" t="e">
        <f t="shared" si="122"/>
        <v>#DIV/0!</v>
      </c>
      <c r="X109" s="304" t="e">
        <f t="shared" si="122"/>
        <v>#DIV/0!</v>
      </c>
      <c r="Y109" s="304" t="e">
        <f t="shared" si="122"/>
        <v>#DIV/0!</v>
      </c>
      <c r="Z109" s="304" t="e">
        <f t="shared" si="122"/>
        <v>#DIV/0!</v>
      </c>
      <c r="AA109" s="304" t="e">
        <f t="shared" si="122"/>
        <v>#DIV/0!</v>
      </c>
      <c r="AB109" s="304" t="e">
        <f t="shared" si="122"/>
        <v>#DIV/0!</v>
      </c>
      <c r="AC109" s="304" t="e">
        <f t="shared" si="122"/>
        <v>#DIV/0!</v>
      </c>
      <c r="AD109" s="304" t="e">
        <f t="shared" si="122"/>
        <v>#DIV/0!</v>
      </c>
      <c r="AE109" s="304" t="e">
        <f t="shared" si="122"/>
        <v>#DIV/0!</v>
      </c>
      <c r="AF109" s="304" t="e">
        <f t="shared" si="122"/>
        <v>#DIV/0!</v>
      </c>
      <c r="AG109" s="304" t="e">
        <f t="shared" si="122"/>
        <v>#DIV/0!</v>
      </c>
      <c r="AH109" s="304" t="e">
        <f>AH107/$K107</f>
        <v>#DIV/0!</v>
      </c>
      <c r="AI109" s="304" t="e">
        <f>AI107/$K107</f>
        <v>#DIV/0!</v>
      </c>
      <c r="AJ109" s="304" t="e">
        <f>AJ107/$K107</f>
        <v>#DIV/0!</v>
      </c>
      <c r="AK109" s="304" t="e">
        <f t="shared" si="122"/>
        <v>#DIV/0!</v>
      </c>
      <c r="AL109" s="304" t="e">
        <f t="shared" si="122"/>
        <v>#DIV/0!</v>
      </c>
      <c r="AM109" s="304" t="e">
        <f t="shared" si="122"/>
        <v>#DIV/0!</v>
      </c>
      <c r="AN109" s="292"/>
      <c r="AO109" s="292"/>
      <c r="AP109" s="293"/>
      <c r="AQ109" s="293"/>
      <c r="AR109" s="292"/>
      <c r="AS109" s="292"/>
      <c r="AT109" s="293"/>
      <c r="AU109" s="305" t="e">
        <f t="shared" ref="AU109:CR109" si="123">AU107/$K107</f>
        <v>#DIV/0!</v>
      </c>
      <c r="AV109" s="305" t="e">
        <f t="shared" si="123"/>
        <v>#DIV/0!</v>
      </c>
      <c r="AW109" s="305" t="e">
        <f t="shared" si="123"/>
        <v>#DIV/0!</v>
      </c>
      <c r="AX109" s="305" t="e">
        <f t="shared" si="123"/>
        <v>#DIV/0!</v>
      </c>
      <c r="AY109" s="305" t="e">
        <f t="shared" si="123"/>
        <v>#DIV/0!</v>
      </c>
      <c r="AZ109" s="305" t="e">
        <f t="shared" si="123"/>
        <v>#DIV/0!</v>
      </c>
      <c r="BA109" s="305" t="e">
        <f t="shared" si="123"/>
        <v>#DIV/0!</v>
      </c>
      <c r="BB109" s="305" t="e">
        <f t="shared" si="123"/>
        <v>#DIV/0!</v>
      </c>
      <c r="BC109" s="305" t="e">
        <f t="shared" si="123"/>
        <v>#DIV/0!</v>
      </c>
      <c r="BD109" s="305" t="e">
        <f t="shared" si="123"/>
        <v>#DIV/0!</v>
      </c>
      <c r="BE109" s="305" t="e">
        <f t="shared" si="123"/>
        <v>#DIV/0!</v>
      </c>
      <c r="BF109" s="305" t="e">
        <f t="shared" si="123"/>
        <v>#DIV/0!</v>
      </c>
      <c r="BG109" s="305" t="e">
        <f t="shared" si="123"/>
        <v>#DIV/0!</v>
      </c>
      <c r="BH109" s="305" t="e">
        <f t="shared" si="123"/>
        <v>#DIV/0!</v>
      </c>
      <c r="BI109" s="305" t="e">
        <f t="shared" si="123"/>
        <v>#DIV/0!</v>
      </c>
      <c r="BJ109" s="305" t="e">
        <f t="shared" si="123"/>
        <v>#DIV/0!</v>
      </c>
      <c r="BK109" s="305" t="e">
        <f t="shared" si="123"/>
        <v>#DIV/0!</v>
      </c>
      <c r="BL109" s="305" t="e">
        <f t="shared" si="123"/>
        <v>#DIV/0!</v>
      </c>
      <c r="BM109" s="305" t="e">
        <f t="shared" si="123"/>
        <v>#DIV/0!</v>
      </c>
      <c r="BN109" s="305" t="e">
        <f t="shared" si="123"/>
        <v>#DIV/0!</v>
      </c>
      <c r="BO109" s="305" t="e">
        <f t="shared" si="123"/>
        <v>#DIV/0!</v>
      </c>
      <c r="BP109" s="305" t="e">
        <f t="shared" si="123"/>
        <v>#DIV/0!</v>
      </c>
      <c r="BQ109" s="305" t="e">
        <f t="shared" si="123"/>
        <v>#DIV/0!</v>
      </c>
      <c r="BR109" s="305" t="e">
        <f t="shared" si="123"/>
        <v>#DIV/0!</v>
      </c>
      <c r="BS109" s="305" t="e">
        <f t="shared" si="123"/>
        <v>#DIV/0!</v>
      </c>
      <c r="BT109" s="305" t="e">
        <f t="shared" si="123"/>
        <v>#DIV/0!</v>
      </c>
      <c r="BU109" s="305" t="e">
        <f t="shared" si="123"/>
        <v>#DIV/0!</v>
      </c>
      <c r="BV109" s="305" t="e">
        <f t="shared" si="123"/>
        <v>#DIV/0!</v>
      </c>
      <c r="BW109" s="305" t="e">
        <f t="shared" si="123"/>
        <v>#DIV/0!</v>
      </c>
      <c r="BX109" s="305" t="e">
        <f t="shared" si="123"/>
        <v>#DIV/0!</v>
      </c>
      <c r="BY109" s="305" t="e">
        <f t="shared" si="123"/>
        <v>#DIV/0!</v>
      </c>
      <c r="BZ109" s="305" t="e">
        <f t="shared" si="123"/>
        <v>#DIV/0!</v>
      </c>
      <c r="CA109" s="305" t="e">
        <f t="shared" si="123"/>
        <v>#DIV/0!</v>
      </c>
      <c r="CB109" s="305" t="e">
        <f t="shared" si="123"/>
        <v>#DIV/0!</v>
      </c>
      <c r="CC109" s="305" t="e">
        <f t="shared" si="123"/>
        <v>#DIV/0!</v>
      </c>
      <c r="CD109" s="305" t="e">
        <f t="shared" si="123"/>
        <v>#DIV/0!</v>
      </c>
      <c r="CE109" s="304" t="e">
        <f t="shared" si="123"/>
        <v>#DIV/0!</v>
      </c>
      <c r="CF109" s="304" t="e">
        <f t="shared" si="123"/>
        <v>#DIV/0!</v>
      </c>
      <c r="CG109" s="304" t="e">
        <f t="shared" si="123"/>
        <v>#DIV/0!</v>
      </c>
      <c r="CH109" s="304" t="e">
        <f t="shared" si="123"/>
        <v>#DIV/0!</v>
      </c>
      <c r="CI109" s="304" t="e">
        <f t="shared" si="123"/>
        <v>#DIV/0!</v>
      </c>
      <c r="CJ109" s="304" t="e">
        <f t="shared" si="123"/>
        <v>#DIV/0!</v>
      </c>
      <c r="CK109" s="304" t="e">
        <f t="shared" si="123"/>
        <v>#DIV/0!</v>
      </c>
      <c r="CL109" s="304" t="e">
        <f t="shared" si="123"/>
        <v>#DIV/0!</v>
      </c>
      <c r="CM109" s="304" t="e">
        <f t="shared" si="123"/>
        <v>#DIV/0!</v>
      </c>
      <c r="CN109" s="304" t="e">
        <f t="shared" si="123"/>
        <v>#DIV/0!</v>
      </c>
      <c r="CO109" s="305" t="e">
        <f t="shared" si="123"/>
        <v>#DIV/0!</v>
      </c>
      <c r="CP109" s="305" t="e">
        <f t="shared" si="123"/>
        <v>#DIV/0!</v>
      </c>
      <c r="CQ109" s="305" t="e">
        <f t="shared" si="123"/>
        <v>#DIV/0!</v>
      </c>
      <c r="CR109" s="305" t="e">
        <f t="shared" si="123"/>
        <v>#DIV/0!</v>
      </c>
      <c r="CS109" s="292"/>
      <c r="CT109" s="292"/>
      <c r="CU109" s="292"/>
      <c r="CV109" s="292"/>
      <c r="CW109" s="295"/>
      <c r="CX109" s="295"/>
      <c r="CY109" s="296"/>
      <c r="CZ109" s="296"/>
      <c r="DA109" s="296"/>
      <c r="DB109" s="272"/>
      <c r="DC109" s="292"/>
      <c r="DD109" s="272"/>
      <c r="DE109" s="272"/>
      <c r="DF109" s="272"/>
      <c r="DG109" s="297"/>
      <c r="DH109" s="298"/>
      <c r="DI109" s="272"/>
      <c r="DJ109" s="272"/>
      <c r="DK109" s="272"/>
      <c r="DL109" s="272"/>
      <c r="DM109" s="297"/>
      <c r="DN109" s="298"/>
      <c r="DO109" s="272"/>
      <c r="DP109" s="272"/>
      <c r="DQ109" s="272"/>
      <c r="DR109" s="272"/>
      <c r="DS109" s="297"/>
      <c r="DT109" s="298"/>
      <c r="DU109" s="272"/>
      <c r="DV109" s="272"/>
      <c r="DW109" s="298"/>
      <c r="DX109" s="272"/>
      <c r="DY109" s="272"/>
      <c r="DZ109" s="272"/>
      <c r="EA109" s="272"/>
      <c r="EB109" s="272"/>
      <c r="EC109" s="272"/>
      <c r="ED109" s="272"/>
      <c r="EE109" s="298"/>
      <c r="EF109" s="272"/>
      <c r="EG109" s="272"/>
      <c r="EH109" s="272"/>
      <c r="EI109" s="272"/>
      <c r="EJ109" s="272"/>
      <c r="EK109" s="272"/>
      <c r="EL109" s="272"/>
      <c r="EM109" s="298"/>
      <c r="EN109" s="272"/>
      <c r="EO109" s="272"/>
      <c r="EP109" s="272"/>
      <c r="EQ109" s="272"/>
      <c r="ER109" s="298"/>
      <c r="ES109" s="272"/>
      <c r="ET109" s="272"/>
      <c r="EU109" s="272"/>
      <c r="EV109" s="272"/>
      <c r="EW109" s="272"/>
      <c r="EX109" s="272"/>
      <c r="EY109" s="272"/>
      <c r="EZ109" s="272"/>
      <c r="FA109" s="299"/>
      <c r="FB109" s="300"/>
      <c r="FC109" s="272"/>
      <c r="FD109" s="272"/>
      <c r="FE109" s="301"/>
      <c r="FF109" s="301"/>
      <c r="FG109" s="301"/>
      <c r="FH109" s="289"/>
    </row>
    <row r="110" spans="1:164" s="15" customFormat="1" ht="54" customHeight="1" thickBot="1" x14ac:dyDescent="0.3">
      <c r="B110" s="329"/>
      <c r="C110" s="132"/>
      <c r="D110" s="131"/>
      <c r="E110" s="427" t="s">
        <v>75</v>
      </c>
      <c r="F110" s="428"/>
      <c r="G110" s="428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/>
      <c r="R110" s="428"/>
      <c r="S110" s="428"/>
      <c r="T110" s="428"/>
      <c r="U110" s="428"/>
      <c r="V110" s="428"/>
      <c r="W110" s="428"/>
      <c r="X110" s="428"/>
      <c r="Y110" s="428"/>
      <c r="Z110" s="428"/>
      <c r="AA110" s="428"/>
      <c r="AB110" s="428"/>
      <c r="AC110" s="428"/>
      <c r="AD110" s="428"/>
      <c r="AE110" s="428"/>
      <c r="AF110" s="428"/>
      <c r="AG110" s="428"/>
      <c r="AH110" s="428"/>
      <c r="AI110" s="428"/>
      <c r="AJ110" s="428"/>
      <c r="AK110" s="428"/>
      <c r="AL110" s="428"/>
      <c r="AM110" s="428"/>
      <c r="AN110" s="428"/>
      <c r="AO110" s="428"/>
      <c r="AP110" s="428"/>
      <c r="AQ110" s="428"/>
      <c r="AR110" s="428"/>
      <c r="AS110" s="428"/>
      <c r="AT110" s="429"/>
      <c r="AU110" s="306">
        <f>AU107/$AP107</f>
        <v>0</v>
      </c>
      <c r="AV110" s="306">
        <f t="shared" ref="AV110:CR110" si="124">AV107/$AP107</f>
        <v>0</v>
      </c>
      <c r="AW110" s="306">
        <f t="shared" si="124"/>
        <v>0</v>
      </c>
      <c r="AX110" s="306">
        <f t="shared" si="124"/>
        <v>0</v>
      </c>
      <c r="AY110" s="306">
        <f t="shared" si="124"/>
        <v>0</v>
      </c>
      <c r="AZ110" s="306">
        <f t="shared" si="124"/>
        <v>0</v>
      </c>
      <c r="BA110" s="306">
        <f t="shared" si="124"/>
        <v>0</v>
      </c>
      <c r="BB110" s="306">
        <f t="shared" si="124"/>
        <v>0</v>
      </c>
      <c r="BC110" s="306">
        <f t="shared" si="124"/>
        <v>0</v>
      </c>
      <c r="BD110" s="306">
        <f t="shared" si="124"/>
        <v>0</v>
      </c>
      <c r="BE110" s="306">
        <f t="shared" si="124"/>
        <v>0</v>
      </c>
      <c r="BF110" s="306">
        <f t="shared" si="124"/>
        <v>0</v>
      </c>
      <c r="BG110" s="306">
        <f t="shared" si="124"/>
        <v>0</v>
      </c>
      <c r="BH110" s="306">
        <f t="shared" si="124"/>
        <v>0</v>
      </c>
      <c r="BI110" s="306">
        <f t="shared" si="124"/>
        <v>0</v>
      </c>
      <c r="BJ110" s="306">
        <f t="shared" si="124"/>
        <v>0</v>
      </c>
      <c r="BK110" s="306">
        <f t="shared" si="124"/>
        <v>0</v>
      </c>
      <c r="BL110" s="306">
        <f t="shared" si="124"/>
        <v>0</v>
      </c>
      <c r="BM110" s="306">
        <f t="shared" si="124"/>
        <v>0</v>
      </c>
      <c r="BN110" s="306">
        <f t="shared" si="124"/>
        <v>0</v>
      </c>
      <c r="BO110" s="306">
        <f t="shared" si="124"/>
        <v>0</v>
      </c>
      <c r="BP110" s="306">
        <f t="shared" si="124"/>
        <v>0</v>
      </c>
      <c r="BQ110" s="306">
        <f t="shared" si="124"/>
        <v>0</v>
      </c>
      <c r="BR110" s="306">
        <f t="shared" si="124"/>
        <v>0</v>
      </c>
      <c r="BS110" s="306">
        <f t="shared" si="124"/>
        <v>0</v>
      </c>
      <c r="BT110" s="306">
        <f t="shared" si="124"/>
        <v>0</v>
      </c>
      <c r="BU110" s="306">
        <f t="shared" si="124"/>
        <v>0</v>
      </c>
      <c r="BV110" s="306">
        <f t="shared" si="124"/>
        <v>0</v>
      </c>
      <c r="BW110" s="306">
        <f t="shared" si="124"/>
        <v>0</v>
      </c>
      <c r="BX110" s="306">
        <f t="shared" si="124"/>
        <v>0</v>
      </c>
      <c r="BY110" s="306">
        <f t="shared" si="124"/>
        <v>0</v>
      </c>
      <c r="BZ110" s="306">
        <f t="shared" si="124"/>
        <v>0</v>
      </c>
      <c r="CA110" s="306">
        <f t="shared" si="124"/>
        <v>0</v>
      </c>
      <c r="CB110" s="306">
        <f t="shared" si="124"/>
        <v>0</v>
      </c>
      <c r="CC110" s="306">
        <f t="shared" si="124"/>
        <v>0</v>
      </c>
      <c r="CD110" s="306">
        <f t="shared" si="124"/>
        <v>0</v>
      </c>
      <c r="CE110" s="306">
        <f t="shared" si="124"/>
        <v>0</v>
      </c>
      <c r="CF110" s="306">
        <f t="shared" si="124"/>
        <v>0</v>
      </c>
      <c r="CG110" s="306">
        <f t="shared" si="124"/>
        <v>0</v>
      </c>
      <c r="CH110" s="306">
        <f t="shared" si="124"/>
        <v>0</v>
      </c>
      <c r="CI110" s="306">
        <f t="shared" si="124"/>
        <v>0</v>
      </c>
      <c r="CJ110" s="306">
        <f t="shared" si="124"/>
        <v>0</v>
      </c>
      <c r="CK110" s="306">
        <f t="shared" si="124"/>
        <v>0</v>
      </c>
      <c r="CL110" s="306">
        <f t="shared" si="124"/>
        <v>0</v>
      </c>
      <c r="CM110" s="306">
        <f t="shared" si="124"/>
        <v>0</v>
      </c>
      <c r="CN110" s="306">
        <f t="shared" si="124"/>
        <v>0</v>
      </c>
      <c r="CO110" s="306">
        <f t="shared" si="124"/>
        <v>0</v>
      </c>
      <c r="CP110" s="306">
        <f t="shared" si="124"/>
        <v>0</v>
      </c>
      <c r="CQ110" s="306">
        <f t="shared" si="124"/>
        <v>0</v>
      </c>
      <c r="CR110" s="306">
        <f t="shared" si="124"/>
        <v>0</v>
      </c>
      <c r="CS110" s="307"/>
      <c r="CT110" s="308"/>
      <c r="CV110" s="309"/>
      <c r="CW110" s="310"/>
      <c r="CX110" s="310"/>
      <c r="CY110" s="311"/>
      <c r="CZ110" s="311"/>
      <c r="DA110" s="311"/>
      <c r="DB110" s="310"/>
      <c r="DF110" s="15" t="s">
        <v>76</v>
      </c>
      <c r="DH110" s="312"/>
      <c r="DL110" s="313"/>
      <c r="DN110" s="312"/>
      <c r="DT110" s="312"/>
      <c r="DV110" s="310"/>
      <c r="DW110" s="312"/>
      <c r="EE110" s="312"/>
      <c r="EM110" s="312"/>
      <c r="ER110" s="312"/>
      <c r="FB110" s="314"/>
    </row>
    <row r="111" spans="1:164" x14ac:dyDescent="0.25">
      <c r="D111" s="131"/>
      <c r="FB111" s="318"/>
    </row>
    <row r="112" spans="1:164" x14ac:dyDescent="0.25">
      <c r="D112" s="131"/>
    </row>
    <row r="113" spans="4:4" x14ac:dyDescent="0.25">
      <c r="D113" s="131"/>
    </row>
    <row r="114" spans="4:4" x14ac:dyDescent="0.25">
      <c r="D114" s="131"/>
    </row>
    <row r="115" spans="4:4" x14ac:dyDescent="0.25">
      <c r="D115" s="131"/>
    </row>
    <row r="116" spans="4:4" x14ac:dyDescent="0.25">
      <c r="D116" s="131"/>
    </row>
    <row r="117" spans="4:4" x14ac:dyDescent="0.25">
      <c r="D117" s="131"/>
    </row>
    <row r="118" spans="4:4" x14ac:dyDescent="0.25">
      <c r="D118" s="131"/>
    </row>
  </sheetData>
  <protectedRanges>
    <protectedRange sqref="FB5:FB22 FB51:FB73 FB24:FB49 FB75:FB111" name="just"/>
    <protectedRange sqref="DP34:DQ49 DP5:DQ6 DQ7:DQ22 DP7:DP33 DQ24:DQ33 DP51:DQ106" name="output_2"/>
    <protectedRange sqref="AR72:CD73 AR71:AX71 BQ71:CD71 CO5:CR73 AR24:CD49 AR5:CD22 AR51:CD70 CO75:CR106 AR75:CD106" name="bd1"/>
    <protectedRange sqref="M99:R100 M102:R103 M15:R16 M57:R58 M60:R61 M63:R64 M66:R67 M69:R70 M72:R73 M75:R76 M78:R79 M81:R82 CE51:CN73 CE5:CN22 CE24:CN49 M105:R106 S5:AM106 CE75:CN106" name="uncontrol"/>
    <protectedRange sqref="F99:H100 F102:H103 F105:H106" name="type"/>
    <protectedRange sqref="M53:R54 M71:R71 M74:R74 O55:R55 M68:R68 M5:R14 M17:R47 M50:R50 M56:R56 M59:R59 M62:R62 M83:R97" name="uncontrol_1_1_7"/>
    <protectedRange sqref="M48:R49 M51:R52" name="uncontrol_2_1"/>
    <protectedRange sqref="FB50" name="just_1_2"/>
    <protectedRange sqref="DP50:DQ50" name="output_1_1"/>
    <protectedRange sqref="AR50:CD50 CO50:CR50" name="bd1_1_1"/>
    <protectedRange sqref="CE50:CN50" name="uncontrol_3_1"/>
    <protectedRange sqref="FB23" name="just_3"/>
    <protectedRange sqref="DQ23" name="output_3"/>
    <protectedRange sqref="AR23:CD23 CO23:CR23" name="bd1_3"/>
    <protectedRange sqref="CE23:CN23" name="uncontrol_5"/>
    <protectedRange sqref="E99:E100 E102:E103 E105:E106" name="type_2_1_9"/>
    <protectedRange sqref="AR74:CD74" name="bd1_4"/>
    <protectedRange sqref="FB74" name="just_2_1_1"/>
    <protectedRange sqref="CO74:CR74 AR74:CD74" name="bd1_2_1"/>
    <protectedRange sqref="CE74:CN74" name="uncontrol_4_1_1"/>
    <protectedRange sqref="AY71:BP71" name="bd1_2"/>
    <protectedRange sqref="M55:N55" name="uncontrol_1_1_4_1"/>
    <protectedRange sqref="M77:Q77 M80:Q80 M98:Q98 M101:Q101 M104:Q104" name="uncontrol_1_1_2_2_3"/>
    <protectedRange sqref="R77 R80 R98 R101 R104" name="uncontrol_1_1_1_3"/>
    <protectedRange sqref="F98:G98 F101:G101 F104:G104" name="type_1_1_1_9_8_2_3_1_3"/>
    <protectedRange sqref="H98 H101 H104" name="type_1_1_1_2_7_8_2_3_1_3"/>
    <protectedRange sqref="E98 E101 E104" name="type_2_1_8_8_2_3_1_3"/>
    <protectedRange sqref="M65:R65" name="uncontrol_1_1_3"/>
    <protectedRange sqref="F57:G58 F15:H16 F81:H82 F60:H61 F63:H64 F66:H67 F69:H70 F72:H73 F76:H76 F78:H79" name="type_2"/>
    <protectedRange sqref="F6:H7 F54:G54 F96:H97 F24:H25 F27:H28 F71:G71 F74:G74 F9:H10 F12:H13 F18:H19 F42:H43 F45:H46 F84:H85 F83:G83 F21:H22 F30:H31 F39:H40 F36:H37 F68:G68 F95:G95 F33:G34 F93:H94 F92:G92 F90:H91 F89:G89 F87:H88 F86:G86" name="type_1_1_1_10_1"/>
    <protectedRange sqref="F49:H49 F51:H52 F48:G48" name="type_1_1_2"/>
    <protectedRange sqref="H71 H74 H83 H68 H95 H33:H34 H48 H54:H55 H57:H58 H77 H80 H92 H89 H86" name="type_1_1_1_2_8_1"/>
    <protectedRange sqref="E57:E58 E6:E7 E30:E31 E36:E37 E33:E34 E39:E40 E42:E43 E45:E46 E48:E49 E51:E52 E54 E60:E61 E63:E64 E66:E74 E78:E79 E9:E10 E12:E13 E15:E16 E18:E19 E21:E22 E24:E25 E27:E28 E76 E81:E97" name="type_2_1_9_1"/>
    <protectedRange sqref="F55:G55" name="type_1_1_1_4_1_1"/>
    <protectedRange sqref="E55" name="type_2_1_4_1_1"/>
    <protectedRange sqref="F32:G32" name="type_1_1_1_9_3_2"/>
    <protectedRange sqref="H32" name="type_1_1_1_2_7_3"/>
    <protectedRange sqref="E32" name="type_2_1_8_3_2"/>
    <protectedRange sqref="F38:G38 F41:G41 F44:G44" name="type_1_1_1_9_8_3_1"/>
    <protectedRange sqref="H38 H41 H44" name="type_1_1_1_2_7_8_3_1"/>
    <protectedRange sqref="E38 E41 E44" name="type_2_1_8_8_3_1"/>
    <protectedRange sqref="F47:G47 F50:G50 F53:G53 F56:G56 F59:G59 F62:G62 F65:G65" name="type_1_1_1_9_8_2_2_2"/>
    <protectedRange sqref="H47 H50 H53 H56 H59 H62 H65" name="type_1_1_1_2_7_8_2_2_2"/>
    <protectedRange sqref="E47 E50 E53 E56 E59 E62 E65" name="type_2_1_8_8_2_2_2"/>
    <protectedRange sqref="F77:G77 F80:G80" name="type_1_1_1_9_8_2_3_1_4"/>
    <protectedRange sqref="E77 E80" name="type_2_1_8_8_2_3_1_4"/>
    <protectedRange sqref="F5:G5" name="type_1_1_1_11"/>
    <protectedRange sqref="H5" name="type_1_1_1_2_10"/>
    <protectedRange sqref="E5" name="type_2_1_10"/>
    <protectedRange sqref="F8:G8" name="type_1_1_1_1_1"/>
    <protectedRange sqref="H8" name="type_1_1_1_2_1_1"/>
    <protectedRange sqref="E8" name="type_2_1_1_1"/>
    <protectedRange sqref="F11:G11" name="type_1_1_1_3_1"/>
    <protectedRange sqref="H11" name="type_1_1_1_2_2_1"/>
    <protectedRange sqref="E11" name="type_2_1_2_1"/>
    <protectedRange sqref="F14:G14" name="type_1_1_1_4_2"/>
    <protectedRange sqref="H14" name="type_1_1_1_2_3_1"/>
    <protectedRange sqref="E14" name="type_2_1_3_1"/>
    <protectedRange sqref="F17:G17" name="type_1_1_1_5_1"/>
    <protectedRange sqref="H17" name="type_1_1_1_2_4_1"/>
    <protectedRange sqref="E17" name="type_2_1_4_2"/>
    <protectedRange sqref="F20:G20" name="type_1_1_1_6_1"/>
    <protectedRange sqref="H20" name="type_1_1_1_2_5_1"/>
    <protectedRange sqref="E20" name="type_2_1_5_1"/>
    <protectedRange sqref="F23:G23" name="type_1_1_1_7_1"/>
    <protectedRange sqref="H23" name="type_1_1_1_2_6_1"/>
    <protectedRange sqref="E23" name="type_2_1_6_1"/>
    <protectedRange sqref="F26:G26" name="type_1_1_1_8_1"/>
    <protectedRange sqref="H26" name="type_1_1_1_2_7_1"/>
    <protectedRange sqref="E26" name="type_2_1_7_1"/>
    <protectedRange sqref="F29:G29" name="type_1_1_1_9_1"/>
    <protectedRange sqref="H29" name="type_1_1_1_2_9_1"/>
    <protectedRange sqref="E29" name="type_2_1_8_1"/>
    <protectedRange sqref="F35:G35" name="type_1_1_1_9_1_1"/>
    <protectedRange sqref="H35" name="type_1_1_1_2_9_1_1"/>
    <protectedRange sqref="E35" name="type_2_1_8_1_1"/>
    <protectedRange sqref="F75:H75" name="type_2_2"/>
    <protectedRange sqref="E75" name="type_2_1_9_1_1"/>
  </protectedRanges>
  <mergeCells count="104">
    <mergeCell ref="B104:B106"/>
    <mergeCell ref="C104:C106"/>
    <mergeCell ref="E108:K108"/>
    <mergeCell ref="E109:K109"/>
    <mergeCell ref="E110:AT110"/>
    <mergeCell ref="B95:B97"/>
    <mergeCell ref="C95:C97"/>
    <mergeCell ref="B98:B100"/>
    <mergeCell ref="C98:C100"/>
    <mergeCell ref="B101:B103"/>
    <mergeCell ref="C101:C103"/>
    <mergeCell ref="B86:B88"/>
    <mergeCell ref="C86:C88"/>
    <mergeCell ref="B89:B91"/>
    <mergeCell ref="C89:C91"/>
    <mergeCell ref="B92:B94"/>
    <mergeCell ref="C92:C94"/>
    <mergeCell ref="B77:B79"/>
    <mergeCell ref="C77:C79"/>
    <mergeCell ref="B80:B82"/>
    <mergeCell ref="C80:C82"/>
    <mergeCell ref="B83:B85"/>
    <mergeCell ref="C83:C85"/>
    <mergeCell ref="B68:B70"/>
    <mergeCell ref="C68:C70"/>
    <mergeCell ref="B71:B73"/>
    <mergeCell ref="C71:C73"/>
    <mergeCell ref="B74:B76"/>
    <mergeCell ref="C74:C76"/>
    <mergeCell ref="B59:B61"/>
    <mergeCell ref="C59:C61"/>
    <mergeCell ref="B62:B64"/>
    <mergeCell ref="C62:C64"/>
    <mergeCell ref="B65:B67"/>
    <mergeCell ref="C65:C67"/>
    <mergeCell ref="B50:B52"/>
    <mergeCell ref="C50:C52"/>
    <mergeCell ref="B53:B55"/>
    <mergeCell ref="C53:C55"/>
    <mergeCell ref="B56:B58"/>
    <mergeCell ref="C56:C58"/>
    <mergeCell ref="B41:B43"/>
    <mergeCell ref="C41:C43"/>
    <mergeCell ref="B44:B46"/>
    <mergeCell ref="C44:C46"/>
    <mergeCell ref="B47:B49"/>
    <mergeCell ref="C47:C49"/>
    <mergeCell ref="B32:B34"/>
    <mergeCell ref="C32:C34"/>
    <mergeCell ref="B35:B37"/>
    <mergeCell ref="C35:C37"/>
    <mergeCell ref="B38:B40"/>
    <mergeCell ref="C38:C40"/>
    <mergeCell ref="B23:B25"/>
    <mergeCell ref="C23:C25"/>
    <mergeCell ref="B26:B28"/>
    <mergeCell ref="C26:C28"/>
    <mergeCell ref="B29:B31"/>
    <mergeCell ref="C29:C31"/>
    <mergeCell ref="B14:B16"/>
    <mergeCell ref="C14:C16"/>
    <mergeCell ref="B17:B19"/>
    <mergeCell ref="C17:C19"/>
    <mergeCell ref="B20:B22"/>
    <mergeCell ref="C20:C22"/>
    <mergeCell ref="EQ2:EQ3"/>
    <mergeCell ref="B5:B7"/>
    <mergeCell ref="C5:C7"/>
    <mergeCell ref="B8:B10"/>
    <mergeCell ref="C8:C10"/>
    <mergeCell ref="B11:B13"/>
    <mergeCell ref="C11:C13"/>
    <mergeCell ref="ED2:ED3"/>
    <mergeCell ref="EG2:EG3"/>
    <mergeCell ref="EH2:EK2"/>
    <mergeCell ref="EL2:EL3"/>
    <mergeCell ref="EO2:EO3"/>
    <mergeCell ref="EP2:EP3"/>
    <mergeCell ref="DD2:DG2"/>
    <mergeCell ref="DJ2:DM2"/>
    <mergeCell ref="DP2:DS2"/>
    <mergeCell ref="DV2:DV3"/>
    <mergeCell ref="DY2:DY3"/>
    <mergeCell ref="EB2:EB3"/>
    <mergeCell ref="EG1:EL1"/>
    <mergeCell ref="EO1:EQ1"/>
    <mergeCell ref="K2:K3"/>
    <mergeCell ref="M2:Z2"/>
    <mergeCell ref="AA2:AM2"/>
    <mergeCell ref="AN2:AN3"/>
    <mergeCell ref="AP2:AP3"/>
    <mergeCell ref="AR2:AR3"/>
    <mergeCell ref="AS2:AS3"/>
    <mergeCell ref="AU2:BQ2"/>
    <mergeCell ref="K1:AP1"/>
    <mergeCell ref="AR1:AS1"/>
    <mergeCell ref="AU1:CU1"/>
    <mergeCell ref="CW1:DB2"/>
    <mergeCell ref="DD1:DV1"/>
    <mergeCell ref="DY1:ED1"/>
    <mergeCell ref="BR2:CC2"/>
    <mergeCell ref="CD2:CR2"/>
    <mergeCell ref="CS2:CS3"/>
    <mergeCell ref="CU2:CU3"/>
  </mergeCells>
  <conditionalFormatting sqref="C1:C3 C98 C101 C104">
    <cfRule type="cellIs" dxfId="11" priority="4" stopIfTrue="1" operator="equal">
      <formula>"SUN"</formula>
    </cfRule>
  </conditionalFormatting>
  <conditionalFormatting sqref="C5 C8 C11 C14 C17 C20 C23 C26 C29 C32 C35 C38 C41 C44 C47 C50 C53 C56 C59 C62 C65 C68 C71 C74 C77 C80 C83 C86 C89 C92">
    <cfRule type="cellIs" dxfId="10" priority="1" stopIfTrue="1" operator="equal">
      <formula>"SUN"</formula>
    </cfRule>
  </conditionalFormatting>
  <conditionalFormatting sqref="C95">
    <cfRule type="cellIs" dxfId="9" priority="2" stopIfTrue="1" operator="equal">
      <formula>"SUN"</formula>
    </cfRule>
  </conditionalFormatting>
  <conditionalFormatting sqref="DV107 ED107 EL107 EQ107">
    <cfRule type="cellIs" dxfId="8" priority="5" stopIfTrue="1" operator="lessThan">
      <formula>0.75</formula>
    </cfRule>
  </conditionalFormatting>
  <conditionalFormatting sqref="DX3 EL108:EL109 EQ108:EQ109">
    <cfRule type="cellIs" dxfId="7" priority="6" stopIfTrue="1" operator="lessThan">
      <formula>0.75</formula>
    </cfRule>
  </conditionalFormatting>
  <conditionalFormatting sqref="EF3:EF107 EN3:EN107 EL4:EL106 EQ4:EQ106 ES4:ES109 DV5:DV106 ED5:ED106 DX5:DX107">
    <cfRule type="cellIs" dxfId="6" priority="3" stopIfTrue="1" operator="lessThan">
      <formula>0.75</formula>
    </cfRule>
  </conditionalFormatting>
  <pageMargins left="0.7" right="0.7" top="0.75" bottom="0.75" header="0.3" footer="0.3"/>
  <pageSetup paperSize="9"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04A19-3D57-4EAE-AF1D-5964572F8C02}">
  <sheetPr>
    <tabColor rgb="FFFFFF00"/>
  </sheetPr>
  <dimension ref="A1:FP118"/>
  <sheetViews>
    <sheetView zoomScale="80" zoomScaleNormal="80" workbookViewId="0">
      <pane xSplit="12" ySplit="4" topLeftCell="DG107" activePane="bottomRight" state="frozen"/>
      <selection activeCell="R20" sqref="R20"/>
      <selection pane="topRight" activeCell="R20" sqref="R20"/>
      <selection pane="bottomLeft" activeCell="R20" sqref="R20"/>
      <selection pane="bottomRight" activeCell="H12" sqref="H12"/>
    </sheetView>
  </sheetViews>
  <sheetFormatPr defaultColWidth="9.1796875" defaultRowHeight="12.5" outlineLevelRow="1" outlineLevelCol="1" x14ac:dyDescent="0.25"/>
  <cols>
    <col min="1" max="1" width="1.26953125" style="132" customWidth="1"/>
    <col min="2" max="2" width="16.7265625" style="329" customWidth="1"/>
    <col min="3" max="3" width="9.54296875" style="132" customWidth="1"/>
    <col min="4" max="4" width="14.81640625" style="132" customWidth="1"/>
    <col min="5" max="5" width="7.26953125" style="132" customWidth="1"/>
    <col min="6" max="6" width="1.1796875" style="132" customWidth="1"/>
    <col min="7" max="7" width="0" style="132" hidden="1" customWidth="1"/>
    <col min="8" max="8" width="23.1796875" style="132" customWidth="1"/>
    <col min="9" max="9" width="14" style="132" bestFit="1" customWidth="1"/>
    <col min="10" max="10" width="1.1796875" style="132" customWidth="1"/>
    <col min="11" max="11" width="12.54296875" style="132" customWidth="1"/>
    <col min="12" max="12" width="1.1796875" style="132" customWidth="1"/>
    <col min="13" max="39" width="6.54296875" style="132" customWidth="1" outlineLevel="1"/>
    <col min="40" max="40" width="14.453125" style="132" customWidth="1"/>
    <col min="41" max="41" width="4.7265625" style="132" customWidth="1"/>
    <col min="42" max="42" width="17.7265625" style="132" customWidth="1"/>
    <col min="43" max="43" width="2.81640625" style="132" customWidth="1"/>
    <col min="44" max="45" width="17.81640625" style="132" customWidth="1"/>
    <col min="46" max="46" width="2.81640625" style="132" customWidth="1"/>
    <col min="47" max="69" width="4.6328125" style="132" customWidth="1" outlineLevel="1"/>
    <col min="70" max="70" width="3.54296875" style="132" customWidth="1" outlineLevel="1"/>
    <col min="71" max="71" width="5.81640625" style="132" customWidth="1" outlineLevel="1"/>
    <col min="72" max="76" width="3.54296875" style="132" customWidth="1" outlineLevel="1"/>
    <col min="77" max="77" width="3.7265625" style="132" customWidth="1" outlineLevel="1"/>
    <col min="78" max="78" width="4" style="132" customWidth="1" outlineLevel="1"/>
    <col min="79" max="81" width="3.54296875" style="132" customWidth="1" outlineLevel="1"/>
    <col min="82" max="82" width="4" style="132" customWidth="1" outlineLevel="1"/>
    <col min="83" max="96" width="4.6328125" style="132" customWidth="1" outlineLevel="1"/>
    <col min="97" max="97" width="10.7265625" style="132" customWidth="1"/>
    <col min="98" max="98" width="0.81640625" style="132" customWidth="1"/>
    <col min="99" max="99" width="21.54296875" style="132" customWidth="1"/>
    <col min="100" max="100" width="1.81640625" style="132" customWidth="1"/>
    <col min="101" max="106" width="23.1796875" style="315" customWidth="1"/>
    <col min="107" max="107" width="3.26953125" style="132" customWidth="1"/>
    <col min="108" max="108" width="12.54296875" style="132" customWidth="1" outlineLevel="1"/>
    <col min="109" max="109" width="13" style="132" customWidth="1" outlineLevel="1"/>
    <col min="110" max="110" width="28.453125" style="132" customWidth="1" outlineLevel="1"/>
    <col min="111" max="111" width="24.1796875" style="132" customWidth="1"/>
    <col min="112" max="112" width="5.81640625" style="316" bestFit="1" customWidth="1"/>
    <col min="113" max="113" width="9.1796875" style="132" customWidth="1"/>
    <col min="114" max="115" width="12.26953125" style="132" bestFit="1" customWidth="1" outlineLevel="1"/>
    <col min="116" max="116" width="26.54296875" style="317" customWidth="1" outlineLevel="1"/>
    <col min="117" max="117" width="16.453125" style="132" customWidth="1"/>
    <col min="118" max="118" width="11.54296875" style="316" customWidth="1"/>
    <col min="119" max="119" width="7.81640625" style="132" customWidth="1"/>
    <col min="120" max="120" width="11" style="132" customWidth="1" outlineLevel="1"/>
    <col min="121" max="121" width="11.7265625" style="132" customWidth="1" outlineLevel="1"/>
    <col min="122" max="122" width="11.54296875" style="132" customWidth="1" outlineLevel="1"/>
    <col min="123" max="123" width="13.81640625" style="132" customWidth="1"/>
    <col min="124" max="124" width="10.1796875" style="316" customWidth="1"/>
    <col min="125" max="125" width="9.1796875" style="132"/>
    <col min="126" max="126" width="19.26953125" style="315" customWidth="1"/>
    <col min="127" max="127" width="9.54296875" style="316" customWidth="1"/>
    <col min="128" max="128" width="4.81640625" style="132" customWidth="1" collapsed="1"/>
    <col min="129" max="129" width="17.81640625" style="132" customWidth="1" outlineLevel="1"/>
    <col min="130" max="130" width="16.453125" style="132" hidden="1" customWidth="1" outlineLevel="1"/>
    <col min="131" max="131" width="16.81640625" style="132" hidden="1" customWidth="1" outlineLevel="1"/>
    <col min="132" max="132" width="19.54296875" style="132" customWidth="1" outlineLevel="1"/>
    <col min="133" max="133" width="0.7265625" style="132" customWidth="1" outlineLevel="1"/>
    <col min="134" max="134" width="23.453125" style="132" customWidth="1"/>
    <col min="135" max="135" width="7.54296875" style="316" customWidth="1"/>
    <col min="136" max="136" width="8.453125" style="132" customWidth="1"/>
    <col min="137" max="137" width="12.1796875" style="132" customWidth="1" outlineLevel="1"/>
    <col min="138" max="138" width="13.7265625" style="132" customWidth="1" outlineLevel="1"/>
    <col min="139" max="139" width="11.81640625" style="132" customWidth="1" outlineLevel="1"/>
    <col min="140" max="140" width="13.54296875" style="132" customWidth="1" outlineLevel="1"/>
    <col min="141" max="141" width="17.26953125" style="132" customWidth="1" outlineLevel="1"/>
    <col min="142" max="142" width="17.7265625" style="132" customWidth="1"/>
    <col min="143" max="143" width="1.54296875" style="316" customWidth="1"/>
    <col min="144" max="144" width="12" style="132" customWidth="1"/>
    <col min="145" max="145" width="18.81640625" style="132" customWidth="1" outlineLevel="1"/>
    <col min="146" max="146" width="22.453125" style="132" customWidth="1" outlineLevel="1"/>
    <col min="147" max="147" width="17.7265625" style="132" customWidth="1"/>
    <col min="148" max="148" width="1.26953125" style="316" customWidth="1"/>
    <col min="149" max="149" width="18.1796875" style="132" customWidth="1"/>
    <col min="150" max="150" width="1.54296875" style="132" customWidth="1"/>
    <col min="151" max="151" width="13.26953125" style="132" customWidth="1"/>
    <col min="152" max="152" width="11.26953125" style="132" customWidth="1"/>
    <col min="153" max="153" width="26.1796875" style="132" customWidth="1"/>
    <col min="154" max="154" width="11.26953125" style="132" customWidth="1"/>
    <col min="155" max="155" width="1.1796875" style="132" customWidth="1"/>
    <col min="156" max="156" width="29.453125" style="132" customWidth="1"/>
    <col min="157" max="157" width="28.26953125" style="132" customWidth="1"/>
    <col min="158" max="158" width="72.7265625" style="132" customWidth="1"/>
    <col min="159" max="159" width="2.26953125" style="132" customWidth="1"/>
    <col min="160" max="16384" width="9.1796875" style="132"/>
  </cols>
  <sheetData>
    <row r="1" spans="2:172" s="1" customFormat="1" ht="30.75" customHeight="1" thickBot="1" x14ac:dyDescent="0.3">
      <c r="B1" s="325"/>
      <c r="D1" s="2"/>
      <c r="E1" s="2"/>
      <c r="F1" s="3"/>
      <c r="G1" s="4"/>
      <c r="H1" s="5"/>
      <c r="I1" s="6"/>
      <c r="J1" s="7"/>
      <c r="K1" s="405" t="s">
        <v>0</v>
      </c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406"/>
      <c r="Z1" s="406"/>
      <c r="AA1" s="406"/>
      <c r="AB1" s="406"/>
      <c r="AC1" s="406"/>
      <c r="AD1" s="406"/>
      <c r="AE1" s="406"/>
      <c r="AF1" s="406"/>
      <c r="AG1" s="406"/>
      <c r="AH1" s="406"/>
      <c r="AI1" s="406"/>
      <c r="AJ1" s="406"/>
      <c r="AK1" s="406"/>
      <c r="AL1" s="406"/>
      <c r="AM1" s="406"/>
      <c r="AN1" s="406"/>
      <c r="AO1" s="406"/>
      <c r="AP1" s="406"/>
      <c r="AQ1" s="8"/>
      <c r="AR1" s="407" t="s">
        <v>1</v>
      </c>
      <c r="AS1" s="408"/>
      <c r="AT1" s="8"/>
      <c r="AU1" s="409" t="s">
        <v>2</v>
      </c>
      <c r="AV1" s="410"/>
      <c r="AW1" s="410"/>
      <c r="AX1" s="410"/>
      <c r="AY1" s="410"/>
      <c r="AZ1" s="410"/>
      <c r="BA1" s="410"/>
      <c r="BB1" s="410"/>
      <c r="BC1" s="410"/>
      <c r="BD1" s="410"/>
      <c r="BE1" s="410"/>
      <c r="BF1" s="410"/>
      <c r="BG1" s="410"/>
      <c r="BH1" s="410"/>
      <c r="BI1" s="410"/>
      <c r="BJ1" s="410"/>
      <c r="BK1" s="410"/>
      <c r="BL1" s="410"/>
      <c r="BM1" s="410"/>
      <c r="BN1" s="410"/>
      <c r="BO1" s="410"/>
      <c r="BP1" s="410"/>
      <c r="BQ1" s="410"/>
      <c r="BR1" s="410"/>
      <c r="BS1" s="410"/>
      <c r="BT1" s="410"/>
      <c r="BU1" s="410"/>
      <c r="BV1" s="410"/>
      <c r="BW1" s="410"/>
      <c r="BX1" s="410"/>
      <c r="BY1" s="410"/>
      <c r="BZ1" s="410"/>
      <c r="CA1" s="410"/>
      <c r="CB1" s="410"/>
      <c r="CC1" s="410"/>
      <c r="CD1" s="410"/>
      <c r="CE1" s="410"/>
      <c r="CF1" s="410"/>
      <c r="CG1" s="410"/>
      <c r="CH1" s="410"/>
      <c r="CI1" s="410"/>
      <c r="CJ1" s="410"/>
      <c r="CK1" s="410"/>
      <c r="CL1" s="410"/>
      <c r="CM1" s="410"/>
      <c r="CN1" s="410"/>
      <c r="CO1" s="410"/>
      <c r="CP1" s="410"/>
      <c r="CQ1" s="410"/>
      <c r="CR1" s="410"/>
      <c r="CS1" s="410"/>
      <c r="CT1" s="410"/>
      <c r="CU1" s="411"/>
      <c r="CV1" s="9"/>
      <c r="CW1" s="412" t="s">
        <v>3</v>
      </c>
      <c r="CX1" s="412"/>
      <c r="CY1" s="412"/>
      <c r="CZ1" s="412"/>
      <c r="DA1" s="412"/>
      <c r="DB1" s="412"/>
      <c r="DC1" s="10"/>
      <c r="DD1" s="414" t="s">
        <v>4</v>
      </c>
      <c r="DE1" s="414"/>
      <c r="DF1" s="414"/>
      <c r="DG1" s="414"/>
      <c r="DH1" s="414"/>
      <c r="DI1" s="414"/>
      <c r="DJ1" s="414"/>
      <c r="DK1" s="414"/>
      <c r="DL1" s="414"/>
      <c r="DM1" s="414"/>
      <c r="DN1" s="414"/>
      <c r="DO1" s="414"/>
      <c r="DP1" s="414"/>
      <c r="DQ1" s="414"/>
      <c r="DR1" s="414"/>
      <c r="DS1" s="414"/>
      <c r="DT1" s="414"/>
      <c r="DU1" s="414"/>
      <c r="DV1" s="415"/>
      <c r="DW1" s="11"/>
      <c r="DX1" s="12"/>
      <c r="DY1" s="374" t="s">
        <v>5</v>
      </c>
      <c r="DZ1" s="375"/>
      <c r="EA1" s="375"/>
      <c r="EB1" s="375"/>
      <c r="EC1" s="375"/>
      <c r="ED1" s="376"/>
      <c r="EE1" s="11"/>
      <c r="EF1" s="12"/>
      <c r="EG1" s="377" t="s">
        <v>6</v>
      </c>
      <c r="EH1" s="378"/>
      <c r="EI1" s="378"/>
      <c r="EJ1" s="378"/>
      <c r="EK1" s="378"/>
      <c r="EL1" s="379"/>
      <c r="EM1" s="11"/>
      <c r="EN1" s="12"/>
      <c r="EO1" s="377" t="s">
        <v>7</v>
      </c>
      <c r="EP1" s="378"/>
      <c r="EQ1" s="379"/>
      <c r="ER1" s="11"/>
      <c r="ES1" s="13"/>
      <c r="ET1" s="13"/>
      <c r="EU1" s="2"/>
      <c r="EV1" s="2"/>
      <c r="EW1" s="2"/>
      <c r="EX1" s="2"/>
      <c r="EY1" s="2"/>
      <c r="EZ1" s="2"/>
      <c r="FA1" s="14"/>
      <c r="FB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</row>
    <row r="2" spans="2:172" s="15" customFormat="1" ht="33" customHeight="1" thickBot="1" x14ac:dyDescent="0.3">
      <c r="B2" s="326"/>
      <c r="D2" s="17"/>
      <c r="E2" s="17"/>
      <c r="F2" s="18"/>
      <c r="G2" s="18"/>
      <c r="H2" s="19"/>
      <c r="I2" s="20"/>
      <c r="J2" s="20"/>
      <c r="K2" s="416" t="s">
        <v>8</v>
      </c>
      <c r="L2" s="21"/>
      <c r="M2" s="418" t="s">
        <v>9</v>
      </c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1"/>
      <c r="AA2" s="380" t="s">
        <v>10</v>
      </c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1"/>
      <c r="AN2" s="382" t="s">
        <v>11</v>
      </c>
      <c r="AO2" s="22"/>
      <c r="AP2" s="419" t="s">
        <v>12</v>
      </c>
      <c r="AQ2" s="18"/>
      <c r="AR2" s="372" t="s">
        <v>13</v>
      </c>
      <c r="AS2" s="372" t="s">
        <v>14</v>
      </c>
      <c r="AT2" s="18"/>
      <c r="AU2" s="385" t="s">
        <v>15</v>
      </c>
      <c r="AV2" s="386"/>
      <c r="AW2" s="386"/>
      <c r="AX2" s="386"/>
      <c r="AY2" s="386"/>
      <c r="AZ2" s="386"/>
      <c r="BA2" s="386"/>
      <c r="BB2" s="386"/>
      <c r="BC2" s="387"/>
      <c r="BD2" s="387"/>
      <c r="BE2" s="387"/>
      <c r="BF2" s="387"/>
      <c r="BG2" s="387"/>
      <c r="BH2" s="387"/>
      <c r="BI2" s="387"/>
      <c r="BJ2" s="387"/>
      <c r="BK2" s="387"/>
      <c r="BL2" s="387"/>
      <c r="BM2" s="387"/>
      <c r="BN2" s="387"/>
      <c r="BO2" s="387"/>
      <c r="BP2" s="387"/>
      <c r="BQ2" s="387"/>
      <c r="BR2" s="388" t="s">
        <v>16</v>
      </c>
      <c r="BS2" s="389"/>
      <c r="BT2" s="389"/>
      <c r="BU2" s="389"/>
      <c r="BV2" s="389"/>
      <c r="BW2" s="389"/>
      <c r="BX2" s="389"/>
      <c r="BY2" s="389"/>
      <c r="BZ2" s="389"/>
      <c r="CA2" s="389"/>
      <c r="CB2" s="389"/>
      <c r="CC2" s="390"/>
      <c r="CD2" s="385" t="s">
        <v>17</v>
      </c>
      <c r="CE2" s="391"/>
      <c r="CF2" s="391"/>
      <c r="CG2" s="391"/>
      <c r="CH2" s="391"/>
      <c r="CI2" s="391"/>
      <c r="CJ2" s="391"/>
      <c r="CK2" s="391"/>
      <c r="CL2" s="391"/>
      <c r="CM2" s="391"/>
      <c r="CN2" s="391"/>
      <c r="CO2" s="391"/>
      <c r="CP2" s="391"/>
      <c r="CQ2" s="391"/>
      <c r="CR2" s="392"/>
      <c r="CS2" s="393" t="s">
        <v>18</v>
      </c>
      <c r="CT2" s="22"/>
      <c r="CU2" s="395" t="s">
        <v>19</v>
      </c>
      <c r="CV2" s="23"/>
      <c r="CW2" s="413"/>
      <c r="CX2" s="413"/>
      <c r="CY2" s="413"/>
      <c r="CZ2" s="413"/>
      <c r="DA2" s="413"/>
      <c r="DB2" s="413"/>
      <c r="DC2" s="24"/>
      <c r="DD2" s="397" t="s">
        <v>20</v>
      </c>
      <c r="DE2" s="398"/>
      <c r="DF2" s="398"/>
      <c r="DG2" s="399"/>
      <c r="DH2" s="25"/>
      <c r="DI2" s="26"/>
      <c r="DJ2" s="397" t="s">
        <v>21</v>
      </c>
      <c r="DK2" s="398"/>
      <c r="DL2" s="398"/>
      <c r="DM2" s="399"/>
      <c r="DN2" s="25"/>
      <c r="DO2" s="26"/>
      <c r="DP2" s="400" t="s">
        <v>22</v>
      </c>
      <c r="DQ2" s="401"/>
      <c r="DR2" s="401"/>
      <c r="DS2" s="402"/>
      <c r="DT2" s="25"/>
      <c r="DU2" s="27"/>
      <c r="DV2" s="362" t="s">
        <v>23</v>
      </c>
      <c r="DW2" s="25"/>
      <c r="DX2" s="26"/>
      <c r="DY2" s="366" t="s">
        <v>24</v>
      </c>
      <c r="DZ2" s="28" t="s">
        <v>25</v>
      </c>
      <c r="EA2" s="29"/>
      <c r="EB2" s="368" t="s">
        <v>26</v>
      </c>
      <c r="EC2" s="30"/>
      <c r="ED2" s="403" t="s">
        <v>27</v>
      </c>
      <c r="EE2" s="25"/>
      <c r="EF2" s="31"/>
      <c r="EG2" s="370" t="s">
        <v>24</v>
      </c>
      <c r="EH2" s="359" t="s">
        <v>28</v>
      </c>
      <c r="EI2" s="360"/>
      <c r="EJ2" s="360"/>
      <c r="EK2" s="361"/>
      <c r="EL2" s="362" t="s">
        <v>29</v>
      </c>
      <c r="EM2" s="32"/>
      <c r="EN2" s="31"/>
      <c r="EO2" s="370" t="s">
        <v>24</v>
      </c>
      <c r="EP2" s="364" t="s">
        <v>30</v>
      </c>
      <c r="EQ2" s="362" t="s">
        <v>31</v>
      </c>
      <c r="ER2" s="32"/>
      <c r="ES2" s="16"/>
      <c r="ET2" s="33"/>
      <c r="EU2" s="34"/>
      <c r="EV2" s="34"/>
      <c r="EW2" s="35" t="s">
        <v>32</v>
      </c>
      <c r="EX2" s="36"/>
      <c r="EY2" s="37"/>
      <c r="EZ2" s="38" t="s">
        <v>33</v>
      </c>
      <c r="FA2" s="39" t="s">
        <v>34</v>
      </c>
      <c r="FB2" s="40"/>
      <c r="FC2" s="41"/>
    </row>
    <row r="3" spans="2:172" s="41" customFormat="1" ht="207.75" customHeight="1" thickBot="1" x14ac:dyDescent="0.3">
      <c r="B3" s="327" t="s">
        <v>35</v>
      </c>
      <c r="C3" s="319" t="s">
        <v>36</v>
      </c>
      <c r="D3" s="42" t="s">
        <v>37</v>
      </c>
      <c r="E3" s="43" t="s">
        <v>38</v>
      </c>
      <c r="F3" s="44"/>
      <c r="G3" s="45" t="s">
        <v>39</v>
      </c>
      <c r="H3" s="46" t="s">
        <v>40</v>
      </c>
      <c r="I3" s="47" t="s">
        <v>41</v>
      </c>
      <c r="J3" s="48"/>
      <c r="K3" s="417"/>
      <c r="L3" s="49"/>
      <c r="M3" s="334" t="s">
        <v>84</v>
      </c>
      <c r="N3" s="335" t="s">
        <v>85</v>
      </c>
      <c r="O3" s="335" t="s">
        <v>86</v>
      </c>
      <c r="P3" s="336" t="s">
        <v>87</v>
      </c>
      <c r="Q3" s="337" t="s">
        <v>88</v>
      </c>
      <c r="R3" s="335" t="s">
        <v>89</v>
      </c>
      <c r="S3" s="335" t="s">
        <v>90</v>
      </c>
      <c r="T3" s="335" t="s">
        <v>91</v>
      </c>
      <c r="U3" s="335" t="s">
        <v>92</v>
      </c>
      <c r="V3" s="335" t="s">
        <v>93</v>
      </c>
      <c r="W3" s="335" t="s">
        <v>94</v>
      </c>
      <c r="X3" s="335" t="s">
        <v>95</v>
      </c>
      <c r="Y3" s="335" t="s">
        <v>96</v>
      </c>
      <c r="Z3" s="344" t="s">
        <v>97</v>
      </c>
      <c r="AA3" s="340" t="s">
        <v>83</v>
      </c>
      <c r="AB3" s="341" t="s">
        <v>115</v>
      </c>
      <c r="AC3" s="342" t="s">
        <v>116</v>
      </c>
      <c r="AD3" s="342" t="s">
        <v>117</v>
      </c>
      <c r="AE3" s="341" t="s">
        <v>118</v>
      </c>
      <c r="AF3" s="341" t="s">
        <v>119</v>
      </c>
      <c r="AG3" s="341" t="s">
        <v>134</v>
      </c>
      <c r="AH3" s="341"/>
      <c r="AI3" s="341"/>
      <c r="AJ3" s="341"/>
      <c r="AK3" s="341"/>
      <c r="AL3" s="341"/>
      <c r="AM3" s="343"/>
      <c r="AN3" s="383"/>
      <c r="AO3" s="52"/>
      <c r="AP3" s="420"/>
      <c r="AQ3" s="53"/>
      <c r="AR3" s="373"/>
      <c r="AS3" s="384"/>
      <c r="AT3" s="53"/>
      <c r="AU3" s="51" t="s">
        <v>98</v>
      </c>
      <c r="AV3" s="51" t="s">
        <v>99</v>
      </c>
      <c r="AW3" s="51" t="s">
        <v>100</v>
      </c>
      <c r="AX3" s="51" t="s">
        <v>101</v>
      </c>
      <c r="AY3" s="51" t="s">
        <v>102</v>
      </c>
      <c r="AZ3" s="51" t="s">
        <v>103</v>
      </c>
      <c r="BA3" s="51" t="s">
        <v>104</v>
      </c>
      <c r="BB3" s="51" t="s">
        <v>113</v>
      </c>
      <c r="BC3" s="51" t="s">
        <v>105</v>
      </c>
      <c r="BD3" s="51" t="s">
        <v>106</v>
      </c>
      <c r="BE3" s="51" t="s">
        <v>107</v>
      </c>
      <c r="BF3" s="51" t="s">
        <v>108</v>
      </c>
      <c r="BG3" s="51" t="s">
        <v>109</v>
      </c>
      <c r="BH3" s="51" t="s">
        <v>110</v>
      </c>
      <c r="BI3" s="51" t="s">
        <v>111</v>
      </c>
      <c r="BJ3" s="51" t="s">
        <v>112</v>
      </c>
      <c r="BK3" s="51" t="s">
        <v>114</v>
      </c>
      <c r="BL3" s="51"/>
      <c r="BM3" s="54"/>
      <c r="BN3" s="54"/>
      <c r="BO3" s="54"/>
      <c r="BP3" s="330"/>
      <c r="BQ3" s="55"/>
      <c r="BR3" s="56" t="s">
        <v>43</v>
      </c>
      <c r="BS3" s="54" t="s">
        <v>44</v>
      </c>
      <c r="BT3" s="54"/>
      <c r="BU3" s="54"/>
      <c r="BV3" s="54"/>
      <c r="BW3" s="54"/>
      <c r="BX3" s="54"/>
      <c r="BY3" s="54"/>
      <c r="BZ3" s="54" t="s">
        <v>42</v>
      </c>
      <c r="CA3" s="54" t="s">
        <v>42</v>
      </c>
      <c r="CB3" s="54" t="s">
        <v>42</v>
      </c>
      <c r="CC3" s="54"/>
      <c r="CD3" s="50" t="s">
        <v>131</v>
      </c>
      <c r="CE3" s="50" t="s">
        <v>132</v>
      </c>
      <c r="CF3" s="345" t="s">
        <v>130</v>
      </c>
      <c r="CG3" s="345" t="s">
        <v>120</v>
      </c>
      <c r="CH3" s="50" t="s">
        <v>121</v>
      </c>
      <c r="CI3" s="50" t="s">
        <v>123</v>
      </c>
      <c r="CJ3" s="50" t="s">
        <v>124</v>
      </c>
      <c r="CK3" s="50" t="s">
        <v>122</v>
      </c>
      <c r="CL3" s="50" t="s">
        <v>125</v>
      </c>
      <c r="CM3" s="50" t="s">
        <v>126</v>
      </c>
      <c r="CN3" s="50" t="s">
        <v>127</v>
      </c>
      <c r="CO3" s="50" t="s">
        <v>128</v>
      </c>
      <c r="CP3" s="352" t="s">
        <v>129</v>
      </c>
      <c r="CQ3" s="352" t="s">
        <v>133</v>
      </c>
      <c r="CR3" s="55" t="s">
        <v>42</v>
      </c>
      <c r="CS3" s="394"/>
      <c r="CT3" s="52"/>
      <c r="CU3" s="396"/>
      <c r="CV3" s="57"/>
      <c r="CW3" s="58" t="s">
        <v>45</v>
      </c>
      <c r="CX3" s="59" t="s">
        <v>46</v>
      </c>
      <c r="CY3" s="60" t="s">
        <v>47</v>
      </c>
      <c r="CZ3" s="61" t="s">
        <v>48</v>
      </c>
      <c r="DA3" s="60" t="s">
        <v>49</v>
      </c>
      <c r="DB3" s="62" t="s">
        <v>50</v>
      </c>
      <c r="DC3" s="63"/>
      <c r="DD3" s="64" t="s">
        <v>51</v>
      </c>
      <c r="DE3" s="65" t="s">
        <v>52</v>
      </c>
      <c r="DF3" s="66" t="s">
        <v>53</v>
      </c>
      <c r="DG3" s="67" t="s">
        <v>54</v>
      </c>
      <c r="DH3" s="68"/>
      <c r="DI3" s="69"/>
      <c r="DJ3" s="64" t="s">
        <v>40</v>
      </c>
      <c r="DK3" s="70" t="s">
        <v>41</v>
      </c>
      <c r="DL3" s="66" t="s">
        <v>55</v>
      </c>
      <c r="DM3" s="67" t="s">
        <v>56</v>
      </c>
      <c r="DN3" s="68"/>
      <c r="DO3" s="71"/>
      <c r="DP3" s="65" t="s">
        <v>24</v>
      </c>
      <c r="DQ3" s="65" t="s">
        <v>57</v>
      </c>
      <c r="DR3" s="64" t="s">
        <v>58</v>
      </c>
      <c r="DS3" s="72" t="s">
        <v>59</v>
      </c>
      <c r="DT3" s="68"/>
      <c r="DU3" s="73"/>
      <c r="DV3" s="363"/>
      <c r="DW3" s="68"/>
      <c r="DX3" s="74"/>
      <c r="DY3" s="367"/>
      <c r="DZ3" s="75" t="s">
        <v>60</v>
      </c>
      <c r="EA3" s="76" t="s">
        <v>61</v>
      </c>
      <c r="EB3" s="369"/>
      <c r="EC3" s="77"/>
      <c r="ED3" s="404"/>
      <c r="EE3" s="68"/>
      <c r="EF3" s="78"/>
      <c r="EG3" s="371"/>
      <c r="EH3" s="79" t="s">
        <v>62</v>
      </c>
      <c r="EI3" s="79" t="s">
        <v>63</v>
      </c>
      <c r="EJ3" s="80" t="s">
        <v>64</v>
      </c>
      <c r="EK3" s="81" t="s">
        <v>65</v>
      </c>
      <c r="EL3" s="363"/>
      <c r="EM3" s="82"/>
      <c r="EN3" s="78"/>
      <c r="EO3" s="371"/>
      <c r="EP3" s="365"/>
      <c r="EQ3" s="363"/>
      <c r="ER3" s="82"/>
      <c r="ES3" s="83"/>
      <c r="ET3" s="84"/>
      <c r="EU3" s="85" t="s">
        <v>66</v>
      </c>
      <c r="EV3" s="85" t="s">
        <v>67</v>
      </c>
      <c r="EW3" s="85" t="s">
        <v>68</v>
      </c>
      <c r="EX3" s="85" t="s">
        <v>69</v>
      </c>
      <c r="EZ3" s="85" t="s">
        <v>70</v>
      </c>
      <c r="FA3" s="86" t="s">
        <v>71</v>
      </c>
      <c r="FB3" s="87" t="s">
        <v>72</v>
      </c>
      <c r="FC3" s="88"/>
      <c r="FD3" s="88"/>
    </row>
    <row r="4" spans="2:172" s="41" customFormat="1" ht="4.5" customHeight="1" thickBot="1" x14ac:dyDescent="0.3">
      <c r="B4" s="328"/>
      <c r="C4" s="320"/>
      <c r="D4" s="63"/>
      <c r="E4" s="63"/>
      <c r="F4" s="63"/>
      <c r="G4" s="63"/>
      <c r="H4" s="89"/>
      <c r="I4" s="90"/>
      <c r="J4" s="63"/>
      <c r="K4" s="91"/>
      <c r="L4" s="91"/>
      <c r="M4" s="338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92"/>
      <c r="AB4" s="92"/>
      <c r="AC4" s="92"/>
      <c r="AD4" s="92"/>
      <c r="AE4" s="92"/>
      <c r="AF4" s="92"/>
      <c r="AG4" s="93"/>
      <c r="AH4" s="92"/>
      <c r="AI4" s="92"/>
      <c r="AJ4" s="93"/>
      <c r="AK4" s="93"/>
      <c r="AL4" s="93"/>
      <c r="AM4" s="94"/>
      <c r="AN4" s="95"/>
      <c r="AO4" s="96"/>
      <c r="AP4" s="96"/>
      <c r="AQ4" s="63"/>
      <c r="AR4" s="97"/>
      <c r="AS4" s="98"/>
      <c r="AT4" s="63"/>
      <c r="AU4" s="99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1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2"/>
      <c r="BS4" s="103"/>
      <c r="BT4" s="103"/>
      <c r="BU4" s="103"/>
      <c r="BV4" s="103"/>
      <c r="BW4" s="103"/>
      <c r="BX4" s="103"/>
      <c r="BY4" s="103"/>
      <c r="BZ4" s="103"/>
      <c r="CA4" s="103"/>
      <c r="CB4" s="103"/>
      <c r="CC4" s="103"/>
      <c r="CD4" s="104"/>
      <c r="CE4" s="92"/>
      <c r="CF4" s="92"/>
      <c r="CG4" s="92"/>
      <c r="CH4" s="92"/>
      <c r="CI4" s="92"/>
      <c r="CJ4" s="92"/>
      <c r="CK4" s="93"/>
      <c r="CL4" s="93"/>
      <c r="CM4" s="93"/>
      <c r="CN4" s="94"/>
      <c r="CO4" s="103"/>
      <c r="CP4" s="103"/>
      <c r="CQ4" s="105"/>
      <c r="CR4" s="106"/>
      <c r="CS4" s="107"/>
      <c r="CT4" s="96"/>
      <c r="CU4" s="108"/>
      <c r="CV4" s="109"/>
      <c r="CW4" s="110"/>
      <c r="CX4" s="110"/>
      <c r="CY4" s="111"/>
      <c r="CZ4" s="112"/>
      <c r="DA4" s="113"/>
      <c r="DB4" s="112"/>
      <c r="DC4" s="114"/>
      <c r="DD4" s="89"/>
      <c r="DE4" s="89"/>
      <c r="DF4" s="63"/>
      <c r="DG4" s="115"/>
      <c r="DH4" s="116"/>
      <c r="DI4" s="112"/>
      <c r="DJ4" s="89"/>
      <c r="DK4" s="63"/>
      <c r="DL4" s="117"/>
      <c r="DM4" s="115"/>
      <c r="DN4" s="116"/>
      <c r="DO4" s="63"/>
      <c r="DP4" s="63"/>
      <c r="DQ4" s="63"/>
      <c r="DR4" s="63"/>
      <c r="DS4" s="118"/>
      <c r="DT4" s="116"/>
      <c r="DU4" s="112"/>
      <c r="DV4" s="119"/>
      <c r="DW4" s="116"/>
      <c r="DX4" s="112"/>
      <c r="DY4" s="120"/>
      <c r="DZ4" s="63"/>
      <c r="EA4" s="63"/>
      <c r="EB4" s="63"/>
      <c r="EC4" s="63"/>
      <c r="ED4" s="121"/>
      <c r="EE4" s="116"/>
      <c r="EF4" s="122"/>
      <c r="EG4" s="123"/>
      <c r="EH4" s="124"/>
      <c r="EI4" s="124"/>
      <c r="EJ4" s="124"/>
      <c r="EK4" s="124"/>
      <c r="EL4" s="125"/>
      <c r="EM4" s="126"/>
      <c r="EN4" s="122"/>
      <c r="EO4" s="123"/>
      <c r="EP4" s="124"/>
      <c r="EQ4" s="125"/>
      <c r="ER4" s="126"/>
      <c r="ES4" s="112"/>
      <c r="ET4" s="112"/>
      <c r="EU4" s="127"/>
      <c r="EV4" s="127"/>
      <c r="EW4" s="127"/>
      <c r="EX4" s="127"/>
      <c r="EY4" s="63"/>
      <c r="EZ4" s="128"/>
      <c r="FA4" s="129"/>
      <c r="FB4" s="130"/>
      <c r="FC4" s="131"/>
      <c r="FD4" s="131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</row>
    <row r="5" spans="2:172" ht="16" outlineLevel="1" thickBot="1" x14ac:dyDescent="0.4">
      <c r="B5" s="356"/>
      <c r="C5" s="353"/>
      <c r="D5" s="133"/>
      <c r="E5" s="134"/>
      <c r="F5" s="135"/>
      <c r="G5" s="136"/>
      <c r="H5" s="137"/>
      <c r="I5" s="138">
        <f t="shared" ref="I5:I67" si="0">IF(E5&gt;0.0001,0,0)</f>
        <v>0</v>
      </c>
      <c r="J5" s="139"/>
      <c r="K5" s="140">
        <f t="shared" ref="K5:K13" si="1">E5*60</f>
        <v>0</v>
      </c>
      <c r="L5" s="141"/>
      <c r="M5" s="142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2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4"/>
      <c r="AN5" s="145">
        <f t="shared" ref="AN5:AN68" si="2">SUM(M5:AM5)</f>
        <v>0</v>
      </c>
      <c r="AO5" s="146"/>
      <c r="AP5" s="147">
        <f t="shared" ref="AP5:AP68" si="3">K5-AN5</f>
        <v>0</v>
      </c>
      <c r="AQ5" s="148"/>
      <c r="AR5" s="149"/>
      <c r="AS5" s="149"/>
      <c r="AT5" s="135"/>
      <c r="AU5" s="150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2"/>
      <c r="BG5" s="152"/>
      <c r="BH5" s="152"/>
      <c r="BI5" s="152"/>
      <c r="BJ5" s="152"/>
      <c r="BK5" s="152"/>
      <c r="BL5" s="152"/>
      <c r="BM5" s="152"/>
      <c r="BN5" s="152"/>
      <c r="BO5" s="152"/>
      <c r="BP5" s="152"/>
      <c r="BQ5" s="152"/>
      <c r="BR5" s="150"/>
      <c r="BS5" s="151"/>
      <c r="BT5" s="153"/>
      <c r="BU5" s="151"/>
      <c r="BV5" s="151"/>
      <c r="BW5" s="151"/>
      <c r="BX5" s="151"/>
      <c r="BY5" s="151"/>
      <c r="BZ5" s="151"/>
      <c r="CA5" s="151"/>
      <c r="CB5" s="151"/>
      <c r="CC5" s="154"/>
      <c r="CD5" s="150"/>
      <c r="CE5" s="142"/>
      <c r="CF5" s="143"/>
      <c r="CG5" s="143"/>
      <c r="CH5" s="143"/>
      <c r="CI5" s="143"/>
      <c r="CJ5" s="143"/>
      <c r="CK5" s="143"/>
      <c r="CL5" s="143"/>
      <c r="CM5" s="143"/>
      <c r="CN5" s="143"/>
      <c r="CO5" s="346"/>
      <c r="CP5" s="151"/>
      <c r="CQ5" s="152"/>
      <c r="CR5" s="154"/>
      <c r="CS5" s="155">
        <f>SUM(AU5:CR5)</f>
        <v>0</v>
      </c>
      <c r="CT5" s="146"/>
      <c r="CU5" s="147">
        <f t="shared" ref="CU5:CU68" si="4">AP5-CS5</f>
        <v>0</v>
      </c>
      <c r="CV5" s="156"/>
      <c r="CW5" s="157" t="e">
        <f t="shared" ref="CW5:CW68" si="5">(SUM(M5:Z5))/K5</f>
        <v>#DIV/0!</v>
      </c>
      <c r="CX5" s="157" t="e">
        <f t="shared" ref="CX5:CX68" si="6">(SUM(AA5:AM5))/K5</f>
        <v>#DIV/0!</v>
      </c>
      <c r="CY5" s="157" t="e">
        <f t="shared" ref="CY5:CY68" si="7">(SUM(AU5:BQ5))/$K5</f>
        <v>#DIV/0!</v>
      </c>
      <c r="CZ5" s="157" t="e">
        <f t="shared" ref="CZ5:CZ68" si="8">(SUM(BR5:CC5))/K5</f>
        <v>#DIV/0!</v>
      </c>
      <c r="DA5" s="157" t="e">
        <f t="shared" ref="DA5:DA68" si="9">(SUM(CD5:CR5))/K5</f>
        <v>#DIV/0!</v>
      </c>
      <c r="DB5" s="158" t="e">
        <f t="shared" ref="DB5:DB68" si="10">CU5/K5</f>
        <v>#DIV/0!</v>
      </c>
      <c r="DC5" s="131"/>
      <c r="DD5" s="159">
        <f t="shared" ref="DD5:DD68" si="11">AP5</f>
        <v>0</v>
      </c>
      <c r="DE5" s="160">
        <f t="shared" ref="DE5:DE68" si="12">CS5</f>
        <v>0</v>
      </c>
      <c r="DF5" s="161">
        <f t="shared" ref="DF5:DF68" si="13">$DD5-DE5</f>
        <v>0</v>
      </c>
      <c r="DG5" s="162" t="e">
        <f t="shared" ref="DG5:DG68" si="14">DF5/$DD5</f>
        <v>#DIV/0!</v>
      </c>
      <c r="DH5" s="163">
        <f t="shared" ref="DH5:DH68" si="15">IF(AP5&gt;0.01,1,0)</f>
        <v>0</v>
      </c>
      <c r="DI5" s="164"/>
      <c r="DJ5" s="165">
        <f t="shared" ref="DJ5:DK37" si="16">H5</f>
        <v>0</v>
      </c>
      <c r="DK5" s="166">
        <f t="shared" si="16"/>
        <v>0</v>
      </c>
      <c r="DL5" s="167" t="e">
        <f t="shared" ref="DL5:DL68" si="17">DR5/DF5</f>
        <v>#DIV/0!</v>
      </c>
      <c r="DM5" s="168" t="e">
        <f t="shared" ref="DM5:DM68" si="18">DL5/DK5</f>
        <v>#DIV/0!</v>
      </c>
      <c r="DN5" s="163" t="e">
        <f t="shared" ref="DN5:DN68" si="19">IF(DM5&gt;0.01,1,0)</f>
        <v>#DIV/0!</v>
      </c>
      <c r="DO5" s="169"/>
      <c r="DP5" s="170"/>
      <c r="DQ5" s="171"/>
      <c r="DR5" s="172">
        <f t="shared" ref="DR5:DR68" si="20">DP5+DQ5</f>
        <v>0</v>
      </c>
      <c r="DS5" s="173" t="e">
        <f t="shared" ref="DS5:DS68" si="21">IF(DL5=0,0,DP5/DR5)</f>
        <v>#DIV/0!</v>
      </c>
      <c r="DT5" s="163" t="e">
        <f t="shared" ref="DT5:DT68" si="22">IF(DS5&gt;0.01,1,0)</f>
        <v>#DIV/0!</v>
      </c>
      <c r="DU5" s="174"/>
      <c r="DV5" s="175" t="e">
        <f t="shared" ref="DV5:DV68" si="23">DG5*DM5*DS5</f>
        <v>#DIV/0!</v>
      </c>
      <c r="DW5" s="163">
        <f t="shared" ref="DW5:DW68" si="24">IF($AP5&gt;0.01,1,0)</f>
        <v>0</v>
      </c>
      <c r="DX5" s="164"/>
      <c r="DY5" s="176">
        <f t="shared" ref="DY5:DY68" si="25">DP5</f>
        <v>0</v>
      </c>
      <c r="DZ5" s="177">
        <f t="shared" ref="DZ5:DZ68" si="26">DK5</f>
        <v>0</v>
      </c>
      <c r="EA5" s="178">
        <f t="shared" ref="EA5:EA68" si="27">+AP5</f>
        <v>0</v>
      </c>
      <c r="EB5" s="179">
        <f t="shared" ref="EB5:EB68" si="28">DZ5*EA5</f>
        <v>0</v>
      </c>
      <c r="EC5" s="180"/>
      <c r="ED5" s="175" t="e">
        <f t="shared" ref="ED5:ED68" si="29">DY5/EB5</f>
        <v>#DIV/0!</v>
      </c>
      <c r="EE5" s="163">
        <f t="shared" ref="EE5:EE68" si="30">IF($AP5&gt;0.01,1,0)</f>
        <v>0</v>
      </c>
      <c r="EF5" s="164"/>
      <c r="EG5" s="181">
        <f t="shared" ref="EG5:EG68" si="31">DP5</f>
        <v>0</v>
      </c>
      <c r="EH5" s="182">
        <f t="shared" ref="EH5:EH68" si="32">K5</f>
        <v>0</v>
      </c>
      <c r="EI5" s="182">
        <f t="shared" ref="EI5:EI68" si="33">SUM(M5:Z5)</f>
        <v>0</v>
      </c>
      <c r="EJ5" s="182">
        <f t="shared" ref="EJ5:EJ68" si="34">I5</f>
        <v>0</v>
      </c>
      <c r="EK5" s="183">
        <f t="shared" ref="EK5:EK68" si="35">(EH5-EI5)*EJ5</f>
        <v>0</v>
      </c>
      <c r="EL5" s="184" t="e">
        <f t="shared" ref="EL5:EL68" si="36">EG5/EK5</f>
        <v>#DIV/0!</v>
      </c>
      <c r="EM5" s="185">
        <f t="shared" ref="EM5:EM68" si="37">IF(EK5&gt;0.01,1,0)</f>
        <v>0</v>
      </c>
      <c r="EN5" s="164"/>
      <c r="EO5" s="181">
        <f t="shared" ref="EO5:EO68" si="38">EG5</f>
        <v>0</v>
      </c>
      <c r="EP5" s="183">
        <f t="shared" ref="EP5:EP68" si="39">EJ5</f>
        <v>0</v>
      </c>
      <c r="EQ5" s="184" t="e">
        <f t="shared" ref="EQ5:EQ68" si="40">EO5/(EP5*K5)</f>
        <v>#DIV/0!</v>
      </c>
      <c r="ER5" s="185">
        <f t="shared" ref="ER5:ER68" si="41">IF($K5&gt;0.01,1,0)</f>
        <v>0</v>
      </c>
      <c r="ES5" s="164"/>
      <c r="ET5" s="164"/>
      <c r="EU5" s="186">
        <f t="shared" ref="EU5:EU68" si="42">DK5</f>
        <v>0</v>
      </c>
      <c r="EV5" s="186">
        <f t="shared" ref="EV5:EV68" si="43">CU5</f>
        <v>0</v>
      </c>
      <c r="EW5" s="186">
        <f t="shared" ref="EW5:EW68" si="44">I5*CU5</f>
        <v>0</v>
      </c>
      <c r="EX5" s="186">
        <f t="shared" ref="EX5:EX68" si="45">DR5</f>
        <v>0</v>
      </c>
      <c r="EY5" s="131"/>
      <c r="EZ5" s="187">
        <f t="shared" ref="EZ5:EZ68" si="46">EW5-EX5</f>
        <v>0</v>
      </c>
      <c r="FA5" s="188" t="e">
        <f t="shared" ref="FA5:FA68" si="47">+IF(EZ5/I5&lt;0,0,(EZ5/I5))</f>
        <v>#DIV/0!</v>
      </c>
      <c r="FB5" s="189"/>
      <c r="FC5" s="131"/>
      <c r="FD5" s="131"/>
      <c r="FE5" s="131"/>
      <c r="FF5" s="131"/>
      <c r="FG5" s="131"/>
    </row>
    <row r="6" spans="2:172" ht="16" outlineLevel="1" thickBot="1" x14ac:dyDescent="0.4">
      <c r="B6" s="357"/>
      <c r="C6" s="354"/>
      <c r="D6" s="190"/>
      <c r="E6" s="191"/>
      <c r="F6" s="135"/>
      <c r="G6" s="192"/>
      <c r="H6" s="137"/>
      <c r="I6" s="138">
        <f t="shared" si="0"/>
        <v>0</v>
      </c>
      <c r="J6" s="139"/>
      <c r="K6" s="193">
        <f t="shared" si="1"/>
        <v>0</v>
      </c>
      <c r="L6" s="141"/>
      <c r="M6" s="194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4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6"/>
      <c r="AN6" s="197">
        <f t="shared" si="2"/>
        <v>0</v>
      </c>
      <c r="AO6" s="146"/>
      <c r="AP6" s="147">
        <f t="shared" si="3"/>
        <v>0</v>
      </c>
      <c r="AQ6" s="148"/>
      <c r="AR6" s="198"/>
      <c r="AS6" s="198"/>
      <c r="AT6" s="135"/>
      <c r="AU6" s="199"/>
      <c r="AV6" s="200"/>
      <c r="AW6" s="200"/>
      <c r="AX6" s="200"/>
      <c r="AY6" s="200"/>
      <c r="AZ6" s="200"/>
      <c r="BA6" s="200"/>
      <c r="BB6" s="200"/>
      <c r="BC6" s="200"/>
      <c r="BD6" s="200"/>
      <c r="BE6" s="200"/>
      <c r="BF6" s="201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199"/>
      <c r="BS6" s="200"/>
      <c r="BT6" s="200"/>
      <c r="BU6" s="200"/>
      <c r="BV6" s="200"/>
      <c r="BW6" s="200"/>
      <c r="BX6" s="200"/>
      <c r="BY6" s="200"/>
      <c r="BZ6" s="200"/>
      <c r="CA6" s="200"/>
      <c r="CB6" s="200"/>
      <c r="CC6" s="202"/>
      <c r="CD6" s="199"/>
      <c r="CE6" s="194"/>
      <c r="CF6" s="195"/>
      <c r="CG6" s="195"/>
      <c r="CH6" s="195"/>
      <c r="CI6" s="195"/>
      <c r="CJ6" s="195"/>
      <c r="CK6" s="195"/>
      <c r="CL6" s="195"/>
      <c r="CM6" s="195"/>
      <c r="CN6" s="195"/>
      <c r="CO6" s="347"/>
      <c r="CP6" s="200"/>
      <c r="CQ6" s="201"/>
      <c r="CR6" s="202"/>
      <c r="CS6" s="203">
        <f t="shared" ref="CS6:CS68" si="48">SUM(AU6:CR6)</f>
        <v>0</v>
      </c>
      <c r="CT6" s="146"/>
      <c r="CU6" s="147">
        <f t="shared" si="4"/>
        <v>0</v>
      </c>
      <c r="CV6" s="156"/>
      <c r="CW6" s="157" t="e">
        <f t="shared" si="5"/>
        <v>#DIV/0!</v>
      </c>
      <c r="CX6" s="157" t="e">
        <f t="shared" si="6"/>
        <v>#DIV/0!</v>
      </c>
      <c r="CY6" s="157" t="e">
        <f t="shared" si="7"/>
        <v>#DIV/0!</v>
      </c>
      <c r="CZ6" s="157" t="e">
        <f t="shared" si="8"/>
        <v>#DIV/0!</v>
      </c>
      <c r="DA6" s="157" t="e">
        <f t="shared" si="9"/>
        <v>#DIV/0!</v>
      </c>
      <c r="DB6" s="158" t="e">
        <f t="shared" si="10"/>
        <v>#DIV/0!</v>
      </c>
      <c r="DC6" s="131"/>
      <c r="DD6" s="159">
        <f t="shared" si="11"/>
        <v>0</v>
      </c>
      <c r="DE6" s="160">
        <f t="shared" si="12"/>
        <v>0</v>
      </c>
      <c r="DF6" s="161">
        <f t="shared" si="13"/>
        <v>0</v>
      </c>
      <c r="DG6" s="162" t="e">
        <f t="shared" si="14"/>
        <v>#DIV/0!</v>
      </c>
      <c r="DH6" s="163">
        <f t="shared" si="15"/>
        <v>0</v>
      </c>
      <c r="DI6" s="164"/>
      <c r="DJ6" s="165">
        <f t="shared" si="16"/>
        <v>0</v>
      </c>
      <c r="DK6" s="166">
        <f t="shared" si="16"/>
        <v>0</v>
      </c>
      <c r="DL6" s="167" t="e">
        <f t="shared" si="17"/>
        <v>#DIV/0!</v>
      </c>
      <c r="DM6" s="168" t="e">
        <f t="shared" si="18"/>
        <v>#DIV/0!</v>
      </c>
      <c r="DN6" s="163" t="e">
        <f t="shared" si="19"/>
        <v>#DIV/0!</v>
      </c>
      <c r="DO6" s="169"/>
      <c r="DP6" s="170"/>
      <c r="DQ6" s="171"/>
      <c r="DR6" s="172">
        <f t="shared" si="20"/>
        <v>0</v>
      </c>
      <c r="DS6" s="173" t="e">
        <f t="shared" si="21"/>
        <v>#DIV/0!</v>
      </c>
      <c r="DT6" s="163" t="e">
        <f t="shared" si="22"/>
        <v>#DIV/0!</v>
      </c>
      <c r="DU6" s="174"/>
      <c r="DV6" s="175" t="e">
        <f t="shared" si="23"/>
        <v>#DIV/0!</v>
      </c>
      <c r="DW6" s="163">
        <f t="shared" si="24"/>
        <v>0</v>
      </c>
      <c r="DX6" s="164"/>
      <c r="DY6" s="176">
        <f t="shared" si="25"/>
        <v>0</v>
      </c>
      <c r="DZ6" s="177">
        <f t="shared" si="26"/>
        <v>0</v>
      </c>
      <c r="EA6" s="178">
        <f t="shared" si="27"/>
        <v>0</v>
      </c>
      <c r="EB6" s="179">
        <f t="shared" si="28"/>
        <v>0</v>
      </c>
      <c r="EC6" s="180"/>
      <c r="ED6" s="175" t="e">
        <f t="shared" si="29"/>
        <v>#DIV/0!</v>
      </c>
      <c r="EE6" s="163">
        <f t="shared" si="30"/>
        <v>0</v>
      </c>
      <c r="EF6" s="164"/>
      <c r="EG6" s="181">
        <f t="shared" si="31"/>
        <v>0</v>
      </c>
      <c r="EH6" s="182">
        <f t="shared" si="32"/>
        <v>0</v>
      </c>
      <c r="EI6" s="182">
        <f t="shared" si="33"/>
        <v>0</v>
      </c>
      <c r="EJ6" s="182">
        <f t="shared" si="34"/>
        <v>0</v>
      </c>
      <c r="EK6" s="183">
        <f t="shared" si="35"/>
        <v>0</v>
      </c>
      <c r="EL6" s="184" t="e">
        <f t="shared" si="36"/>
        <v>#DIV/0!</v>
      </c>
      <c r="EM6" s="185">
        <f t="shared" si="37"/>
        <v>0</v>
      </c>
      <c r="EN6" s="164"/>
      <c r="EO6" s="181">
        <f t="shared" si="38"/>
        <v>0</v>
      </c>
      <c r="EP6" s="183">
        <f t="shared" si="39"/>
        <v>0</v>
      </c>
      <c r="EQ6" s="184" t="e">
        <f t="shared" si="40"/>
        <v>#DIV/0!</v>
      </c>
      <c r="ER6" s="185">
        <f t="shared" si="41"/>
        <v>0</v>
      </c>
      <c r="ES6" s="164"/>
      <c r="ET6" s="164"/>
      <c r="EU6" s="186">
        <f t="shared" si="42"/>
        <v>0</v>
      </c>
      <c r="EV6" s="186">
        <f t="shared" si="43"/>
        <v>0</v>
      </c>
      <c r="EW6" s="186">
        <f t="shared" si="44"/>
        <v>0</v>
      </c>
      <c r="EX6" s="186">
        <f t="shared" si="45"/>
        <v>0</v>
      </c>
      <c r="EY6" s="131"/>
      <c r="EZ6" s="187">
        <f t="shared" si="46"/>
        <v>0</v>
      </c>
      <c r="FA6" s="188" t="e">
        <f t="shared" si="47"/>
        <v>#DIV/0!</v>
      </c>
      <c r="FB6" s="189"/>
      <c r="FC6" s="131"/>
      <c r="FD6" s="131"/>
      <c r="FE6" s="131"/>
      <c r="FF6" s="131"/>
      <c r="FG6" s="131"/>
    </row>
    <row r="7" spans="2:172" ht="16" outlineLevel="1" thickBot="1" x14ac:dyDescent="0.4">
      <c r="B7" s="358"/>
      <c r="C7" s="355"/>
      <c r="D7" s="204"/>
      <c r="E7" s="205"/>
      <c r="F7" s="135"/>
      <c r="G7" s="206"/>
      <c r="H7" s="207"/>
      <c r="I7" s="138">
        <f t="shared" si="0"/>
        <v>0</v>
      </c>
      <c r="J7" s="139"/>
      <c r="K7" s="208">
        <f t="shared" si="1"/>
        <v>0</v>
      </c>
      <c r="L7" s="141"/>
      <c r="M7" s="209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09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1"/>
      <c r="AN7" s="212">
        <f t="shared" si="2"/>
        <v>0</v>
      </c>
      <c r="AO7" s="146"/>
      <c r="AP7" s="147">
        <f t="shared" si="3"/>
        <v>0</v>
      </c>
      <c r="AQ7" s="148"/>
      <c r="AR7" s="213"/>
      <c r="AS7" s="213"/>
      <c r="AT7" s="135"/>
      <c r="AU7" s="214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6"/>
      <c r="BG7" s="216"/>
      <c r="BH7" s="216"/>
      <c r="BI7" s="216"/>
      <c r="BJ7" s="216"/>
      <c r="BK7" s="216"/>
      <c r="BL7" s="216"/>
      <c r="BM7" s="216"/>
      <c r="BN7" s="216"/>
      <c r="BO7" s="216"/>
      <c r="BP7" s="216"/>
      <c r="BQ7" s="216"/>
      <c r="BR7" s="214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7"/>
      <c r="CD7" s="214"/>
      <c r="CE7" s="209"/>
      <c r="CF7" s="210"/>
      <c r="CG7" s="210"/>
      <c r="CH7" s="210"/>
      <c r="CI7" s="210"/>
      <c r="CJ7" s="210"/>
      <c r="CK7" s="210"/>
      <c r="CL7" s="210"/>
      <c r="CM7" s="210"/>
      <c r="CN7" s="210"/>
      <c r="CO7" s="348"/>
      <c r="CP7" s="215"/>
      <c r="CQ7" s="216"/>
      <c r="CR7" s="217"/>
      <c r="CS7" s="218">
        <f t="shared" si="48"/>
        <v>0</v>
      </c>
      <c r="CT7" s="146"/>
      <c r="CU7" s="147">
        <f t="shared" si="4"/>
        <v>0</v>
      </c>
      <c r="CV7" s="156"/>
      <c r="CW7" s="157" t="e">
        <f t="shared" si="5"/>
        <v>#DIV/0!</v>
      </c>
      <c r="CX7" s="157" t="e">
        <f t="shared" si="6"/>
        <v>#DIV/0!</v>
      </c>
      <c r="CY7" s="157" t="e">
        <f t="shared" si="7"/>
        <v>#DIV/0!</v>
      </c>
      <c r="CZ7" s="157" t="e">
        <f t="shared" si="8"/>
        <v>#DIV/0!</v>
      </c>
      <c r="DA7" s="157" t="e">
        <f t="shared" si="9"/>
        <v>#DIV/0!</v>
      </c>
      <c r="DB7" s="158" t="e">
        <f t="shared" si="10"/>
        <v>#DIV/0!</v>
      </c>
      <c r="DC7" s="131"/>
      <c r="DD7" s="159">
        <f t="shared" si="11"/>
        <v>0</v>
      </c>
      <c r="DE7" s="160">
        <f t="shared" si="12"/>
        <v>0</v>
      </c>
      <c r="DF7" s="161">
        <f t="shared" si="13"/>
        <v>0</v>
      </c>
      <c r="DG7" s="162" t="e">
        <f t="shared" si="14"/>
        <v>#DIV/0!</v>
      </c>
      <c r="DH7" s="163">
        <f t="shared" si="15"/>
        <v>0</v>
      </c>
      <c r="DI7" s="164"/>
      <c r="DJ7" s="165">
        <f t="shared" si="16"/>
        <v>0</v>
      </c>
      <c r="DK7" s="166">
        <f t="shared" si="16"/>
        <v>0</v>
      </c>
      <c r="DL7" s="167" t="e">
        <f t="shared" si="17"/>
        <v>#DIV/0!</v>
      </c>
      <c r="DM7" s="168" t="e">
        <f t="shared" si="18"/>
        <v>#DIV/0!</v>
      </c>
      <c r="DN7" s="163" t="e">
        <f t="shared" si="19"/>
        <v>#DIV/0!</v>
      </c>
      <c r="DO7" s="169"/>
      <c r="DP7" s="170"/>
      <c r="DQ7" s="171"/>
      <c r="DR7" s="172">
        <f t="shared" si="20"/>
        <v>0</v>
      </c>
      <c r="DS7" s="173" t="e">
        <f t="shared" si="21"/>
        <v>#DIV/0!</v>
      </c>
      <c r="DT7" s="163" t="e">
        <f t="shared" si="22"/>
        <v>#DIV/0!</v>
      </c>
      <c r="DU7" s="174"/>
      <c r="DV7" s="175" t="e">
        <f t="shared" si="23"/>
        <v>#DIV/0!</v>
      </c>
      <c r="DW7" s="163">
        <f t="shared" si="24"/>
        <v>0</v>
      </c>
      <c r="DX7" s="164"/>
      <c r="DY7" s="176">
        <f t="shared" si="25"/>
        <v>0</v>
      </c>
      <c r="DZ7" s="177">
        <f t="shared" si="26"/>
        <v>0</v>
      </c>
      <c r="EA7" s="178">
        <f t="shared" si="27"/>
        <v>0</v>
      </c>
      <c r="EB7" s="179">
        <f t="shared" si="28"/>
        <v>0</v>
      </c>
      <c r="EC7" s="180"/>
      <c r="ED7" s="175" t="e">
        <f t="shared" si="29"/>
        <v>#DIV/0!</v>
      </c>
      <c r="EE7" s="163">
        <f t="shared" si="30"/>
        <v>0</v>
      </c>
      <c r="EF7" s="164"/>
      <c r="EG7" s="181">
        <f t="shared" si="31"/>
        <v>0</v>
      </c>
      <c r="EH7" s="182">
        <f t="shared" si="32"/>
        <v>0</v>
      </c>
      <c r="EI7" s="182">
        <f t="shared" si="33"/>
        <v>0</v>
      </c>
      <c r="EJ7" s="182">
        <f t="shared" si="34"/>
        <v>0</v>
      </c>
      <c r="EK7" s="183">
        <f t="shared" si="35"/>
        <v>0</v>
      </c>
      <c r="EL7" s="184" t="e">
        <f t="shared" si="36"/>
        <v>#DIV/0!</v>
      </c>
      <c r="EM7" s="185">
        <f t="shared" si="37"/>
        <v>0</v>
      </c>
      <c r="EN7" s="164"/>
      <c r="EO7" s="181">
        <f t="shared" si="38"/>
        <v>0</v>
      </c>
      <c r="EP7" s="183">
        <f t="shared" si="39"/>
        <v>0</v>
      </c>
      <c r="EQ7" s="184" t="e">
        <f t="shared" si="40"/>
        <v>#DIV/0!</v>
      </c>
      <c r="ER7" s="185">
        <f t="shared" si="41"/>
        <v>0</v>
      </c>
      <c r="ES7" s="164"/>
      <c r="ET7" s="164"/>
      <c r="EU7" s="186">
        <f t="shared" si="42"/>
        <v>0</v>
      </c>
      <c r="EV7" s="186">
        <f t="shared" si="43"/>
        <v>0</v>
      </c>
      <c r="EW7" s="186">
        <f t="shared" si="44"/>
        <v>0</v>
      </c>
      <c r="EX7" s="186">
        <f t="shared" si="45"/>
        <v>0</v>
      </c>
      <c r="EY7" s="131"/>
      <c r="EZ7" s="187">
        <f t="shared" si="46"/>
        <v>0</v>
      </c>
      <c r="FA7" s="188" t="e">
        <f t="shared" si="47"/>
        <v>#DIV/0!</v>
      </c>
      <c r="FB7" s="189"/>
      <c r="FC7" s="131"/>
      <c r="FD7" s="131"/>
      <c r="FE7" s="131"/>
      <c r="FF7" s="131"/>
      <c r="FG7" s="131"/>
    </row>
    <row r="8" spans="2:172" ht="16" outlineLevel="1" thickBot="1" x14ac:dyDescent="0.4">
      <c r="B8" s="356"/>
      <c r="C8" s="353"/>
      <c r="D8" s="133"/>
      <c r="E8" s="134"/>
      <c r="F8" s="135"/>
      <c r="G8" s="136"/>
      <c r="H8" s="137"/>
      <c r="I8" s="138">
        <f t="shared" si="0"/>
        <v>0</v>
      </c>
      <c r="J8" s="139"/>
      <c r="K8" s="140">
        <f t="shared" si="1"/>
        <v>0</v>
      </c>
      <c r="L8" s="141"/>
      <c r="M8" s="142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2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4"/>
      <c r="AN8" s="145">
        <f t="shared" si="2"/>
        <v>0</v>
      </c>
      <c r="AO8" s="146"/>
      <c r="AP8" s="147">
        <f t="shared" si="3"/>
        <v>0</v>
      </c>
      <c r="AQ8" s="148"/>
      <c r="AR8" s="149"/>
      <c r="AS8" s="149"/>
      <c r="AT8" s="135"/>
      <c r="AU8" s="150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2"/>
      <c r="BG8" s="152"/>
      <c r="BH8" s="152"/>
      <c r="BI8" s="152"/>
      <c r="BJ8" s="152"/>
      <c r="BK8" s="152"/>
      <c r="BL8" s="152"/>
      <c r="BM8" s="152"/>
      <c r="BN8" s="152"/>
      <c r="BO8" s="152"/>
      <c r="BP8" s="152"/>
      <c r="BQ8" s="152"/>
      <c r="BR8" s="150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4"/>
      <c r="CD8" s="150"/>
      <c r="CE8" s="142"/>
      <c r="CF8" s="143"/>
      <c r="CG8" s="143"/>
      <c r="CH8" s="143"/>
      <c r="CI8" s="143"/>
      <c r="CJ8" s="143"/>
      <c r="CK8" s="143"/>
      <c r="CL8" s="143"/>
      <c r="CM8" s="143"/>
      <c r="CN8" s="143"/>
      <c r="CO8" s="346"/>
      <c r="CP8" s="151"/>
      <c r="CQ8" s="152"/>
      <c r="CR8" s="154"/>
      <c r="CS8" s="155">
        <f t="shared" si="48"/>
        <v>0</v>
      </c>
      <c r="CT8" s="146"/>
      <c r="CU8" s="147">
        <f t="shared" si="4"/>
        <v>0</v>
      </c>
      <c r="CV8" s="156"/>
      <c r="CW8" s="157" t="e">
        <f t="shared" si="5"/>
        <v>#DIV/0!</v>
      </c>
      <c r="CX8" s="157" t="e">
        <f t="shared" si="6"/>
        <v>#DIV/0!</v>
      </c>
      <c r="CY8" s="157" t="e">
        <f t="shared" si="7"/>
        <v>#DIV/0!</v>
      </c>
      <c r="CZ8" s="157" t="e">
        <f t="shared" si="8"/>
        <v>#DIV/0!</v>
      </c>
      <c r="DA8" s="157" t="e">
        <f t="shared" si="9"/>
        <v>#DIV/0!</v>
      </c>
      <c r="DB8" s="158" t="e">
        <f t="shared" si="10"/>
        <v>#DIV/0!</v>
      </c>
      <c r="DC8" s="131"/>
      <c r="DD8" s="159">
        <f t="shared" si="11"/>
        <v>0</v>
      </c>
      <c r="DE8" s="160">
        <f t="shared" si="12"/>
        <v>0</v>
      </c>
      <c r="DF8" s="161">
        <f t="shared" si="13"/>
        <v>0</v>
      </c>
      <c r="DG8" s="162" t="e">
        <f t="shared" si="14"/>
        <v>#DIV/0!</v>
      </c>
      <c r="DH8" s="163">
        <f t="shared" si="15"/>
        <v>0</v>
      </c>
      <c r="DI8" s="164"/>
      <c r="DJ8" s="165">
        <f t="shared" si="16"/>
        <v>0</v>
      </c>
      <c r="DK8" s="166">
        <f t="shared" si="16"/>
        <v>0</v>
      </c>
      <c r="DL8" s="167" t="e">
        <f t="shared" si="17"/>
        <v>#DIV/0!</v>
      </c>
      <c r="DM8" s="168" t="e">
        <f t="shared" si="18"/>
        <v>#DIV/0!</v>
      </c>
      <c r="DN8" s="163" t="e">
        <f t="shared" si="19"/>
        <v>#DIV/0!</v>
      </c>
      <c r="DO8" s="169"/>
      <c r="DP8" s="170"/>
      <c r="DQ8" s="171"/>
      <c r="DR8" s="172">
        <f t="shared" si="20"/>
        <v>0</v>
      </c>
      <c r="DS8" s="173" t="e">
        <f t="shared" si="21"/>
        <v>#DIV/0!</v>
      </c>
      <c r="DT8" s="163" t="e">
        <f t="shared" si="22"/>
        <v>#DIV/0!</v>
      </c>
      <c r="DU8" s="174"/>
      <c r="DV8" s="175" t="e">
        <f t="shared" si="23"/>
        <v>#DIV/0!</v>
      </c>
      <c r="DW8" s="163">
        <f t="shared" si="24"/>
        <v>0</v>
      </c>
      <c r="DX8" s="164"/>
      <c r="DY8" s="176">
        <f t="shared" si="25"/>
        <v>0</v>
      </c>
      <c r="DZ8" s="177">
        <f t="shared" si="26"/>
        <v>0</v>
      </c>
      <c r="EA8" s="178">
        <f t="shared" si="27"/>
        <v>0</v>
      </c>
      <c r="EB8" s="179">
        <f t="shared" si="28"/>
        <v>0</v>
      </c>
      <c r="EC8" s="180"/>
      <c r="ED8" s="175" t="e">
        <f t="shared" si="29"/>
        <v>#DIV/0!</v>
      </c>
      <c r="EE8" s="163">
        <f t="shared" si="30"/>
        <v>0</v>
      </c>
      <c r="EF8" s="164"/>
      <c r="EG8" s="181">
        <f t="shared" si="31"/>
        <v>0</v>
      </c>
      <c r="EH8" s="182">
        <f t="shared" si="32"/>
        <v>0</v>
      </c>
      <c r="EI8" s="182">
        <f t="shared" si="33"/>
        <v>0</v>
      </c>
      <c r="EJ8" s="182">
        <f t="shared" si="34"/>
        <v>0</v>
      </c>
      <c r="EK8" s="183">
        <f t="shared" si="35"/>
        <v>0</v>
      </c>
      <c r="EL8" s="184" t="e">
        <f t="shared" si="36"/>
        <v>#DIV/0!</v>
      </c>
      <c r="EM8" s="185">
        <f t="shared" si="37"/>
        <v>0</v>
      </c>
      <c r="EN8" s="164"/>
      <c r="EO8" s="181">
        <f t="shared" si="38"/>
        <v>0</v>
      </c>
      <c r="EP8" s="183">
        <f t="shared" si="39"/>
        <v>0</v>
      </c>
      <c r="EQ8" s="184" t="e">
        <f t="shared" si="40"/>
        <v>#DIV/0!</v>
      </c>
      <c r="ER8" s="185">
        <f t="shared" si="41"/>
        <v>0</v>
      </c>
      <c r="ES8" s="164"/>
      <c r="ET8" s="164"/>
      <c r="EU8" s="186">
        <f t="shared" si="42"/>
        <v>0</v>
      </c>
      <c r="EV8" s="186">
        <f t="shared" si="43"/>
        <v>0</v>
      </c>
      <c r="EW8" s="186">
        <f t="shared" si="44"/>
        <v>0</v>
      </c>
      <c r="EX8" s="186">
        <f t="shared" si="45"/>
        <v>0</v>
      </c>
      <c r="EY8" s="131"/>
      <c r="EZ8" s="187">
        <f t="shared" si="46"/>
        <v>0</v>
      </c>
      <c r="FA8" s="188" t="e">
        <f t="shared" si="47"/>
        <v>#DIV/0!</v>
      </c>
      <c r="FB8" s="189"/>
      <c r="FC8" s="131"/>
      <c r="FD8" s="131"/>
      <c r="FE8" s="131"/>
      <c r="FF8" s="131"/>
      <c r="FG8" s="131"/>
    </row>
    <row r="9" spans="2:172" ht="16" outlineLevel="1" thickBot="1" x14ac:dyDescent="0.4">
      <c r="B9" s="357"/>
      <c r="C9" s="354"/>
      <c r="D9" s="190"/>
      <c r="E9" s="191"/>
      <c r="F9" s="135"/>
      <c r="G9" s="192"/>
      <c r="H9" s="137"/>
      <c r="I9" s="138">
        <f t="shared" si="0"/>
        <v>0</v>
      </c>
      <c r="J9" s="139"/>
      <c r="K9" s="193">
        <f t="shared" si="1"/>
        <v>0</v>
      </c>
      <c r="L9" s="141"/>
      <c r="M9" s="194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4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6"/>
      <c r="AN9" s="197">
        <f t="shared" si="2"/>
        <v>0</v>
      </c>
      <c r="AO9" s="146"/>
      <c r="AP9" s="147">
        <f t="shared" si="3"/>
        <v>0</v>
      </c>
      <c r="AQ9" s="148"/>
      <c r="AR9" s="198"/>
      <c r="AS9" s="198"/>
      <c r="AT9" s="135"/>
      <c r="AU9" s="199"/>
      <c r="AV9" s="200"/>
      <c r="AW9" s="200"/>
      <c r="AX9" s="200"/>
      <c r="AY9" s="200"/>
      <c r="AZ9" s="200"/>
      <c r="BA9" s="200"/>
      <c r="BB9" s="200"/>
      <c r="BC9" s="200"/>
      <c r="BD9" s="200"/>
      <c r="BE9" s="200"/>
      <c r="BF9" s="201"/>
      <c r="BG9" s="201"/>
      <c r="BH9" s="201"/>
      <c r="BI9" s="201"/>
      <c r="BJ9" s="201"/>
      <c r="BK9" s="201"/>
      <c r="BL9" s="201"/>
      <c r="BM9" s="201"/>
      <c r="BN9" s="201"/>
      <c r="BO9" s="201"/>
      <c r="BP9" s="201"/>
      <c r="BQ9" s="201"/>
      <c r="BR9" s="199"/>
      <c r="BS9" s="200"/>
      <c r="BT9" s="200"/>
      <c r="BU9" s="200"/>
      <c r="BV9" s="200"/>
      <c r="BW9" s="200"/>
      <c r="BX9" s="200"/>
      <c r="BY9" s="200"/>
      <c r="BZ9" s="200"/>
      <c r="CA9" s="200"/>
      <c r="CB9" s="200"/>
      <c r="CC9" s="202"/>
      <c r="CD9" s="199"/>
      <c r="CE9" s="194"/>
      <c r="CF9" s="195"/>
      <c r="CG9" s="195"/>
      <c r="CH9" s="195"/>
      <c r="CI9" s="195"/>
      <c r="CJ9" s="195"/>
      <c r="CK9" s="195"/>
      <c r="CL9" s="195"/>
      <c r="CM9" s="195"/>
      <c r="CN9" s="195"/>
      <c r="CO9" s="347"/>
      <c r="CP9" s="200"/>
      <c r="CQ9" s="201"/>
      <c r="CR9" s="202"/>
      <c r="CS9" s="203">
        <f t="shared" si="48"/>
        <v>0</v>
      </c>
      <c r="CT9" s="146"/>
      <c r="CU9" s="147">
        <f t="shared" si="4"/>
        <v>0</v>
      </c>
      <c r="CV9" s="156"/>
      <c r="CW9" s="157" t="e">
        <f t="shared" si="5"/>
        <v>#DIV/0!</v>
      </c>
      <c r="CX9" s="157" t="e">
        <f t="shared" si="6"/>
        <v>#DIV/0!</v>
      </c>
      <c r="CY9" s="157" t="e">
        <f t="shared" si="7"/>
        <v>#DIV/0!</v>
      </c>
      <c r="CZ9" s="157" t="e">
        <f t="shared" si="8"/>
        <v>#DIV/0!</v>
      </c>
      <c r="DA9" s="157" t="e">
        <f t="shared" si="9"/>
        <v>#DIV/0!</v>
      </c>
      <c r="DB9" s="158" t="e">
        <f t="shared" si="10"/>
        <v>#DIV/0!</v>
      </c>
      <c r="DC9" s="131"/>
      <c r="DD9" s="159">
        <f t="shared" si="11"/>
        <v>0</v>
      </c>
      <c r="DE9" s="160">
        <f t="shared" si="12"/>
        <v>0</v>
      </c>
      <c r="DF9" s="161">
        <f t="shared" si="13"/>
        <v>0</v>
      </c>
      <c r="DG9" s="162" t="e">
        <f t="shared" si="14"/>
        <v>#DIV/0!</v>
      </c>
      <c r="DH9" s="163">
        <f t="shared" si="15"/>
        <v>0</v>
      </c>
      <c r="DI9" s="164"/>
      <c r="DJ9" s="165">
        <f t="shared" si="16"/>
        <v>0</v>
      </c>
      <c r="DK9" s="166">
        <f t="shared" si="16"/>
        <v>0</v>
      </c>
      <c r="DL9" s="167" t="e">
        <f t="shared" si="17"/>
        <v>#DIV/0!</v>
      </c>
      <c r="DM9" s="168" t="e">
        <f t="shared" si="18"/>
        <v>#DIV/0!</v>
      </c>
      <c r="DN9" s="163" t="e">
        <f t="shared" si="19"/>
        <v>#DIV/0!</v>
      </c>
      <c r="DO9" s="169"/>
      <c r="DP9" s="170"/>
      <c r="DQ9" s="171"/>
      <c r="DR9" s="172">
        <f t="shared" si="20"/>
        <v>0</v>
      </c>
      <c r="DS9" s="173" t="e">
        <f t="shared" si="21"/>
        <v>#DIV/0!</v>
      </c>
      <c r="DT9" s="163" t="e">
        <f t="shared" si="22"/>
        <v>#DIV/0!</v>
      </c>
      <c r="DU9" s="174"/>
      <c r="DV9" s="175" t="e">
        <f t="shared" si="23"/>
        <v>#DIV/0!</v>
      </c>
      <c r="DW9" s="163">
        <f t="shared" si="24"/>
        <v>0</v>
      </c>
      <c r="DX9" s="164"/>
      <c r="DY9" s="176">
        <f t="shared" si="25"/>
        <v>0</v>
      </c>
      <c r="DZ9" s="177">
        <f t="shared" si="26"/>
        <v>0</v>
      </c>
      <c r="EA9" s="178">
        <f t="shared" si="27"/>
        <v>0</v>
      </c>
      <c r="EB9" s="179">
        <f t="shared" si="28"/>
        <v>0</v>
      </c>
      <c r="EC9" s="180"/>
      <c r="ED9" s="175" t="e">
        <f t="shared" si="29"/>
        <v>#DIV/0!</v>
      </c>
      <c r="EE9" s="163">
        <f t="shared" si="30"/>
        <v>0</v>
      </c>
      <c r="EF9" s="164"/>
      <c r="EG9" s="181">
        <f t="shared" si="31"/>
        <v>0</v>
      </c>
      <c r="EH9" s="182">
        <f t="shared" si="32"/>
        <v>0</v>
      </c>
      <c r="EI9" s="182">
        <f t="shared" si="33"/>
        <v>0</v>
      </c>
      <c r="EJ9" s="182">
        <f t="shared" si="34"/>
        <v>0</v>
      </c>
      <c r="EK9" s="183">
        <f t="shared" si="35"/>
        <v>0</v>
      </c>
      <c r="EL9" s="184" t="e">
        <f t="shared" si="36"/>
        <v>#DIV/0!</v>
      </c>
      <c r="EM9" s="185">
        <f t="shared" si="37"/>
        <v>0</v>
      </c>
      <c r="EN9" s="164"/>
      <c r="EO9" s="181">
        <f t="shared" si="38"/>
        <v>0</v>
      </c>
      <c r="EP9" s="183">
        <f t="shared" si="39"/>
        <v>0</v>
      </c>
      <c r="EQ9" s="184" t="e">
        <f t="shared" si="40"/>
        <v>#DIV/0!</v>
      </c>
      <c r="ER9" s="185">
        <f t="shared" si="41"/>
        <v>0</v>
      </c>
      <c r="ES9" s="164"/>
      <c r="ET9" s="164"/>
      <c r="EU9" s="186">
        <f t="shared" si="42"/>
        <v>0</v>
      </c>
      <c r="EV9" s="186">
        <f t="shared" si="43"/>
        <v>0</v>
      </c>
      <c r="EW9" s="186">
        <f t="shared" si="44"/>
        <v>0</v>
      </c>
      <c r="EX9" s="186">
        <f t="shared" si="45"/>
        <v>0</v>
      </c>
      <c r="EY9" s="131"/>
      <c r="EZ9" s="187">
        <f t="shared" si="46"/>
        <v>0</v>
      </c>
      <c r="FA9" s="188" t="e">
        <f t="shared" si="47"/>
        <v>#DIV/0!</v>
      </c>
      <c r="FB9" s="189"/>
      <c r="FC9" s="131"/>
      <c r="FD9" s="131"/>
      <c r="FE9" s="131"/>
      <c r="FF9" s="131"/>
      <c r="FG9" s="131"/>
    </row>
    <row r="10" spans="2:172" ht="16" outlineLevel="1" thickBot="1" x14ac:dyDescent="0.4">
      <c r="B10" s="358"/>
      <c r="C10" s="355"/>
      <c r="D10" s="204"/>
      <c r="E10" s="205"/>
      <c r="F10" s="135"/>
      <c r="G10" s="206"/>
      <c r="H10" s="207"/>
      <c r="I10" s="138">
        <f t="shared" si="0"/>
        <v>0</v>
      </c>
      <c r="J10" s="139"/>
      <c r="K10" s="208">
        <f t="shared" si="1"/>
        <v>0</v>
      </c>
      <c r="L10" s="141"/>
      <c r="M10" s="209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09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1"/>
      <c r="AN10" s="212">
        <f t="shared" si="2"/>
        <v>0</v>
      </c>
      <c r="AO10" s="146"/>
      <c r="AP10" s="147">
        <f t="shared" si="3"/>
        <v>0</v>
      </c>
      <c r="AQ10" s="148"/>
      <c r="AR10" s="213"/>
      <c r="AS10" s="213"/>
      <c r="AT10" s="135"/>
      <c r="AU10" s="214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6"/>
      <c r="BG10" s="216"/>
      <c r="BH10" s="216"/>
      <c r="BI10" s="216"/>
      <c r="BJ10" s="216"/>
      <c r="BK10" s="216"/>
      <c r="BL10" s="216"/>
      <c r="BM10" s="216"/>
      <c r="BN10" s="216"/>
      <c r="BO10" s="216"/>
      <c r="BP10" s="216"/>
      <c r="BQ10" s="216"/>
      <c r="BR10" s="214"/>
      <c r="BS10" s="215"/>
      <c r="BT10" s="215"/>
      <c r="BU10" s="215"/>
      <c r="BV10" s="215"/>
      <c r="BW10" s="215"/>
      <c r="BX10" s="215"/>
      <c r="BY10" s="215"/>
      <c r="BZ10" s="215"/>
      <c r="CA10" s="215"/>
      <c r="CB10" s="215"/>
      <c r="CC10" s="217"/>
      <c r="CD10" s="214"/>
      <c r="CE10" s="209"/>
      <c r="CF10" s="210"/>
      <c r="CG10" s="210"/>
      <c r="CH10" s="210"/>
      <c r="CI10" s="210"/>
      <c r="CJ10" s="210"/>
      <c r="CK10" s="210"/>
      <c r="CL10" s="210"/>
      <c r="CM10" s="210"/>
      <c r="CN10" s="210"/>
      <c r="CO10" s="348"/>
      <c r="CP10" s="215"/>
      <c r="CQ10" s="216"/>
      <c r="CR10" s="217"/>
      <c r="CS10" s="218">
        <f t="shared" si="48"/>
        <v>0</v>
      </c>
      <c r="CT10" s="146"/>
      <c r="CU10" s="147">
        <f t="shared" si="4"/>
        <v>0</v>
      </c>
      <c r="CV10" s="156"/>
      <c r="CW10" s="157" t="e">
        <f t="shared" si="5"/>
        <v>#DIV/0!</v>
      </c>
      <c r="CX10" s="157" t="e">
        <f t="shared" si="6"/>
        <v>#DIV/0!</v>
      </c>
      <c r="CY10" s="157" t="e">
        <f t="shared" si="7"/>
        <v>#DIV/0!</v>
      </c>
      <c r="CZ10" s="157" t="e">
        <f t="shared" si="8"/>
        <v>#DIV/0!</v>
      </c>
      <c r="DA10" s="157" t="e">
        <f t="shared" si="9"/>
        <v>#DIV/0!</v>
      </c>
      <c r="DB10" s="158" t="e">
        <f t="shared" si="10"/>
        <v>#DIV/0!</v>
      </c>
      <c r="DC10" s="131"/>
      <c r="DD10" s="159">
        <f t="shared" si="11"/>
        <v>0</v>
      </c>
      <c r="DE10" s="160">
        <f t="shared" si="12"/>
        <v>0</v>
      </c>
      <c r="DF10" s="161">
        <f t="shared" si="13"/>
        <v>0</v>
      </c>
      <c r="DG10" s="162" t="e">
        <f t="shared" si="14"/>
        <v>#DIV/0!</v>
      </c>
      <c r="DH10" s="163">
        <f t="shared" si="15"/>
        <v>0</v>
      </c>
      <c r="DI10" s="164"/>
      <c r="DJ10" s="165">
        <f t="shared" si="16"/>
        <v>0</v>
      </c>
      <c r="DK10" s="166">
        <f t="shared" si="16"/>
        <v>0</v>
      </c>
      <c r="DL10" s="167" t="e">
        <f t="shared" si="17"/>
        <v>#DIV/0!</v>
      </c>
      <c r="DM10" s="168" t="e">
        <f t="shared" si="18"/>
        <v>#DIV/0!</v>
      </c>
      <c r="DN10" s="163" t="e">
        <f t="shared" si="19"/>
        <v>#DIV/0!</v>
      </c>
      <c r="DO10" s="169"/>
      <c r="DP10" s="170"/>
      <c r="DQ10" s="171"/>
      <c r="DR10" s="172">
        <f t="shared" si="20"/>
        <v>0</v>
      </c>
      <c r="DS10" s="173" t="e">
        <f t="shared" si="21"/>
        <v>#DIV/0!</v>
      </c>
      <c r="DT10" s="163" t="e">
        <f t="shared" si="22"/>
        <v>#DIV/0!</v>
      </c>
      <c r="DU10" s="174"/>
      <c r="DV10" s="175" t="e">
        <f t="shared" si="23"/>
        <v>#DIV/0!</v>
      </c>
      <c r="DW10" s="163">
        <f t="shared" si="24"/>
        <v>0</v>
      </c>
      <c r="DX10" s="164"/>
      <c r="DY10" s="176">
        <f t="shared" si="25"/>
        <v>0</v>
      </c>
      <c r="DZ10" s="177">
        <f t="shared" si="26"/>
        <v>0</v>
      </c>
      <c r="EA10" s="178">
        <f t="shared" si="27"/>
        <v>0</v>
      </c>
      <c r="EB10" s="179">
        <f t="shared" si="28"/>
        <v>0</v>
      </c>
      <c r="EC10" s="180"/>
      <c r="ED10" s="175" t="e">
        <f t="shared" si="29"/>
        <v>#DIV/0!</v>
      </c>
      <c r="EE10" s="163">
        <f t="shared" si="30"/>
        <v>0</v>
      </c>
      <c r="EF10" s="164"/>
      <c r="EG10" s="181">
        <f t="shared" si="31"/>
        <v>0</v>
      </c>
      <c r="EH10" s="182">
        <f t="shared" si="32"/>
        <v>0</v>
      </c>
      <c r="EI10" s="182">
        <f t="shared" si="33"/>
        <v>0</v>
      </c>
      <c r="EJ10" s="182">
        <f t="shared" si="34"/>
        <v>0</v>
      </c>
      <c r="EK10" s="183">
        <f t="shared" si="35"/>
        <v>0</v>
      </c>
      <c r="EL10" s="184" t="e">
        <f t="shared" si="36"/>
        <v>#DIV/0!</v>
      </c>
      <c r="EM10" s="185">
        <f t="shared" si="37"/>
        <v>0</v>
      </c>
      <c r="EN10" s="164"/>
      <c r="EO10" s="181">
        <f t="shared" si="38"/>
        <v>0</v>
      </c>
      <c r="EP10" s="183">
        <f t="shared" si="39"/>
        <v>0</v>
      </c>
      <c r="EQ10" s="184" t="e">
        <f t="shared" si="40"/>
        <v>#DIV/0!</v>
      </c>
      <c r="ER10" s="185">
        <f t="shared" si="41"/>
        <v>0</v>
      </c>
      <c r="ES10" s="164"/>
      <c r="ET10" s="164"/>
      <c r="EU10" s="186">
        <f t="shared" si="42"/>
        <v>0</v>
      </c>
      <c r="EV10" s="186">
        <f t="shared" si="43"/>
        <v>0</v>
      </c>
      <c r="EW10" s="186">
        <f t="shared" si="44"/>
        <v>0</v>
      </c>
      <c r="EX10" s="186">
        <f t="shared" si="45"/>
        <v>0</v>
      </c>
      <c r="EY10" s="131"/>
      <c r="EZ10" s="187">
        <f t="shared" si="46"/>
        <v>0</v>
      </c>
      <c r="FA10" s="188" t="e">
        <f t="shared" si="47"/>
        <v>#DIV/0!</v>
      </c>
      <c r="FB10" s="189"/>
      <c r="FC10" s="131"/>
      <c r="FD10" s="131"/>
      <c r="FE10" s="131"/>
      <c r="FF10" s="131"/>
      <c r="FG10" s="131"/>
    </row>
    <row r="11" spans="2:172" ht="16" outlineLevel="1" thickBot="1" x14ac:dyDescent="0.4">
      <c r="B11" s="356"/>
      <c r="C11" s="353"/>
      <c r="D11" s="133"/>
      <c r="E11" s="134"/>
      <c r="F11" s="135"/>
      <c r="G11" s="136"/>
      <c r="H11" s="137"/>
      <c r="I11" s="138">
        <f>IF(E11&gt;0.0001,9.4,0)</f>
        <v>0</v>
      </c>
      <c r="J11" s="139"/>
      <c r="K11" s="140">
        <f t="shared" si="1"/>
        <v>0</v>
      </c>
      <c r="L11" s="141"/>
      <c r="M11" s="142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2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4"/>
      <c r="AN11" s="145">
        <f t="shared" si="2"/>
        <v>0</v>
      </c>
      <c r="AO11" s="146"/>
      <c r="AP11" s="147">
        <f t="shared" si="3"/>
        <v>0</v>
      </c>
      <c r="AQ11" s="148"/>
      <c r="AR11" s="149"/>
      <c r="AS11" s="149"/>
      <c r="AT11" s="135"/>
      <c r="AU11" s="150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2"/>
      <c r="BG11" s="152"/>
      <c r="BH11" s="152"/>
      <c r="BI11" s="152"/>
      <c r="BJ11" s="152"/>
      <c r="BK11" s="152"/>
      <c r="BL11" s="152"/>
      <c r="BM11" s="152"/>
      <c r="BN11" s="152"/>
      <c r="BO11" s="152"/>
      <c r="BP11" s="152"/>
      <c r="BQ11" s="152"/>
      <c r="BR11" s="150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4"/>
      <c r="CD11" s="150"/>
      <c r="CE11" s="142"/>
      <c r="CF11" s="143"/>
      <c r="CG11" s="143"/>
      <c r="CH11" s="143"/>
      <c r="CI11" s="143"/>
      <c r="CJ11" s="143"/>
      <c r="CK11" s="143"/>
      <c r="CL11" s="143"/>
      <c r="CM11" s="143"/>
      <c r="CN11" s="143"/>
      <c r="CO11" s="346"/>
      <c r="CP11" s="151"/>
      <c r="CQ11" s="152"/>
      <c r="CR11" s="154"/>
      <c r="CS11" s="155">
        <f t="shared" si="48"/>
        <v>0</v>
      </c>
      <c r="CT11" s="146"/>
      <c r="CU11" s="147">
        <f t="shared" si="4"/>
        <v>0</v>
      </c>
      <c r="CV11" s="156"/>
      <c r="CW11" s="157" t="e">
        <f t="shared" si="5"/>
        <v>#DIV/0!</v>
      </c>
      <c r="CX11" s="157" t="e">
        <f t="shared" si="6"/>
        <v>#DIV/0!</v>
      </c>
      <c r="CY11" s="157" t="e">
        <f t="shared" si="7"/>
        <v>#DIV/0!</v>
      </c>
      <c r="CZ11" s="157" t="e">
        <f t="shared" si="8"/>
        <v>#DIV/0!</v>
      </c>
      <c r="DA11" s="157" t="e">
        <f t="shared" si="9"/>
        <v>#DIV/0!</v>
      </c>
      <c r="DB11" s="158" t="e">
        <f t="shared" si="10"/>
        <v>#DIV/0!</v>
      </c>
      <c r="DC11" s="131"/>
      <c r="DD11" s="159">
        <f t="shared" si="11"/>
        <v>0</v>
      </c>
      <c r="DE11" s="160">
        <f t="shared" si="12"/>
        <v>0</v>
      </c>
      <c r="DF11" s="161">
        <f t="shared" si="13"/>
        <v>0</v>
      </c>
      <c r="DG11" s="162" t="e">
        <f t="shared" si="14"/>
        <v>#DIV/0!</v>
      </c>
      <c r="DH11" s="163">
        <f t="shared" si="15"/>
        <v>0</v>
      </c>
      <c r="DI11" s="164"/>
      <c r="DJ11" s="165">
        <f t="shared" si="16"/>
        <v>0</v>
      </c>
      <c r="DK11" s="166">
        <f t="shared" si="16"/>
        <v>0</v>
      </c>
      <c r="DL11" s="167" t="e">
        <f t="shared" si="17"/>
        <v>#DIV/0!</v>
      </c>
      <c r="DM11" s="168" t="e">
        <f t="shared" si="18"/>
        <v>#DIV/0!</v>
      </c>
      <c r="DN11" s="163" t="e">
        <f t="shared" si="19"/>
        <v>#DIV/0!</v>
      </c>
      <c r="DO11" s="169"/>
      <c r="DP11" s="170"/>
      <c r="DQ11" s="171"/>
      <c r="DR11" s="172">
        <f t="shared" si="20"/>
        <v>0</v>
      </c>
      <c r="DS11" s="173" t="e">
        <f t="shared" si="21"/>
        <v>#DIV/0!</v>
      </c>
      <c r="DT11" s="163" t="e">
        <f t="shared" si="22"/>
        <v>#DIV/0!</v>
      </c>
      <c r="DU11" s="174"/>
      <c r="DV11" s="175" t="e">
        <f t="shared" si="23"/>
        <v>#DIV/0!</v>
      </c>
      <c r="DW11" s="163">
        <f t="shared" si="24"/>
        <v>0</v>
      </c>
      <c r="DX11" s="164"/>
      <c r="DY11" s="176">
        <f t="shared" si="25"/>
        <v>0</v>
      </c>
      <c r="DZ11" s="177">
        <f t="shared" si="26"/>
        <v>0</v>
      </c>
      <c r="EA11" s="178">
        <f t="shared" si="27"/>
        <v>0</v>
      </c>
      <c r="EB11" s="179">
        <f t="shared" si="28"/>
        <v>0</v>
      </c>
      <c r="EC11" s="180"/>
      <c r="ED11" s="175" t="e">
        <f t="shared" si="29"/>
        <v>#DIV/0!</v>
      </c>
      <c r="EE11" s="163">
        <f t="shared" si="30"/>
        <v>0</v>
      </c>
      <c r="EF11" s="164"/>
      <c r="EG11" s="181">
        <f t="shared" si="31"/>
        <v>0</v>
      </c>
      <c r="EH11" s="182">
        <f t="shared" si="32"/>
        <v>0</v>
      </c>
      <c r="EI11" s="182">
        <f t="shared" si="33"/>
        <v>0</v>
      </c>
      <c r="EJ11" s="182">
        <f t="shared" si="34"/>
        <v>0</v>
      </c>
      <c r="EK11" s="183">
        <f t="shared" si="35"/>
        <v>0</v>
      </c>
      <c r="EL11" s="184" t="e">
        <f t="shared" si="36"/>
        <v>#DIV/0!</v>
      </c>
      <c r="EM11" s="185">
        <f t="shared" si="37"/>
        <v>0</v>
      </c>
      <c r="EN11" s="164"/>
      <c r="EO11" s="181">
        <f t="shared" si="38"/>
        <v>0</v>
      </c>
      <c r="EP11" s="183">
        <f t="shared" si="39"/>
        <v>0</v>
      </c>
      <c r="EQ11" s="184" t="e">
        <f t="shared" si="40"/>
        <v>#DIV/0!</v>
      </c>
      <c r="ER11" s="185">
        <f t="shared" si="41"/>
        <v>0</v>
      </c>
      <c r="ES11" s="164"/>
      <c r="ET11" s="164"/>
      <c r="EU11" s="186">
        <f t="shared" si="42"/>
        <v>0</v>
      </c>
      <c r="EV11" s="186">
        <f t="shared" si="43"/>
        <v>0</v>
      </c>
      <c r="EW11" s="186">
        <f t="shared" si="44"/>
        <v>0</v>
      </c>
      <c r="EX11" s="186">
        <f t="shared" si="45"/>
        <v>0</v>
      </c>
      <c r="EY11" s="131"/>
      <c r="EZ11" s="187">
        <f t="shared" si="46"/>
        <v>0</v>
      </c>
      <c r="FA11" s="188" t="e">
        <f t="shared" si="47"/>
        <v>#DIV/0!</v>
      </c>
      <c r="FB11" s="189"/>
      <c r="FC11" s="131"/>
      <c r="FD11" s="131"/>
      <c r="FE11" s="131"/>
      <c r="FF11" s="131"/>
      <c r="FG11" s="131"/>
    </row>
    <row r="12" spans="2:172" ht="16" outlineLevel="1" thickBot="1" x14ac:dyDescent="0.4">
      <c r="B12" s="357"/>
      <c r="C12" s="354"/>
      <c r="D12" s="190"/>
      <c r="E12" s="191"/>
      <c r="F12" s="135"/>
      <c r="G12" s="192"/>
      <c r="H12" s="137"/>
      <c r="I12" s="138">
        <f t="shared" si="0"/>
        <v>0</v>
      </c>
      <c r="J12" s="139"/>
      <c r="K12" s="193">
        <f t="shared" si="1"/>
        <v>0</v>
      </c>
      <c r="L12" s="141"/>
      <c r="M12" s="194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4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6"/>
      <c r="AN12" s="197">
        <f t="shared" si="2"/>
        <v>0</v>
      </c>
      <c r="AO12" s="146"/>
      <c r="AP12" s="147">
        <f t="shared" si="3"/>
        <v>0</v>
      </c>
      <c r="AQ12" s="148"/>
      <c r="AR12" s="198"/>
      <c r="AS12" s="198"/>
      <c r="AT12" s="135"/>
      <c r="AU12" s="199"/>
      <c r="AV12" s="200"/>
      <c r="AW12" s="200"/>
      <c r="AX12" s="200"/>
      <c r="AY12" s="200"/>
      <c r="AZ12" s="200"/>
      <c r="BA12" s="200"/>
      <c r="BB12" s="200"/>
      <c r="BC12" s="200"/>
      <c r="BD12" s="200"/>
      <c r="BE12" s="200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199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2"/>
      <c r="CD12" s="199"/>
      <c r="CE12" s="194"/>
      <c r="CF12" s="195"/>
      <c r="CG12" s="195"/>
      <c r="CH12" s="195"/>
      <c r="CI12" s="195"/>
      <c r="CJ12" s="195"/>
      <c r="CK12" s="195"/>
      <c r="CL12" s="195"/>
      <c r="CM12" s="195"/>
      <c r="CN12" s="195"/>
      <c r="CO12" s="347"/>
      <c r="CP12" s="200"/>
      <c r="CQ12" s="201"/>
      <c r="CR12" s="202"/>
      <c r="CS12" s="203">
        <f t="shared" si="48"/>
        <v>0</v>
      </c>
      <c r="CT12" s="146"/>
      <c r="CU12" s="147">
        <f t="shared" si="4"/>
        <v>0</v>
      </c>
      <c r="CV12" s="156"/>
      <c r="CW12" s="157" t="e">
        <f t="shared" si="5"/>
        <v>#DIV/0!</v>
      </c>
      <c r="CX12" s="157" t="e">
        <f t="shared" si="6"/>
        <v>#DIV/0!</v>
      </c>
      <c r="CY12" s="157" t="e">
        <f t="shared" si="7"/>
        <v>#DIV/0!</v>
      </c>
      <c r="CZ12" s="157" t="e">
        <f t="shared" si="8"/>
        <v>#DIV/0!</v>
      </c>
      <c r="DA12" s="157" t="e">
        <f t="shared" si="9"/>
        <v>#DIV/0!</v>
      </c>
      <c r="DB12" s="158" t="e">
        <f t="shared" si="10"/>
        <v>#DIV/0!</v>
      </c>
      <c r="DC12" s="131"/>
      <c r="DD12" s="159">
        <f t="shared" si="11"/>
        <v>0</v>
      </c>
      <c r="DE12" s="160">
        <f t="shared" si="12"/>
        <v>0</v>
      </c>
      <c r="DF12" s="161">
        <f t="shared" si="13"/>
        <v>0</v>
      </c>
      <c r="DG12" s="162" t="e">
        <f t="shared" si="14"/>
        <v>#DIV/0!</v>
      </c>
      <c r="DH12" s="163">
        <f t="shared" si="15"/>
        <v>0</v>
      </c>
      <c r="DI12" s="164"/>
      <c r="DJ12" s="165">
        <f t="shared" si="16"/>
        <v>0</v>
      </c>
      <c r="DK12" s="166">
        <f t="shared" si="16"/>
        <v>0</v>
      </c>
      <c r="DL12" s="167" t="e">
        <f t="shared" si="17"/>
        <v>#DIV/0!</v>
      </c>
      <c r="DM12" s="168" t="e">
        <f t="shared" si="18"/>
        <v>#DIV/0!</v>
      </c>
      <c r="DN12" s="163" t="e">
        <f t="shared" si="19"/>
        <v>#DIV/0!</v>
      </c>
      <c r="DO12" s="169"/>
      <c r="DP12" s="170"/>
      <c r="DQ12" s="171"/>
      <c r="DR12" s="172">
        <f t="shared" si="20"/>
        <v>0</v>
      </c>
      <c r="DS12" s="173" t="e">
        <f t="shared" si="21"/>
        <v>#DIV/0!</v>
      </c>
      <c r="DT12" s="163" t="e">
        <f t="shared" si="22"/>
        <v>#DIV/0!</v>
      </c>
      <c r="DU12" s="174"/>
      <c r="DV12" s="175" t="e">
        <f t="shared" si="23"/>
        <v>#DIV/0!</v>
      </c>
      <c r="DW12" s="163">
        <f t="shared" si="24"/>
        <v>0</v>
      </c>
      <c r="DX12" s="164"/>
      <c r="DY12" s="176">
        <f t="shared" si="25"/>
        <v>0</v>
      </c>
      <c r="DZ12" s="177">
        <f t="shared" si="26"/>
        <v>0</v>
      </c>
      <c r="EA12" s="178">
        <f t="shared" si="27"/>
        <v>0</v>
      </c>
      <c r="EB12" s="179">
        <f t="shared" si="28"/>
        <v>0</v>
      </c>
      <c r="EC12" s="180"/>
      <c r="ED12" s="175" t="e">
        <f t="shared" si="29"/>
        <v>#DIV/0!</v>
      </c>
      <c r="EE12" s="163">
        <f t="shared" si="30"/>
        <v>0</v>
      </c>
      <c r="EF12" s="164"/>
      <c r="EG12" s="181">
        <f t="shared" si="31"/>
        <v>0</v>
      </c>
      <c r="EH12" s="182">
        <f t="shared" si="32"/>
        <v>0</v>
      </c>
      <c r="EI12" s="182">
        <f t="shared" si="33"/>
        <v>0</v>
      </c>
      <c r="EJ12" s="182">
        <f t="shared" si="34"/>
        <v>0</v>
      </c>
      <c r="EK12" s="183">
        <f t="shared" si="35"/>
        <v>0</v>
      </c>
      <c r="EL12" s="184" t="e">
        <f t="shared" si="36"/>
        <v>#DIV/0!</v>
      </c>
      <c r="EM12" s="185">
        <f t="shared" si="37"/>
        <v>0</v>
      </c>
      <c r="EN12" s="164"/>
      <c r="EO12" s="181">
        <f t="shared" si="38"/>
        <v>0</v>
      </c>
      <c r="EP12" s="183">
        <f t="shared" si="39"/>
        <v>0</v>
      </c>
      <c r="EQ12" s="184" t="e">
        <f t="shared" si="40"/>
        <v>#DIV/0!</v>
      </c>
      <c r="ER12" s="185">
        <f t="shared" si="41"/>
        <v>0</v>
      </c>
      <c r="ES12" s="164"/>
      <c r="ET12" s="164"/>
      <c r="EU12" s="186">
        <f t="shared" si="42"/>
        <v>0</v>
      </c>
      <c r="EV12" s="186">
        <f t="shared" si="43"/>
        <v>0</v>
      </c>
      <c r="EW12" s="186">
        <f t="shared" si="44"/>
        <v>0</v>
      </c>
      <c r="EX12" s="186">
        <f t="shared" si="45"/>
        <v>0</v>
      </c>
      <c r="EY12" s="131"/>
      <c r="EZ12" s="187">
        <f t="shared" si="46"/>
        <v>0</v>
      </c>
      <c r="FA12" s="188" t="e">
        <f t="shared" si="47"/>
        <v>#DIV/0!</v>
      </c>
      <c r="FB12" s="189"/>
      <c r="FC12" s="131"/>
      <c r="FD12" s="131"/>
      <c r="FE12" s="131"/>
      <c r="FF12" s="131"/>
      <c r="FG12" s="131"/>
    </row>
    <row r="13" spans="2:172" ht="16" outlineLevel="1" thickBot="1" x14ac:dyDescent="0.4">
      <c r="B13" s="358"/>
      <c r="C13" s="355"/>
      <c r="D13" s="204"/>
      <c r="E13" s="205"/>
      <c r="F13" s="135"/>
      <c r="G13" s="206"/>
      <c r="H13" s="207"/>
      <c r="I13" s="138">
        <f t="shared" si="0"/>
        <v>0</v>
      </c>
      <c r="J13" s="139"/>
      <c r="K13" s="208">
        <f t="shared" si="1"/>
        <v>0</v>
      </c>
      <c r="L13" s="141"/>
      <c r="M13" s="209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09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1"/>
      <c r="AN13" s="212">
        <f t="shared" si="2"/>
        <v>0</v>
      </c>
      <c r="AO13" s="146"/>
      <c r="AP13" s="147">
        <f t="shared" si="3"/>
        <v>0</v>
      </c>
      <c r="AQ13" s="148"/>
      <c r="AR13" s="213"/>
      <c r="AS13" s="213"/>
      <c r="AT13" s="135"/>
      <c r="AU13" s="214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4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7"/>
      <c r="CD13" s="214"/>
      <c r="CE13" s="209"/>
      <c r="CF13" s="210"/>
      <c r="CG13" s="210"/>
      <c r="CH13" s="210"/>
      <c r="CI13" s="210"/>
      <c r="CJ13" s="210"/>
      <c r="CK13" s="210"/>
      <c r="CL13" s="210"/>
      <c r="CM13" s="210"/>
      <c r="CN13" s="210"/>
      <c r="CO13" s="348"/>
      <c r="CP13" s="215"/>
      <c r="CQ13" s="216"/>
      <c r="CR13" s="217"/>
      <c r="CS13" s="218">
        <f t="shared" si="48"/>
        <v>0</v>
      </c>
      <c r="CT13" s="146"/>
      <c r="CU13" s="147">
        <f t="shared" si="4"/>
        <v>0</v>
      </c>
      <c r="CV13" s="156"/>
      <c r="CW13" s="157" t="e">
        <f t="shared" si="5"/>
        <v>#DIV/0!</v>
      </c>
      <c r="CX13" s="157" t="e">
        <f t="shared" si="6"/>
        <v>#DIV/0!</v>
      </c>
      <c r="CY13" s="157" t="e">
        <f t="shared" si="7"/>
        <v>#DIV/0!</v>
      </c>
      <c r="CZ13" s="157" t="e">
        <f t="shared" si="8"/>
        <v>#DIV/0!</v>
      </c>
      <c r="DA13" s="157" t="e">
        <f t="shared" si="9"/>
        <v>#DIV/0!</v>
      </c>
      <c r="DB13" s="158" t="e">
        <f t="shared" si="10"/>
        <v>#DIV/0!</v>
      </c>
      <c r="DC13" s="131"/>
      <c r="DD13" s="159">
        <f t="shared" si="11"/>
        <v>0</v>
      </c>
      <c r="DE13" s="160">
        <f t="shared" si="12"/>
        <v>0</v>
      </c>
      <c r="DF13" s="161">
        <f t="shared" si="13"/>
        <v>0</v>
      </c>
      <c r="DG13" s="162" t="e">
        <f t="shared" si="14"/>
        <v>#DIV/0!</v>
      </c>
      <c r="DH13" s="163">
        <f t="shared" si="15"/>
        <v>0</v>
      </c>
      <c r="DI13" s="164"/>
      <c r="DJ13" s="165">
        <f t="shared" si="16"/>
        <v>0</v>
      </c>
      <c r="DK13" s="166">
        <f t="shared" si="16"/>
        <v>0</v>
      </c>
      <c r="DL13" s="167" t="e">
        <f t="shared" si="17"/>
        <v>#DIV/0!</v>
      </c>
      <c r="DM13" s="168" t="e">
        <f t="shared" si="18"/>
        <v>#DIV/0!</v>
      </c>
      <c r="DN13" s="163" t="e">
        <f t="shared" si="19"/>
        <v>#DIV/0!</v>
      </c>
      <c r="DO13" s="169"/>
      <c r="DP13" s="170"/>
      <c r="DQ13" s="171"/>
      <c r="DR13" s="172">
        <f t="shared" si="20"/>
        <v>0</v>
      </c>
      <c r="DS13" s="173" t="e">
        <f t="shared" si="21"/>
        <v>#DIV/0!</v>
      </c>
      <c r="DT13" s="163" t="e">
        <f t="shared" si="22"/>
        <v>#DIV/0!</v>
      </c>
      <c r="DU13" s="174"/>
      <c r="DV13" s="175" t="e">
        <f t="shared" si="23"/>
        <v>#DIV/0!</v>
      </c>
      <c r="DW13" s="163">
        <f t="shared" si="24"/>
        <v>0</v>
      </c>
      <c r="DX13" s="164"/>
      <c r="DY13" s="176">
        <f t="shared" si="25"/>
        <v>0</v>
      </c>
      <c r="DZ13" s="177">
        <f t="shared" si="26"/>
        <v>0</v>
      </c>
      <c r="EA13" s="178">
        <f t="shared" si="27"/>
        <v>0</v>
      </c>
      <c r="EB13" s="179">
        <f t="shared" si="28"/>
        <v>0</v>
      </c>
      <c r="EC13" s="180"/>
      <c r="ED13" s="175" t="e">
        <f t="shared" si="29"/>
        <v>#DIV/0!</v>
      </c>
      <c r="EE13" s="163">
        <f t="shared" si="30"/>
        <v>0</v>
      </c>
      <c r="EF13" s="164"/>
      <c r="EG13" s="181">
        <f t="shared" si="31"/>
        <v>0</v>
      </c>
      <c r="EH13" s="182">
        <f t="shared" si="32"/>
        <v>0</v>
      </c>
      <c r="EI13" s="182">
        <f t="shared" si="33"/>
        <v>0</v>
      </c>
      <c r="EJ13" s="182">
        <f t="shared" si="34"/>
        <v>0</v>
      </c>
      <c r="EK13" s="183">
        <f t="shared" si="35"/>
        <v>0</v>
      </c>
      <c r="EL13" s="184" t="e">
        <f t="shared" si="36"/>
        <v>#DIV/0!</v>
      </c>
      <c r="EM13" s="185">
        <f t="shared" si="37"/>
        <v>0</v>
      </c>
      <c r="EN13" s="164"/>
      <c r="EO13" s="181">
        <f t="shared" si="38"/>
        <v>0</v>
      </c>
      <c r="EP13" s="183">
        <f t="shared" si="39"/>
        <v>0</v>
      </c>
      <c r="EQ13" s="184" t="e">
        <f t="shared" si="40"/>
        <v>#DIV/0!</v>
      </c>
      <c r="ER13" s="185">
        <f t="shared" si="41"/>
        <v>0</v>
      </c>
      <c r="ES13" s="164"/>
      <c r="ET13" s="164"/>
      <c r="EU13" s="186">
        <f t="shared" si="42"/>
        <v>0</v>
      </c>
      <c r="EV13" s="186">
        <f t="shared" si="43"/>
        <v>0</v>
      </c>
      <c r="EW13" s="186">
        <f t="shared" si="44"/>
        <v>0</v>
      </c>
      <c r="EX13" s="186">
        <f t="shared" si="45"/>
        <v>0</v>
      </c>
      <c r="EY13" s="131"/>
      <c r="EZ13" s="187">
        <f t="shared" si="46"/>
        <v>0</v>
      </c>
      <c r="FA13" s="188" t="e">
        <f t="shared" si="47"/>
        <v>#DIV/0!</v>
      </c>
      <c r="FB13" s="189"/>
      <c r="FC13" s="131"/>
      <c r="FD13" s="131"/>
      <c r="FE13" s="131"/>
      <c r="FF13" s="131"/>
      <c r="FG13" s="131"/>
    </row>
    <row r="14" spans="2:172" ht="16" outlineLevel="1" thickBot="1" x14ac:dyDescent="0.4">
      <c r="B14" s="356"/>
      <c r="C14" s="353"/>
      <c r="D14" s="133"/>
      <c r="E14" s="134"/>
      <c r="F14" s="135"/>
      <c r="G14" s="136"/>
      <c r="H14" s="137"/>
      <c r="I14" s="138">
        <f t="shared" si="0"/>
        <v>0</v>
      </c>
      <c r="J14" s="139"/>
      <c r="K14" s="140">
        <f>E14*60</f>
        <v>0</v>
      </c>
      <c r="L14" s="141"/>
      <c r="M14" s="142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2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4"/>
      <c r="AN14" s="145">
        <f t="shared" si="2"/>
        <v>0</v>
      </c>
      <c r="AO14" s="146"/>
      <c r="AP14" s="147">
        <f t="shared" si="3"/>
        <v>0</v>
      </c>
      <c r="AQ14" s="148"/>
      <c r="AR14" s="149"/>
      <c r="AS14" s="149"/>
      <c r="AT14" s="135"/>
      <c r="AU14" s="150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0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4"/>
      <c r="CD14" s="150"/>
      <c r="CE14" s="142"/>
      <c r="CF14" s="143"/>
      <c r="CG14" s="143"/>
      <c r="CH14" s="143"/>
      <c r="CI14" s="143"/>
      <c r="CJ14" s="143"/>
      <c r="CK14" s="143"/>
      <c r="CL14" s="143"/>
      <c r="CM14" s="143"/>
      <c r="CN14" s="143"/>
      <c r="CO14" s="346"/>
      <c r="CP14" s="151"/>
      <c r="CQ14" s="152"/>
      <c r="CR14" s="154"/>
      <c r="CS14" s="155">
        <f t="shared" si="48"/>
        <v>0</v>
      </c>
      <c r="CT14" s="146"/>
      <c r="CU14" s="147">
        <f t="shared" si="4"/>
        <v>0</v>
      </c>
      <c r="CV14" s="156"/>
      <c r="CW14" s="157" t="e">
        <f t="shared" si="5"/>
        <v>#DIV/0!</v>
      </c>
      <c r="CX14" s="157" t="e">
        <f t="shared" si="6"/>
        <v>#DIV/0!</v>
      </c>
      <c r="CY14" s="157" t="e">
        <f t="shared" si="7"/>
        <v>#DIV/0!</v>
      </c>
      <c r="CZ14" s="157" t="e">
        <f t="shared" si="8"/>
        <v>#DIV/0!</v>
      </c>
      <c r="DA14" s="157" t="e">
        <f t="shared" si="9"/>
        <v>#DIV/0!</v>
      </c>
      <c r="DB14" s="158" t="e">
        <f t="shared" si="10"/>
        <v>#DIV/0!</v>
      </c>
      <c r="DC14" s="131"/>
      <c r="DD14" s="159">
        <f t="shared" si="11"/>
        <v>0</v>
      </c>
      <c r="DE14" s="160">
        <f t="shared" si="12"/>
        <v>0</v>
      </c>
      <c r="DF14" s="161">
        <f t="shared" si="13"/>
        <v>0</v>
      </c>
      <c r="DG14" s="162" t="e">
        <f t="shared" si="14"/>
        <v>#DIV/0!</v>
      </c>
      <c r="DH14" s="163">
        <f t="shared" si="15"/>
        <v>0</v>
      </c>
      <c r="DI14" s="164"/>
      <c r="DJ14" s="165">
        <f t="shared" si="16"/>
        <v>0</v>
      </c>
      <c r="DK14" s="166">
        <f t="shared" si="16"/>
        <v>0</v>
      </c>
      <c r="DL14" s="167" t="e">
        <f t="shared" si="17"/>
        <v>#DIV/0!</v>
      </c>
      <c r="DM14" s="168" t="e">
        <f t="shared" si="18"/>
        <v>#DIV/0!</v>
      </c>
      <c r="DN14" s="163" t="e">
        <f t="shared" si="19"/>
        <v>#DIV/0!</v>
      </c>
      <c r="DO14" s="169"/>
      <c r="DP14" s="170"/>
      <c r="DQ14" s="171"/>
      <c r="DR14" s="172">
        <f t="shared" si="20"/>
        <v>0</v>
      </c>
      <c r="DS14" s="173" t="e">
        <f t="shared" si="21"/>
        <v>#DIV/0!</v>
      </c>
      <c r="DT14" s="163" t="e">
        <f t="shared" si="22"/>
        <v>#DIV/0!</v>
      </c>
      <c r="DU14" s="174"/>
      <c r="DV14" s="175" t="e">
        <f t="shared" si="23"/>
        <v>#DIV/0!</v>
      </c>
      <c r="DW14" s="163">
        <f t="shared" si="24"/>
        <v>0</v>
      </c>
      <c r="DX14" s="164"/>
      <c r="DY14" s="176">
        <f t="shared" si="25"/>
        <v>0</v>
      </c>
      <c r="DZ14" s="177">
        <f t="shared" si="26"/>
        <v>0</v>
      </c>
      <c r="EA14" s="178">
        <f t="shared" si="27"/>
        <v>0</v>
      </c>
      <c r="EB14" s="179">
        <f t="shared" si="28"/>
        <v>0</v>
      </c>
      <c r="EC14" s="180"/>
      <c r="ED14" s="175" t="e">
        <f t="shared" si="29"/>
        <v>#DIV/0!</v>
      </c>
      <c r="EE14" s="163">
        <f t="shared" si="30"/>
        <v>0</v>
      </c>
      <c r="EF14" s="164"/>
      <c r="EG14" s="181">
        <f t="shared" si="31"/>
        <v>0</v>
      </c>
      <c r="EH14" s="182">
        <f t="shared" si="32"/>
        <v>0</v>
      </c>
      <c r="EI14" s="182">
        <f t="shared" si="33"/>
        <v>0</v>
      </c>
      <c r="EJ14" s="182">
        <f t="shared" si="34"/>
        <v>0</v>
      </c>
      <c r="EK14" s="183">
        <f t="shared" si="35"/>
        <v>0</v>
      </c>
      <c r="EL14" s="184" t="e">
        <f t="shared" si="36"/>
        <v>#DIV/0!</v>
      </c>
      <c r="EM14" s="185">
        <f t="shared" si="37"/>
        <v>0</v>
      </c>
      <c r="EN14" s="164"/>
      <c r="EO14" s="181">
        <f t="shared" si="38"/>
        <v>0</v>
      </c>
      <c r="EP14" s="183">
        <f t="shared" si="39"/>
        <v>0</v>
      </c>
      <c r="EQ14" s="184" t="e">
        <f t="shared" si="40"/>
        <v>#DIV/0!</v>
      </c>
      <c r="ER14" s="185">
        <f t="shared" si="41"/>
        <v>0</v>
      </c>
      <c r="ES14" s="164"/>
      <c r="ET14" s="164"/>
      <c r="EU14" s="186">
        <f t="shared" si="42"/>
        <v>0</v>
      </c>
      <c r="EV14" s="186">
        <f t="shared" si="43"/>
        <v>0</v>
      </c>
      <c r="EW14" s="186">
        <f t="shared" si="44"/>
        <v>0</v>
      </c>
      <c r="EX14" s="186">
        <f t="shared" si="45"/>
        <v>0</v>
      </c>
      <c r="EY14" s="131"/>
      <c r="EZ14" s="187">
        <f t="shared" si="46"/>
        <v>0</v>
      </c>
      <c r="FA14" s="188" t="e">
        <f t="shared" si="47"/>
        <v>#DIV/0!</v>
      </c>
      <c r="FB14" s="189"/>
      <c r="FC14" s="131"/>
      <c r="FD14" s="131"/>
      <c r="FE14" s="131"/>
      <c r="FF14" s="131"/>
      <c r="FG14" s="131"/>
    </row>
    <row r="15" spans="2:172" ht="16" outlineLevel="1" thickBot="1" x14ac:dyDescent="0.4">
      <c r="B15" s="357"/>
      <c r="C15" s="354"/>
      <c r="D15" s="240"/>
      <c r="E15" s="241"/>
      <c r="F15" s="135"/>
      <c r="G15" s="192"/>
      <c r="H15" s="242"/>
      <c r="I15" s="138">
        <f t="shared" si="0"/>
        <v>0</v>
      </c>
      <c r="J15" s="139"/>
      <c r="K15" s="193">
        <f t="shared" ref="K15:K55" si="49">E15*60</f>
        <v>0</v>
      </c>
      <c r="L15" s="141"/>
      <c r="M15" s="194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4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6"/>
      <c r="AN15" s="197">
        <f t="shared" si="2"/>
        <v>0</v>
      </c>
      <c r="AO15" s="146"/>
      <c r="AP15" s="147">
        <f t="shared" si="3"/>
        <v>0</v>
      </c>
      <c r="AQ15" s="148"/>
      <c r="AR15" s="198"/>
      <c r="AS15" s="198"/>
      <c r="AT15" s="135"/>
      <c r="AU15" s="199"/>
      <c r="AV15" s="200"/>
      <c r="AW15" s="200"/>
      <c r="AX15" s="200"/>
      <c r="AY15" s="200"/>
      <c r="AZ15" s="200"/>
      <c r="BA15" s="200"/>
      <c r="BB15" s="200"/>
      <c r="BC15" s="200"/>
      <c r="BD15" s="200"/>
      <c r="BE15" s="200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199"/>
      <c r="BS15" s="200"/>
      <c r="BT15" s="200"/>
      <c r="BU15" s="200"/>
      <c r="BV15" s="200"/>
      <c r="BW15" s="200"/>
      <c r="BX15" s="200"/>
      <c r="BY15" s="200"/>
      <c r="BZ15" s="200"/>
      <c r="CA15" s="200"/>
      <c r="CB15" s="200"/>
      <c r="CC15" s="202"/>
      <c r="CD15" s="199"/>
      <c r="CE15" s="194"/>
      <c r="CF15" s="195"/>
      <c r="CG15" s="195"/>
      <c r="CH15" s="195"/>
      <c r="CI15" s="195"/>
      <c r="CJ15" s="195"/>
      <c r="CK15" s="195"/>
      <c r="CL15" s="195"/>
      <c r="CM15" s="195"/>
      <c r="CN15" s="195"/>
      <c r="CO15" s="347"/>
      <c r="CP15" s="200"/>
      <c r="CQ15" s="201"/>
      <c r="CR15" s="202"/>
      <c r="CS15" s="203">
        <f t="shared" si="48"/>
        <v>0</v>
      </c>
      <c r="CT15" s="146"/>
      <c r="CU15" s="147">
        <f t="shared" si="4"/>
        <v>0</v>
      </c>
      <c r="CV15" s="156"/>
      <c r="CW15" s="157" t="e">
        <f t="shared" si="5"/>
        <v>#DIV/0!</v>
      </c>
      <c r="CX15" s="157" t="e">
        <f t="shared" si="6"/>
        <v>#DIV/0!</v>
      </c>
      <c r="CY15" s="157" t="e">
        <f t="shared" si="7"/>
        <v>#DIV/0!</v>
      </c>
      <c r="CZ15" s="157" t="e">
        <f t="shared" si="8"/>
        <v>#DIV/0!</v>
      </c>
      <c r="DA15" s="157" t="e">
        <f t="shared" si="9"/>
        <v>#DIV/0!</v>
      </c>
      <c r="DB15" s="158" t="e">
        <f t="shared" si="10"/>
        <v>#DIV/0!</v>
      </c>
      <c r="DC15" s="131"/>
      <c r="DD15" s="159">
        <f t="shared" si="11"/>
        <v>0</v>
      </c>
      <c r="DE15" s="160">
        <f t="shared" si="12"/>
        <v>0</v>
      </c>
      <c r="DF15" s="161">
        <f t="shared" si="13"/>
        <v>0</v>
      </c>
      <c r="DG15" s="162" t="e">
        <f t="shared" si="14"/>
        <v>#DIV/0!</v>
      </c>
      <c r="DH15" s="163">
        <f t="shared" si="15"/>
        <v>0</v>
      </c>
      <c r="DI15" s="164"/>
      <c r="DJ15" s="165">
        <f t="shared" si="16"/>
        <v>0</v>
      </c>
      <c r="DK15" s="166">
        <v>0</v>
      </c>
      <c r="DL15" s="167" t="e">
        <f t="shared" si="17"/>
        <v>#DIV/0!</v>
      </c>
      <c r="DM15" s="168" t="e">
        <f t="shared" si="18"/>
        <v>#DIV/0!</v>
      </c>
      <c r="DN15" s="163" t="e">
        <f t="shared" si="19"/>
        <v>#DIV/0!</v>
      </c>
      <c r="DO15" s="169"/>
      <c r="DP15" s="170"/>
      <c r="DQ15" s="171"/>
      <c r="DR15" s="172">
        <f t="shared" si="20"/>
        <v>0</v>
      </c>
      <c r="DS15" s="173" t="e">
        <f t="shared" si="21"/>
        <v>#DIV/0!</v>
      </c>
      <c r="DT15" s="163" t="e">
        <f t="shared" si="22"/>
        <v>#DIV/0!</v>
      </c>
      <c r="DU15" s="174"/>
      <c r="DV15" s="175" t="e">
        <f t="shared" si="23"/>
        <v>#DIV/0!</v>
      </c>
      <c r="DW15" s="163">
        <f t="shared" si="24"/>
        <v>0</v>
      </c>
      <c r="DX15" s="164"/>
      <c r="DY15" s="176">
        <f t="shared" si="25"/>
        <v>0</v>
      </c>
      <c r="DZ15" s="177">
        <f t="shared" si="26"/>
        <v>0</v>
      </c>
      <c r="EA15" s="178">
        <f t="shared" si="27"/>
        <v>0</v>
      </c>
      <c r="EB15" s="179">
        <f t="shared" si="28"/>
        <v>0</v>
      </c>
      <c r="EC15" s="180"/>
      <c r="ED15" s="175" t="e">
        <f t="shared" si="29"/>
        <v>#DIV/0!</v>
      </c>
      <c r="EE15" s="163">
        <f t="shared" si="30"/>
        <v>0</v>
      </c>
      <c r="EF15" s="164"/>
      <c r="EG15" s="181">
        <f t="shared" si="31"/>
        <v>0</v>
      </c>
      <c r="EH15" s="182">
        <f t="shared" si="32"/>
        <v>0</v>
      </c>
      <c r="EI15" s="182">
        <f t="shared" si="33"/>
        <v>0</v>
      </c>
      <c r="EJ15" s="182">
        <f t="shared" si="34"/>
        <v>0</v>
      </c>
      <c r="EK15" s="183">
        <f t="shared" si="35"/>
        <v>0</v>
      </c>
      <c r="EL15" s="184" t="e">
        <f t="shared" si="36"/>
        <v>#DIV/0!</v>
      </c>
      <c r="EM15" s="185">
        <f t="shared" si="37"/>
        <v>0</v>
      </c>
      <c r="EN15" s="164"/>
      <c r="EO15" s="181">
        <f t="shared" si="38"/>
        <v>0</v>
      </c>
      <c r="EP15" s="183">
        <f t="shared" si="39"/>
        <v>0</v>
      </c>
      <c r="EQ15" s="184" t="e">
        <f t="shared" si="40"/>
        <v>#DIV/0!</v>
      </c>
      <c r="ER15" s="185">
        <f t="shared" si="41"/>
        <v>0</v>
      </c>
      <c r="ES15" s="164"/>
      <c r="ET15" s="164"/>
      <c r="EU15" s="186">
        <f t="shared" si="42"/>
        <v>0</v>
      </c>
      <c r="EV15" s="186">
        <f t="shared" si="43"/>
        <v>0</v>
      </c>
      <c r="EW15" s="186">
        <f t="shared" si="44"/>
        <v>0</v>
      </c>
      <c r="EX15" s="186">
        <f t="shared" si="45"/>
        <v>0</v>
      </c>
      <c r="EY15" s="131"/>
      <c r="EZ15" s="187">
        <f t="shared" si="46"/>
        <v>0</v>
      </c>
      <c r="FA15" s="188" t="e">
        <f t="shared" si="47"/>
        <v>#DIV/0!</v>
      </c>
      <c r="FB15" s="189"/>
      <c r="FC15" s="131"/>
      <c r="FD15" s="131"/>
      <c r="FE15" s="131"/>
      <c r="FF15" s="131"/>
      <c r="FG15" s="131"/>
    </row>
    <row r="16" spans="2:172" ht="16" outlineLevel="1" thickBot="1" x14ac:dyDescent="0.4">
      <c r="B16" s="358"/>
      <c r="C16" s="355"/>
      <c r="D16" s="243"/>
      <c r="E16" s="244"/>
      <c r="F16" s="135"/>
      <c r="G16" s="192"/>
      <c r="H16" s="245"/>
      <c r="I16" s="138">
        <f t="shared" si="0"/>
        <v>0</v>
      </c>
      <c r="J16" s="139"/>
      <c r="K16" s="208">
        <f t="shared" si="49"/>
        <v>0</v>
      </c>
      <c r="L16" s="141"/>
      <c r="M16" s="209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09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1"/>
      <c r="AN16" s="212">
        <f t="shared" si="2"/>
        <v>0</v>
      </c>
      <c r="AO16" s="146"/>
      <c r="AP16" s="147">
        <f t="shared" si="3"/>
        <v>0</v>
      </c>
      <c r="AQ16" s="148"/>
      <c r="AR16" s="213"/>
      <c r="AS16" s="213"/>
      <c r="AT16" s="135"/>
      <c r="AU16" s="214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6"/>
      <c r="BG16" s="216"/>
      <c r="BH16" s="216"/>
      <c r="BI16" s="216"/>
      <c r="BJ16" s="216"/>
      <c r="BK16" s="216"/>
      <c r="BL16" s="216"/>
      <c r="BM16" s="216"/>
      <c r="BN16" s="216"/>
      <c r="BO16" s="216"/>
      <c r="BP16" s="216"/>
      <c r="BQ16" s="216"/>
      <c r="BR16" s="214"/>
      <c r="BS16" s="215"/>
      <c r="BT16" s="215"/>
      <c r="BU16" s="215"/>
      <c r="BV16" s="215"/>
      <c r="BW16" s="215"/>
      <c r="BX16" s="215"/>
      <c r="BY16" s="215"/>
      <c r="BZ16" s="215"/>
      <c r="CA16" s="215"/>
      <c r="CB16" s="215"/>
      <c r="CC16" s="217"/>
      <c r="CD16" s="214"/>
      <c r="CE16" s="209"/>
      <c r="CF16" s="210"/>
      <c r="CG16" s="210"/>
      <c r="CH16" s="210"/>
      <c r="CI16" s="210"/>
      <c r="CJ16" s="210"/>
      <c r="CK16" s="210"/>
      <c r="CL16" s="210"/>
      <c r="CM16" s="210"/>
      <c r="CN16" s="210"/>
      <c r="CO16" s="348"/>
      <c r="CP16" s="215"/>
      <c r="CQ16" s="216"/>
      <c r="CR16" s="217"/>
      <c r="CS16" s="218">
        <f t="shared" si="48"/>
        <v>0</v>
      </c>
      <c r="CT16" s="146"/>
      <c r="CU16" s="147">
        <f t="shared" si="4"/>
        <v>0</v>
      </c>
      <c r="CV16" s="156"/>
      <c r="CW16" s="157" t="e">
        <f t="shared" si="5"/>
        <v>#DIV/0!</v>
      </c>
      <c r="CX16" s="157" t="e">
        <f t="shared" si="6"/>
        <v>#DIV/0!</v>
      </c>
      <c r="CY16" s="157" t="e">
        <f t="shared" si="7"/>
        <v>#DIV/0!</v>
      </c>
      <c r="CZ16" s="157" t="e">
        <f t="shared" si="8"/>
        <v>#DIV/0!</v>
      </c>
      <c r="DA16" s="157" t="e">
        <f t="shared" si="9"/>
        <v>#DIV/0!</v>
      </c>
      <c r="DB16" s="158" t="e">
        <f t="shared" si="10"/>
        <v>#DIV/0!</v>
      </c>
      <c r="DC16" s="131"/>
      <c r="DD16" s="159">
        <f t="shared" si="11"/>
        <v>0</v>
      </c>
      <c r="DE16" s="160">
        <f t="shared" si="12"/>
        <v>0</v>
      </c>
      <c r="DF16" s="161">
        <f t="shared" si="13"/>
        <v>0</v>
      </c>
      <c r="DG16" s="162" t="e">
        <f t="shared" si="14"/>
        <v>#DIV/0!</v>
      </c>
      <c r="DH16" s="163">
        <f t="shared" si="15"/>
        <v>0</v>
      </c>
      <c r="DI16" s="164"/>
      <c r="DJ16" s="165">
        <f t="shared" si="16"/>
        <v>0</v>
      </c>
      <c r="DK16" s="166">
        <f t="shared" si="16"/>
        <v>0</v>
      </c>
      <c r="DL16" s="167" t="e">
        <f t="shared" si="17"/>
        <v>#DIV/0!</v>
      </c>
      <c r="DM16" s="168" t="e">
        <f t="shared" si="18"/>
        <v>#DIV/0!</v>
      </c>
      <c r="DN16" s="163" t="e">
        <f t="shared" si="19"/>
        <v>#DIV/0!</v>
      </c>
      <c r="DO16" s="169"/>
      <c r="DP16" s="170"/>
      <c r="DQ16" s="171"/>
      <c r="DR16" s="172">
        <f t="shared" si="20"/>
        <v>0</v>
      </c>
      <c r="DS16" s="173" t="e">
        <f t="shared" si="21"/>
        <v>#DIV/0!</v>
      </c>
      <c r="DT16" s="163" t="e">
        <f t="shared" si="22"/>
        <v>#DIV/0!</v>
      </c>
      <c r="DU16" s="174"/>
      <c r="DV16" s="175" t="e">
        <f t="shared" si="23"/>
        <v>#DIV/0!</v>
      </c>
      <c r="DW16" s="163">
        <f t="shared" si="24"/>
        <v>0</v>
      </c>
      <c r="DX16" s="164"/>
      <c r="DY16" s="176">
        <f t="shared" si="25"/>
        <v>0</v>
      </c>
      <c r="DZ16" s="177">
        <f t="shared" si="26"/>
        <v>0</v>
      </c>
      <c r="EA16" s="178">
        <f t="shared" si="27"/>
        <v>0</v>
      </c>
      <c r="EB16" s="179">
        <f t="shared" si="28"/>
        <v>0</v>
      </c>
      <c r="EC16" s="180"/>
      <c r="ED16" s="175" t="e">
        <f t="shared" si="29"/>
        <v>#DIV/0!</v>
      </c>
      <c r="EE16" s="163">
        <f t="shared" si="30"/>
        <v>0</v>
      </c>
      <c r="EF16" s="164"/>
      <c r="EG16" s="181">
        <f t="shared" si="31"/>
        <v>0</v>
      </c>
      <c r="EH16" s="182">
        <f t="shared" si="32"/>
        <v>0</v>
      </c>
      <c r="EI16" s="182">
        <f t="shared" si="33"/>
        <v>0</v>
      </c>
      <c r="EJ16" s="182">
        <f t="shared" si="34"/>
        <v>0</v>
      </c>
      <c r="EK16" s="183">
        <f t="shared" si="35"/>
        <v>0</v>
      </c>
      <c r="EL16" s="184" t="e">
        <f t="shared" si="36"/>
        <v>#DIV/0!</v>
      </c>
      <c r="EM16" s="185">
        <f t="shared" si="37"/>
        <v>0</v>
      </c>
      <c r="EN16" s="164"/>
      <c r="EO16" s="181">
        <f t="shared" si="38"/>
        <v>0</v>
      </c>
      <c r="EP16" s="183">
        <f t="shared" si="39"/>
        <v>0</v>
      </c>
      <c r="EQ16" s="184" t="e">
        <f t="shared" si="40"/>
        <v>#DIV/0!</v>
      </c>
      <c r="ER16" s="185">
        <f t="shared" si="41"/>
        <v>0</v>
      </c>
      <c r="ES16" s="164"/>
      <c r="ET16" s="164"/>
      <c r="EU16" s="186">
        <f t="shared" si="42"/>
        <v>0</v>
      </c>
      <c r="EV16" s="186">
        <f t="shared" si="43"/>
        <v>0</v>
      </c>
      <c r="EW16" s="186">
        <f t="shared" si="44"/>
        <v>0</v>
      </c>
      <c r="EX16" s="186">
        <f t="shared" si="45"/>
        <v>0</v>
      </c>
      <c r="EY16" s="131"/>
      <c r="EZ16" s="187">
        <f t="shared" si="46"/>
        <v>0</v>
      </c>
      <c r="FA16" s="188" t="e">
        <f t="shared" si="47"/>
        <v>#DIV/0!</v>
      </c>
      <c r="FB16" s="189"/>
      <c r="FC16" s="219"/>
      <c r="FD16" s="219"/>
      <c r="FE16" s="131"/>
      <c r="FF16" s="131"/>
      <c r="FG16" s="131"/>
    </row>
    <row r="17" spans="1:163" s="220" customFormat="1" ht="16" outlineLevel="1" thickBot="1" x14ac:dyDescent="0.4">
      <c r="B17" s="356"/>
      <c r="C17" s="353"/>
      <c r="D17" s="133"/>
      <c r="E17" s="134"/>
      <c r="F17" s="135"/>
      <c r="G17" s="136"/>
      <c r="H17" s="137"/>
      <c r="I17" s="138">
        <f t="shared" si="0"/>
        <v>0</v>
      </c>
      <c r="J17" s="139"/>
      <c r="K17" s="140">
        <f t="shared" si="49"/>
        <v>0</v>
      </c>
      <c r="L17" s="141"/>
      <c r="M17" s="142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2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4"/>
      <c r="AN17" s="145">
        <f t="shared" si="2"/>
        <v>0</v>
      </c>
      <c r="AO17" s="146"/>
      <c r="AP17" s="147">
        <f t="shared" si="3"/>
        <v>0</v>
      </c>
      <c r="AQ17" s="221"/>
      <c r="AR17" s="149"/>
      <c r="AS17" s="149"/>
      <c r="AT17" s="222"/>
      <c r="AU17" s="223"/>
      <c r="AV17" s="224"/>
      <c r="AW17" s="224"/>
      <c r="AX17" s="224"/>
      <c r="AY17" s="224"/>
      <c r="AZ17" s="224"/>
      <c r="BA17" s="224"/>
      <c r="BB17" s="224"/>
      <c r="BC17" s="224"/>
      <c r="BD17" s="224"/>
      <c r="BE17" s="224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3"/>
      <c r="BS17" s="224"/>
      <c r="BT17" s="224"/>
      <c r="BU17" s="224"/>
      <c r="BV17" s="224"/>
      <c r="BW17" s="224"/>
      <c r="BX17" s="224"/>
      <c r="BY17" s="224"/>
      <c r="BZ17" s="224"/>
      <c r="CA17" s="224"/>
      <c r="CB17" s="224"/>
      <c r="CC17" s="226"/>
      <c r="CD17" s="223"/>
      <c r="CE17" s="142"/>
      <c r="CF17" s="143"/>
      <c r="CG17" s="143"/>
      <c r="CH17" s="143"/>
      <c r="CI17" s="143"/>
      <c r="CJ17" s="143"/>
      <c r="CK17" s="143"/>
      <c r="CL17" s="143"/>
      <c r="CM17" s="143"/>
      <c r="CN17" s="143"/>
      <c r="CO17" s="349"/>
      <c r="CP17" s="224"/>
      <c r="CQ17" s="225"/>
      <c r="CR17" s="226"/>
      <c r="CS17" s="227">
        <f t="shared" si="48"/>
        <v>0</v>
      </c>
      <c r="CT17" s="146"/>
      <c r="CU17" s="147">
        <f t="shared" si="4"/>
        <v>0</v>
      </c>
      <c r="CV17" s="156"/>
      <c r="CW17" s="157" t="e">
        <f t="shared" si="5"/>
        <v>#DIV/0!</v>
      </c>
      <c r="CX17" s="157" t="e">
        <f t="shared" si="6"/>
        <v>#DIV/0!</v>
      </c>
      <c r="CY17" s="157" t="e">
        <f t="shared" si="7"/>
        <v>#DIV/0!</v>
      </c>
      <c r="CZ17" s="157" t="e">
        <f t="shared" si="8"/>
        <v>#DIV/0!</v>
      </c>
      <c r="DA17" s="157" t="e">
        <f t="shared" si="9"/>
        <v>#DIV/0!</v>
      </c>
      <c r="DB17" s="158" t="e">
        <f t="shared" si="10"/>
        <v>#DIV/0!</v>
      </c>
      <c r="DC17" s="131"/>
      <c r="DD17" s="159">
        <f t="shared" si="11"/>
        <v>0</v>
      </c>
      <c r="DE17" s="160">
        <f t="shared" si="12"/>
        <v>0</v>
      </c>
      <c r="DF17" s="161">
        <f t="shared" si="13"/>
        <v>0</v>
      </c>
      <c r="DG17" s="162" t="e">
        <f t="shared" si="14"/>
        <v>#DIV/0!</v>
      </c>
      <c r="DH17" s="163">
        <f t="shared" si="15"/>
        <v>0</v>
      </c>
      <c r="DI17" s="164"/>
      <c r="DJ17" s="165">
        <f t="shared" si="16"/>
        <v>0</v>
      </c>
      <c r="DK17" s="166">
        <f t="shared" si="16"/>
        <v>0</v>
      </c>
      <c r="DL17" s="167" t="e">
        <f t="shared" si="17"/>
        <v>#DIV/0!</v>
      </c>
      <c r="DM17" s="168" t="e">
        <f t="shared" si="18"/>
        <v>#DIV/0!</v>
      </c>
      <c r="DN17" s="163" t="e">
        <f t="shared" si="19"/>
        <v>#DIV/0!</v>
      </c>
      <c r="DO17" s="169"/>
      <c r="DP17" s="170"/>
      <c r="DQ17" s="171"/>
      <c r="DR17" s="172">
        <f t="shared" si="20"/>
        <v>0</v>
      </c>
      <c r="DS17" s="173" t="e">
        <f t="shared" si="21"/>
        <v>#DIV/0!</v>
      </c>
      <c r="DT17" s="163" t="e">
        <f t="shared" si="22"/>
        <v>#DIV/0!</v>
      </c>
      <c r="DU17" s="174"/>
      <c r="DV17" s="175" t="e">
        <f t="shared" si="23"/>
        <v>#DIV/0!</v>
      </c>
      <c r="DW17" s="163">
        <f t="shared" si="24"/>
        <v>0</v>
      </c>
      <c r="DX17" s="164"/>
      <c r="DY17" s="176">
        <f t="shared" si="25"/>
        <v>0</v>
      </c>
      <c r="DZ17" s="177">
        <f t="shared" si="26"/>
        <v>0</v>
      </c>
      <c r="EA17" s="178">
        <f t="shared" si="27"/>
        <v>0</v>
      </c>
      <c r="EB17" s="179">
        <f t="shared" si="28"/>
        <v>0</v>
      </c>
      <c r="EC17" s="180"/>
      <c r="ED17" s="175" t="e">
        <f t="shared" si="29"/>
        <v>#DIV/0!</v>
      </c>
      <c r="EE17" s="163">
        <f t="shared" si="30"/>
        <v>0</v>
      </c>
      <c r="EF17" s="164"/>
      <c r="EG17" s="181">
        <f t="shared" si="31"/>
        <v>0</v>
      </c>
      <c r="EH17" s="182">
        <f t="shared" si="32"/>
        <v>0</v>
      </c>
      <c r="EI17" s="182">
        <f t="shared" si="33"/>
        <v>0</v>
      </c>
      <c r="EJ17" s="182">
        <f t="shared" si="34"/>
        <v>0</v>
      </c>
      <c r="EK17" s="183">
        <f t="shared" si="35"/>
        <v>0</v>
      </c>
      <c r="EL17" s="184" t="e">
        <f t="shared" si="36"/>
        <v>#DIV/0!</v>
      </c>
      <c r="EM17" s="185">
        <f t="shared" si="37"/>
        <v>0</v>
      </c>
      <c r="EN17" s="164"/>
      <c r="EO17" s="181">
        <f t="shared" si="38"/>
        <v>0</v>
      </c>
      <c r="EP17" s="183">
        <f t="shared" si="39"/>
        <v>0</v>
      </c>
      <c r="EQ17" s="184" t="e">
        <f t="shared" si="40"/>
        <v>#DIV/0!</v>
      </c>
      <c r="ER17" s="185">
        <f t="shared" si="41"/>
        <v>0</v>
      </c>
      <c r="ES17" s="164"/>
      <c r="ET17" s="164"/>
      <c r="EU17" s="186">
        <f t="shared" si="42"/>
        <v>0</v>
      </c>
      <c r="EV17" s="186">
        <f t="shared" si="43"/>
        <v>0</v>
      </c>
      <c r="EW17" s="186">
        <f t="shared" si="44"/>
        <v>0</v>
      </c>
      <c r="EX17" s="186">
        <f t="shared" si="45"/>
        <v>0</v>
      </c>
      <c r="EY17" s="131"/>
      <c r="EZ17" s="187">
        <f t="shared" si="46"/>
        <v>0</v>
      </c>
      <c r="FA17" s="188" t="e">
        <f t="shared" si="47"/>
        <v>#DIV/0!</v>
      </c>
      <c r="FB17" s="189"/>
      <c r="FC17" s="219"/>
      <c r="FD17" s="219"/>
      <c r="FE17" s="219"/>
      <c r="FF17" s="219"/>
      <c r="FG17" s="219"/>
    </row>
    <row r="18" spans="1:163" s="220" customFormat="1" ht="16" outlineLevel="1" thickBot="1" x14ac:dyDescent="0.4">
      <c r="B18" s="357"/>
      <c r="C18" s="354"/>
      <c r="D18" s="190"/>
      <c r="E18" s="191"/>
      <c r="F18" s="135"/>
      <c r="G18" s="192"/>
      <c r="H18" s="137"/>
      <c r="I18" s="138">
        <f t="shared" si="0"/>
        <v>0</v>
      </c>
      <c r="J18" s="139"/>
      <c r="K18" s="193">
        <f t="shared" si="49"/>
        <v>0</v>
      </c>
      <c r="L18" s="141"/>
      <c r="M18" s="194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194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6"/>
      <c r="AN18" s="197">
        <f>SUM(M18:AM18)</f>
        <v>0</v>
      </c>
      <c r="AO18" s="146"/>
      <c r="AP18" s="147">
        <f>K18-AN18</f>
        <v>0</v>
      </c>
      <c r="AQ18" s="221"/>
      <c r="AR18" s="198"/>
      <c r="AS18" s="198"/>
      <c r="AT18" s="222"/>
      <c r="AU18" s="228"/>
      <c r="AV18" s="229"/>
      <c r="AW18" s="229"/>
      <c r="AX18" s="229"/>
      <c r="AY18" s="229"/>
      <c r="AZ18" s="229"/>
      <c r="BA18" s="229"/>
      <c r="BB18" s="229"/>
      <c r="BC18" s="229"/>
      <c r="BD18" s="229"/>
      <c r="BE18" s="229"/>
      <c r="BF18" s="230"/>
      <c r="BG18" s="230"/>
      <c r="BH18" s="230"/>
      <c r="BI18" s="230"/>
      <c r="BJ18" s="230"/>
      <c r="BK18" s="230"/>
      <c r="BL18" s="230"/>
      <c r="BM18" s="230"/>
      <c r="BN18" s="230"/>
      <c r="BO18" s="230"/>
      <c r="BP18" s="230"/>
      <c r="BQ18" s="201"/>
      <c r="BR18" s="228"/>
      <c r="BS18" s="229"/>
      <c r="BT18" s="229"/>
      <c r="BU18" s="229"/>
      <c r="BV18" s="229"/>
      <c r="BW18" s="229"/>
      <c r="BX18" s="229"/>
      <c r="BY18" s="229"/>
      <c r="BZ18" s="229"/>
      <c r="CA18" s="229"/>
      <c r="CB18" s="229"/>
      <c r="CC18" s="231"/>
      <c r="CD18" s="228"/>
      <c r="CE18" s="194"/>
      <c r="CF18" s="195"/>
      <c r="CG18" s="195"/>
      <c r="CH18" s="195"/>
      <c r="CI18" s="195"/>
      <c r="CJ18" s="195"/>
      <c r="CK18" s="195"/>
      <c r="CL18" s="195"/>
      <c r="CM18" s="195"/>
      <c r="CN18" s="195"/>
      <c r="CO18" s="350"/>
      <c r="CP18" s="229"/>
      <c r="CQ18" s="230"/>
      <c r="CR18" s="231"/>
      <c r="CS18" s="232">
        <f>SUM(AU18:CR18)</f>
        <v>0</v>
      </c>
      <c r="CT18" s="146"/>
      <c r="CU18" s="147">
        <f t="shared" si="4"/>
        <v>0</v>
      </c>
      <c r="CV18" s="156"/>
      <c r="CW18" s="157" t="e">
        <f>(SUM(M18:Z18))/K18</f>
        <v>#DIV/0!</v>
      </c>
      <c r="CX18" s="157" t="e">
        <f>(SUM(AA18:AM18))/K18</f>
        <v>#DIV/0!</v>
      </c>
      <c r="CY18" s="157" t="e">
        <f>(SUM(AU18:BQ18))/$K18</f>
        <v>#DIV/0!</v>
      </c>
      <c r="CZ18" s="157" t="e">
        <f>(SUM(BR18:CC18))/K18</f>
        <v>#DIV/0!</v>
      </c>
      <c r="DA18" s="157" t="e">
        <f t="shared" si="9"/>
        <v>#DIV/0!</v>
      </c>
      <c r="DB18" s="158" t="e">
        <f t="shared" si="10"/>
        <v>#DIV/0!</v>
      </c>
      <c r="DC18" s="131"/>
      <c r="DD18" s="159">
        <f>AP18</f>
        <v>0</v>
      </c>
      <c r="DE18" s="160">
        <f>CS18</f>
        <v>0</v>
      </c>
      <c r="DF18" s="161">
        <f>$DD18-DE18</f>
        <v>0</v>
      </c>
      <c r="DG18" s="162" t="e">
        <f>DF18/$DD18</f>
        <v>#DIV/0!</v>
      </c>
      <c r="DH18" s="163">
        <f>IF(AP18&gt;0.01,1,0)</f>
        <v>0</v>
      </c>
      <c r="DI18" s="164"/>
      <c r="DJ18" s="165">
        <f>H18</f>
        <v>0</v>
      </c>
      <c r="DK18" s="166">
        <f>I18</f>
        <v>0</v>
      </c>
      <c r="DL18" s="167" t="e">
        <f>DR18/DF18</f>
        <v>#DIV/0!</v>
      </c>
      <c r="DM18" s="168" t="e">
        <f>DL18/DK18</f>
        <v>#DIV/0!</v>
      </c>
      <c r="DN18" s="163" t="e">
        <f>IF(DM18&gt;0.01,1,0)</f>
        <v>#DIV/0!</v>
      </c>
      <c r="DO18" s="169"/>
      <c r="DP18" s="170"/>
      <c r="DQ18" s="171"/>
      <c r="DR18" s="172">
        <f>DP18+DQ18</f>
        <v>0</v>
      </c>
      <c r="DS18" s="173" t="e">
        <f>IF(DL18=0,0,DP18/DR18)</f>
        <v>#DIV/0!</v>
      </c>
      <c r="DT18" s="163" t="e">
        <f>IF(DS18&gt;0.01,1,0)</f>
        <v>#DIV/0!</v>
      </c>
      <c r="DU18" s="174"/>
      <c r="DV18" s="175" t="e">
        <f>DG18*DM18*DS18</f>
        <v>#DIV/0!</v>
      </c>
      <c r="DW18" s="163">
        <f t="shared" si="24"/>
        <v>0</v>
      </c>
      <c r="DX18" s="164"/>
      <c r="DY18" s="176">
        <f>DP18</f>
        <v>0</v>
      </c>
      <c r="DZ18" s="177">
        <f>DK18</f>
        <v>0</v>
      </c>
      <c r="EA18" s="178">
        <f>+AP18</f>
        <v>0</v>
      </c>
      <c r="EB18" s="179">
        <f>DZ18*EA18</f>
        <v>0</v>
      </c>
      <c r="EC18" s="180"/>
      <c r="ED18" s="175" t="e">
        <f>DY18/EB18</f>
        <v>#DIV/0!</v>
      </c>
      <c r="EE18" s="163">
        <f t="shared" si="30"/>
        <v>0</v>
      </c>
      <c r="EF18" s="164"/>
      <c r="EG18" s="181">
        <f>DP18</f>
        <v>0</v>
      </c>
      <c r="EH18" s="182">
        <f>K18</f>
        <v>0</v>
      </c>
      <c r="EI18" s="182">
        <f>SUM(M18:Z18)</f>
        <v>0</v>
      </c>
      <c r="EJ18" s="182">
        <f>I18</f>
        <v>0</v>
      </c>
      <c r="EK18" s="183">
        <f>(EH18-EI18)*EJ18</f>
        <v>0</v>
      </c>
      <c r="EL18" s="184" t="e">
        <f>EG18/EK18</f>
        <v>#DIV/0!</v>
      </c>
      <c r="EM18" s="185">
        <f>IF(EK18&gt;0.01,1,0)</f>
        <v>0</v>
      </c>
      <c r="EN18" s="164"/>
      <c r="EO18" s="181">
        <f>EG18</f>
        <v>0</v>
      </c>
      <c r="EP18" s="183">
        <f>EJ18</f>
        <v>0</v>
      </c>
      <c r="EQ18" s="184" t="e">
        <f t="shared" si="40"/>
        <v>#DIV/0!</v>
      </c>
      <c r="ER18" s="185">
        <f t="shared" si="41"/>
        <v>0</v>
      </c>
      <c r="ES18" s="164"/>
      <c r="ET18" s="164"/>
      <c r="EU18" s="186">
        <f>DK18</f>
        <v>0</v>
      </c>
      <c r="EV18" s="186">
        <f>CU18</f>
        <v>0</v>
      </c>
      <c r="EW18" s="186">
        <f t="shared" si="44"/>
        <v>0</v>
      </c>
      <c r="EX18" s="186">
        <f>DR18</f>
        <v>0</v>
      </c>
      <c r="EY18" s="131"/>
      <c r="EZ18" s="187">
        <f>EW18-EX18</f>
        <v>0</v>
      </c>
      <c r="FA18" s="188" t="e">
        <f t="shared" si="47"/>
        <v>#DIV/0!</v>
      </c>
      <c r="FB18" s="189"/>
      <c r="FC18" s="219"/>
      <c r="FD18" s="219"/>
      <c r="FE18" s="219"/>
      <c r="FF18" s="219"/>
      <c r="FG18" s="219"/>
    </row>
    <row r="19" spans="1:163" s="220" customFormat="1" ht="16" outlineLevel="1" thickBot="1" x14ac:dyDescent="0.4">
      <c r="B19" s="358"/>
      <c r="C19" s="355"/>
      <c r="D19" s="204"/>
      <c r="E19" s="205"/>
      <c r="F19" s="135"/>
      <c r="G19" s="206"/>
      <c r="H19" s="207"/>
      <c r="I19" s="138">
        <f t="shared" si="0"/>
        <v>0</v>
      </c>
      <c r="J19" s="139"/>
      <c r="K19" s="208">
        <f t="shared" si="49"/>
        <v>0</v>
      </c>
      <c r="L19" s="141"/>
      <c r="M19" s="209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09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1"/>
      <c r="AN19" s="212">
        <f t="shared" si="2"/>
        <v>0</v>
      </c>
      <c r="AO19" s="146"/>
      <c r="AP19" s="147">
        <f t="shared" si="3"/>
        <v>0</v>
      </c>
      <c r="AQ19" s="221"/>
      <c r="AR19" s="213"/>
      <c r="AS19" s="213"/>
      <c r="AT19" s="222"/>
      <c r="AU19" s="233"/>
      <c r="AV19" s="234"/>
      <c r="AW19" s="234"/>
      <c r="AX19" s="234"/>
      <c r="AY19" s="234"/>
      <c r="AZ19" s="234"/>
      <c r="BA19" s="234"/>
      <c r="BB19" s="234"/>
      <c r="BC19" s="234"/>
      <c r="BD19" s="234"/>
      <c r="BE19" s="234"/>
      <c r="BF19" s="235"/>
      <c r="BG19" s="235"/>
      <c r="BH19" s="216"/>
      <c r="BI19" s="235"/>
      <c r="BJ19" s="235"/>
      <c r="BK19" s="235"/>
      <c r="BL19" s="235"/>
      <c r="BM19" s="235"/>
      <c r="BN19" s="235"/>
      <c r="BO19" s="235"/>
      <c r="BP19" s="235"/>
      <c r="BQ19" s="235"/>
      <c r="BR19" s="233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6"/>
      <c r="CD19" s="233"/>
      <c r="CE19" s="209"/>
      <c r="CF19" s="210"/>
      <c r="CG19" s="210"/>
      <c r="CH19" s="210"/>
      <c r="CI19" s="210"/>
      <c r="CJ19" s="210"/>
      <c r="CK19" s="210"/>
      <c r="CL19" s="210"/>
      <c r="CM19" s="210"/>
      <c r="CN19" s="210"/>
      <c r="CO19" s="351"/>
      <c r="CP19" s="234"/>
      <c r="CQ19" s="235"/>
      <c r="CR19" s="236"/>
      <c r="CS19" s="237">
        <f t="shared" si="48"/>
        <v>0</v>
      </c>
      <c r="CT19" s="146"/>
      <c r="CU19" s="147">
        <f t="shared" si="4"/>
        <v>0</v>
      </c>
      <c r="CV19" s="156"/>
      <c r="CW19" s="157" t="e">
        <f t="shared" si="5"/>
        <v>#DIV/0!</v>
      </c>
      <c r="CX19" s="157" t="e">
        <f t="shared" si="6"/>
        <v>#DIV/0!</v>
      </c>
      <c r="CY19" s="157" t="e">
        <f t="shared" si="7"/>
        <v>#DIV/0!</v>
      </c>
      <c r="CZ19" s="157" t="e">
        <f t="shared" si="8"/>
        <v>#DIV/0!</v>
      </c>
      <c r="DA19" s="157" t="e">
        <f t="shared" si="9"/>
        <v>#DIV/0!</v>
      </c>
      <c r="DB19" s="158" t="e">
        <f t="shared" si="10"/>
        <v>#DIV/0!</v>
      </c>
      <c r="DC19" s="131"/>
      <c r="DD19" s="159">
        <f t="shared" si="11"/>
        <v>0</v>
      </c>
      <c r="DE19" s="160">
        <f t="shared" si="12"/>
        <v>0</v>
      </c>
      <c r="DF19" s="161">
        <f t="shared" si="13"/>
        <v>0</v>
      </c>
      <c r="DG19" s="162" t="e">
        <f t="shared" si="14"/>
        <v>#DIV/0!</v>
      </c>
      <c r="DH19" s="163">
        <f t="shared" si="15"/>
        <v>0</v>
      </c>
      <c r="DI19" s="164"/>
      <c r="DJ19" s="165">
        <f t="shared" si="16"/>
        <v>0</v>
      </c>
      <c r="DK19" s="166">
        <f t="shared" si="16"/>
        <v>0</v>
      </c>
      <c r="DL19" s="167" t="e">
        <f t="shared" si="17"/>
        <v>#DIV/0!</v>
      </c>
      <c r="DM19" s="168" t="e">
        <f t="shared" si="18"/>
        <v>#DIV/0!</v>
      </c>
      <c r="DN19" s="163" t="e">
        <f t="shared" si="19"/>
        <v>#DIV/0!</v>
      </c>
      <c r="DO19" s="169"/>
      <c r="DP19" s="170"/>
      <c r="DQ19" s="171"/>
      <c r="DR19" s="172">
        <f t="shared" si="20"/>
        <v>0</v>
      </c>
      <c r="DS19" s="173" t="e">
        <f t="shared" si="21"/>
        <v>#DIV/0!</v>
      </c>
      <c r="DT19" s="163" t="e">
        <f t="shared" si="22"/>
        <v>#DIV/0!</v>
      </c>
      <c r="DU19" s="174"/>
      <c r="DV19" s="175" t="e">
        <f t="shared" si="23"/>
        <v>#DIV/0!</v>
      </c>
      <c r="DW19" s="163">
        <f t="shared" si="24"/>
        <v>0</v>
      </c>
      <c r="DX19" s="164"/>
      <c r="DY19" s="176">
        <f t="shared" si="25"/>
        <v>0</v>
      </c>
      <c r="DZ19" s="177">
        <f t="shared" si="26"/>
        <v>0</v>
      </c>
      <c r="EA19" s="178">
        <f t="shared" si="27"/>
        <v>0</v>
      </c>
      <c r="EB19" s="179">
        <f t="shared" si="28"/>
        <v>0</v>
      </c>
      <c r="EC19" s="180"/>
      <c r="ED19" s="175" t="e">
        <f t="shared" si="29"/>
        <v>#DIV/0!</v>
      </c>
      <c r="EE19" s="163">
        <f t="shared" si="30"/>
        <v>0</v>
      </c>
      <c r="EF19" s="164"/>
      <c r="EG19" s="181">
        <f t="shared" si="31"/>
        <v>0</v>
      </c>
      <c r="EH19" s="182">
        <f t="shared" si="32"/>
        <v>0</v>
      </c>
      <c r="EI19" s="182">
        <f t="shared" si="33"/>
        <v>0</v>
      </c>
      <c r="EJ19" s="182">
        <f t="shared" si="34"/>
        <v>0</v>
      </c>
      <c r="EK19" s="183">
        <f t="shared" si="35"/>
        <v>0</v>
      </c>
      <c r="EL19" s="184" t="e">
        <f t="shared" si="36"/>
        <v>#DIV/0!</v>
      </c>
      <c r="EM19" s="185">
        <f t="shared" si="37"/>
        <v>0</v>
      </c>
      <c r="EN19" s="164"/>
      <c r="EO19" s="181">
        <f t="shared" si="38"/>
        <v>0</v>
      </c>
      <c r="EP19" s="183">
        <f t="shared" si="39"/>
        <v>0</v>
      </c>
      <c r="EQ19" s="184" t="e">
        <f t="shared" si="40"/>
        <v>#DIV/0!</v>
      </c>
      <c r="ER19" s="185">
        <f t="shared" si="41"/>
        <v>0</v>
      </c>
      <c r="ES19" s="164"/>
      <c r="ET19" s="164"/>
      <c r="EU19" s="186">
        <f t="shared" si="42"/>
        <v>0</v>
      </c>
      <c r="EV19" s="186">
        <f t="shared" si="43"/>
        <v>0</v>
      </c>
      <c r="EW19" s="186">
        <f t="shared" si="44"/>
        <v>0</v>
      </c>
      <c r="EX19" s="186">
        <f t="shared" si="45"/>
        <v>0</v>
      </c>
      <c r="EY19" s="131"/>
      <c r="EZ19" s="187">
        <f t="shared" si="46"/>
        <v>0</v>
      </c>
      <c r="FA19" s="188" t="e">
        <f t="shared" si="47"/>
        <v>#DIV/0!</v>
      </c>
      <c r="FB19" s="189"/>
      <c r="FC19" s="131"/>
      <c r="FD19" s="131"/>
      <c r="FE19" s="219"/>
      <c r="FF19" s="219"/>
      <c r="FG19" s="219"/>
    </row>
    <row r="20" spans="1:163" ht="16" outlineLevel="1" thickBot="1" x14ac:dyDescent="0.4">
      <c r="B20" s="356"/>
      <c r="C20" s="353"/>
      <c r="D20" s="133"/>
      <c r="E20" s="134"/>
      <c r="F20" s="135"/>
      <c r="G20" s="136"/>
      <c r="H20" s="137"/>
      <c r="I20" s="138">
        <f t="shared" si="0"/>
        <v>0</v>
      </c>
      <c r="J20" s="139"/>
      <c r="K20" s="140">
        <f t="shared" si="49"/>
        <v>0</v>
      </c>
      <c r="L20" s="141"/>
      <c r="M20" s="142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2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4"/>
      <c r="AN20" s="145">
        <f t="shared" si="2"/>
        <v>0</v>
      </c>
      <c r="AO20" s="146"/>
      <c r="AP20" s="147">
        <f t="shared" si="3"/>
        <v>0</v>
      </c>
      <c r="AQ20" s="148"/>
      <c r="AR20" s="149"/>
      <c r="AS20" s="149"/>
      <c r="AT20" s="135"/>
      <c r="AU20" s="150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2"/>
      <c r="BG20" s="152"/>
      <c r="BH20" s="152"/>
      <c r="BI20" s="152"/>
      <c r="BJ20" s="152"/>
      <c r="BK20" s="152"/>
      <c r="BL20" s="152"/>
      <c r="BM20" s="152"/>
      <c r="BN20" s="152"/>
      <c r="BO20" s="152"/>
      <c r="BP20" s="152"/>
      <c r="BQ20" s="152"/>
      <c r="BR20" s="150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4"/>
      <c r="CD20" s="150"/>
      <c r="CE20" s="142"/>
      <c r="CF20" s="143"/>
      <c r="CG20" s="143"/>
      <c r="CH20" s="143"/>
      <c r="CI20" s="143"/>
      <c r="CJ20" s="143"/>
      <c r="CK20" s="143"/>
      <c r="CL20" s="143"/>
      <c r="CM20" s="143"/>
      <c r="CN20" s="143"/>
      <c r="CO20" s="346"/>
      <c r="CP20" s="151"/>
      <c r="CQ20" s="152"/>
      <c r="CR20" s="154"/>
      <c r="CS20" s="155">
        <f t="shared" si="48"/>
        <v>0</v>
      </c>
      <c r="CT20" s="146"/>
      <c r="CU20" s="147">
        <f t="shared" si="4"/>
        <v>0</v>
      </c>
      <c r="CV20" s="156"/>
      <c r="CW20" s="157" t="e">
        <f t="shared" si="5"/>
        <v>#DIV/0!</v>
      </c>
      <c r="CX20" s="157" t="e">
        <f t="shared" si="6"/>
        <v>#DIV/0!</v>
      </c>
      <c r="CY20" s="157" t="e">
        <f t="shared" si="7"/>
        <v>#DIV/0!</v>
      </c>
      <c r="CZ20" s="157" t="e">
        <f t="shared" si="8"/>
        <v>#DIV/0!</v>
      </c>
      <c r="DA20" s="157" t="e">
        <f t="shared" si="9"/>
        <v>#DIV/0!</v>
      </c>
      <c r="DB20" s="158" t="e">
        <f t="shared" si="10"/>
        <v>#DIV/0!</v>
      </c>
      <c r="DC20" s="131"/>
      <c r="DD20" s="159">
        <f t="shared" si="11"/>
        <v>0</v>
      </c>
      <c r="DE20" s="160">
        <f t="shared" si="12"/>
        <v>0</v>
      </c>
      <c r="DF20" s="161">
        <f t="shared" si="13"/>
        <v>0</v>
      </c>
      <c r="DG20" s="162" t="e">
        <f t="shared" si="14"/>
        <v>#DIV/0!</v>
      </c>
      <c r="DH20" s="163">
        <f t="shared" si="15"/>
        <v>0</v>
      </c>
      <c r="DI20" s="164"/>
      <c r="DJ20" s="165">
        <f t="shared" si="16"/>
        <v>0</v>
      </c>
      <c r="DK20" s="166">
        <f t="shared" si="16"/>
        <v>0</v>
      </c>
      <c r="DL20" s="167" t="e">
        <f t="shared" si="17"/>
        <v>#DIV/0!</v>
      </c>
      <c r="DM20" s="168" t="e">
        <f t="shared" si="18"/>
        <v>#DIV/0!</v>
      </c>
      <c r="DN20" s="163" t="e">
        <f t="shared" si="19"/>
        <v>#DIV/0!</v>
      </c>
      <c r="DO20" s="169"/>
      <c r="DP20" s="170"/>
      <c r="DQ20" s="171"/>
      <c r="DR20" s="172">
        <f t="shared" si="20"/>
        <v>0</v>
      </c>
      <c r="DS20" s="173" t="e">
        <f t="shared" si="21"/>
        <v>#DIV/0!</v>
      </c>
      <c r="DT20" s="163" t="e">
        <f t="shared" si="22"/>
        <v>#DIV/0!</v>
      </c>
      <c r="DU20" s="174"/>
      <c r="DV20" s="175" t="e">
        <f t="shared" si="23"/>
        <v>#DIV/0!</v>
      </c>
      <c r="DW20" s="163">
        <f t="shared" si="24"/>
        <v>0</v>
      </c>
      <c r="DX20" s="164"/>
      <c r="DY20" s="176">
        <f t="shared" si="25"/>
        <v>0</v>
      </c>
      <c r="DZ20" s="177">
        <f t="shared" si="26"/>
        <v>0</v>
      </c>
      <c r="EA20" s="178">
        <f t="shared" si="27"/>
        <v>0</v>
      </c>
      <c r="EB20" s="179">
        <f t="shared" si="28"/>
        <v>0</v>
      </c>
      <c r="EC20" s="180"/>
      <c r="ED20" s="175" t="e">
        <f t="shared" si="29"/>
        <v>#DIV/0!</v>
      </c>
      <c r="EE20" s="163">
        <f t="shared" si="30"/>
        <v>0</v>
      </c>
      <c r="EF20" s="164"/>
      <c r="EG20" s="181">
        <f t="shared" si="31"/>
        <v>0</v>
      </c>
      <c r="EH20" s="182">
        <f t="shared" si="32"/>
        <v>0</v>
      </c>
      <c r="EI20" s="182">
        <f t="shared" si="33"/>
        <v>0</v>
      </c>
      <c r="EJ20" s="182">
        <f t="shared" si="34"/>
        <v>0</v>
      </c>
      <c r="EK20" s="183">
        <f t="shared" si="35"/>
        <v>0</v>
      </c>
      <c r="EL20" s="184" t="e">
        <f t="shared" si="36"/>
        <v>#DIV/0!</v>
      </c>
      <c r="EM20" s="185">
        <f t="shared" si="37"/>
        <v>0</v>
      </c>
      <c r="EN20" s="164"/>
      <c r="EO20" s="181">
        <f t="shared" si="38"/>
        <v>0</v>
      </c>
      <c r="EP20" s="183">
        <f t="shared" si="39"/>
        <v>0</v>
      </c>
      <c r="EQ20" s="184" t="e">
        <f t="shared" si="40"/>
        <v>#DIV/0!</v>
      </c>
      <c r="ER20" s="185">
        <f t="shared" si="41"/>
        <v>0</v>
      </c>
      <c r="ES20" s="164"/>
      <c r="ET20" s="164"/>
      <c r="EU20" s="186">
        <f t="shared" si="42"/>
        <v>0</v>
      </c>
      <c r="EV20" s="186">
        <f t="shared" si="43"/>
        <v>0</v>
      </c>
      <c r="EW20" s="186">
        <f t="shared" si="44"/>
        <v>0</v>
      </c>
      <c r="EX20" s="186">
        <f t="shared" si="45"/>
        <v>0</v>
      </c>
      <c r="EY20" s="131"/>
      <c r="EZ20" s="187">
        <f t="shared" si="46"/>
        <v>0</v>
      </c>
      <c r="FA20" s="188" t="e">
        <f t="shared" si="47"/>
        <v>#DIV/0!</v>
      </c>
      <c r="FB20" s="189"/>
      <c r="FC20" s="131"/>
      <c r="FD20" s="131"/>
      <c r="FE20" s="131"/>
      <c r="FF20" s="131"/>
      <c r="FG20" s="131"/>
    </row>
    <row r="21" spans="1:163" ht="16" outlineLevel="1" thickBot="1" x14ac:dyDescent="0.4">
      <c r="B21" s="357"/>
      <c r="C21" s="354"/>
      <c r="D21" s="190"/>
      <c r="E21" s="191"/>
      <c r="F21" s="135"/>
      <c r="G21" s="192"/>
      <c r="H21" s="137"/>
      <c r="I21" s="138">
        <f t="shared" si="0"/>
        <v>0</v>
      </c>
      <c r="J21" s="139"/>
      <c r="K21" s="193">
        <f t="shared" si="49"/>
        <v>0</v>
      </c>
      <c r="L21" s="141"/>
      <c r="M21" s="194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4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6"/>
      <c r="AN21" s="197">
        <f t="shared" si="2"/>
        <v>0</v>
      </c>
      <c r="AO21" s="146"/>
      <c r="AP21" s="147">
        <f t="shared" si="3"/>
        <v>0</v>
      </c>
      <c r="AQ21" s="148"/>
      <c r="AR21" s="198"/>
      <c r="AS21" s="198"/>
      <c r="AT21" s="135"/>
      <c r="AU21" s="199"/>
      <c r="AV21" s="200"/>
      <c r="AW21" s="200"/>
      <c r="AX21" s="200"/>
      <c r="AY21" s="200"/>
      <c r="AZ21" s="200"/>
      <c r="BA21" s="200"/>
      <c r="BB21" s="200"/>
      <c r="BC21" s="200"/>
      <c r="BD21" s="200"/>
      <c r="BE21" s="200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199"/>
      <c r="BS21" s="200"/>
      <c r="BT21" s="200"/>
      <c r="BU21" s="200"/>
      <c r="BV21" s="200"/>
      <c r="BW21" s="200"/>
      <c r="BX21" s="200"/>
      <c r="BY21" s="200"/>
      <c r="BZ21" s="200"/>
      <c r="CA21" s="200"/>
      <c r="CB21" s="200"/>
      <c r="CC21" s="202"/>
      <c r="CD21" s="199"/>
      <c r="CE21" s="194"/>
      <c r="CF21" s="195"/>
      <c r="CG21" s="195"/>
      <c r="CH21" s="195"/>
      <c r="CI21" s="195"/>
      <c r="CJ21" s="195"/>
      <c r="CK21" s="195"/>
      <c r="CL21" s="195"/>
      <c r="CM21" s="195"/>
      <c r="CN21" s="195"/>
      <c r="CO21" s="347"/>
      <c r="CP21" s="200"/>
      <c r="CQ21" s="201"/>
      <c r="CR21" s="202"/>
      <c r="CS21" s="203">
        <f t="shared" si="48"/>
        <v>0</v>
      </c>
      <c r="CT21" s="146"/>
      <c r="CU21" s="147">
        <f t="shared" si="4"/>
        <v>0</v>
      </c>
      <c r="CV21" s="156"/>
      <c r="CW21" s="157" t="e">
        <f t="shared" si="5"/>
        <v>#DIV/0!</v>
      </c>
      <c r="CX21" s="157" t="e">
        <f t="shared" si="6"/>
        <v>#DIV/0!</v>
      </c>
      <c r="CY21" s="157" t="e">
        <f t="shared" si="7"/>
        <v>#DIV/0!</v>
      </c>
      <c r="CZ21" s="157" t="e">
        <f t="shared" si="8"/>
        <v>#DIV/0!</v>
      </c>
      <c r="DA21" s="157" t="e">
        <f t="shared" si="9"/>
        <v>#DIV/0!</v>
      </c>
      <c r="DB21" s="158" t="e">
        <f t="shared" si="10"/>
        <v>#DIV/0!</v>
      </c>
      <c r="DC21" s="131"/>
      <c r="DD21" s="159">
        <f t="shared" si="11"/>
        <v>0</v>
      </c>
      <c r="DE21" s="160">
        <f t="shared" si="12"/>
        <v>0</v>
      </c>
      <c r="DF21" s="161">
        <f t="shared" si="13"/>
        <v>0</v>
      </c>
      <c r="DG21" s="162" t="e">
        <f t="shared" si="14"/>
        <v>#DIV/0!</v>
      </c>
      <c r="DH21" s="163">
        <f t="shared" si="15"/>
        <v>0</v>
      </c>
      <c r="DI21" s="164"/>
      <c r="DJ21" s="165">
        <f t="shared" si="16"/>
        <v>0</v>
      </c>
      <c r="DK21" s="166">
        <f t="shared" si="16"/>
        <v>0</v>
      </c>
      <c r="DL21" s="167" t="e">
        <f t="shared" si="17"/>
        <v>#DIV/0!</v>
      </c>
      <c r="DM21" s="168" t="e">
        <f t="shared" si="18"/>
        <v>#DIV/0!</v>
      </c>
      <c r="DN21" s="163" t="e">
        <f t="shared" si="19"/>
        <v>#DIV/0!</v>
      </c>
      <c r="DO21" s="169"/>
      <c r="DP21" s="170"/>
      <c r="DQ21" s="171"/>
      <c r="DR21" s="172">
        <f t="shared" si="20"/>
        <v>0</v>
      </c>
      <c r="DS21" s="173" t="e">
        <f t="shared" si="21"/>
        <v>#DIV/0!</v>
      </c>
      <c r="DT21" s="163" t="e">
        <f t="shared" si="22"/>
        <v>#DIV/0!</v>
      </c>
      <c r="DU21" s="174"/>
      <c r="DV21" s="175" t="e">
        <f t="shared" si="23"/>
        <v>#DIV/0!</v>
      </c>
      <c r="DW21" s="163">
        <f t="shared" si="24"/>
        <v>0</v>
      </c>
      <c r="DX21" s="164"/>
      <c r="DY21" s="176">
        <f t="shared" si="25"/>
        <v>0</v>
      </c>
      <c r="DZ21" s="177">
        <f t="shared" si="26"/>
        <v>0</v>
      </c>
      <c r="EA21" s="178">
        <f t="shared" si="27"/>
        <v>0</v>
      </c>
      <c r="EB21" s="179">
        <f t="shared" si="28"/>
        <v>0</v>
      </c>
      <c r="EC21" s="180"/>
      <c r="ED21" s="175" t="e">
        <f t="shared" si="29"/>
        <v>#DIV/0!</v>
      </c>
      <c r="EE21" s="163">
        <f t="shared" si="30"/>
        <v>0</v>
      </c>
      <c r="EF21" s="164"/>
      <c r="EG21" s="181">
        <f t="shared" si="31"/>
        <v>0</v>
      </c>
      <c r="EH21" s="182">
        <f t="shared" si="32"/>
        <v>0</v>
      </c>
      <c r="EI21" s="182">
        <f t="shared" si="33"/>
        <v>0</v>
      </c>
      <c r="EJ21" s="182">
        <f t="shared" si="34"/>
        <v>0</v>
      </c>
      <c r="EK21" s="183">
        <f t="shared" si="35"/>
        <v>0</v>
      </c>
      <c r="EL21" s="184" t="e">
        <f t="shared" si="36"/>
        <v>#DIV/0!</v>
      </c>
      <c r="EM21" s="185">
        <f t="shared" si="37"/>
        <v>0</v>
      </c>
      <c r="EN21" s="164"/>
      <c r="EO21" s="181">
        <f t="shared" si="38"/>
        <v>0</v>
      </c>
      <c r="EP21" s="183">
        <f t="shared" si="39"/>
        <v>0</v>
      </c>
      <c r="EQ21" s="184" t="e">
        <f t="shared" si="40"/>
        <v>#DIV/0!</v>
      </c>
      <c r="ER21" s="185">
        <f t="shared" si="41"/>
        <v>0</v>
      </c>
      <c r="ES21" s="164"/>
      <c r="ET21" s="164"/>
      <c r="EU21" s="186">
        <f t="shared" si="42"/>
        <v>0</v>
      </c>
      <c r="EV21" s="186">
        <f t="shared" si="43"/>
        <v>0</v>
      </c>
      <c r="EW21" s="186">
        <f t="shared" si="44"/>
        <v>0</v>
      </c>
      <c r="EX21" s="186">
        <f t="shared" si="45"/>
        <v>0</v>
      </c>
      <c r="EY21" s="131"/>
      <c r="EZ21" s="187">
        <f t="shared" si="46"/>
        <v>0</v>
      </c>
      <c r="FA21" s="188" t="e">
        <f t="shared" si="47"/>
        <v>#DIV/0!</v>
      </c>
      <c r="FB21" s="189"/>
      <c r="FC21" s="131"/>
      <c r="FD21" s="131"/>
      <c r="FE21" s="131"/>
      <c r="FF21" s="131"/>
      <c r="FG21" s="131"/>
    </row>
    <row r="22" spans="1:163" ht="16" outlineLevel="1" thickBot="1" x14ac:dyDescent="0.4">
      <c r="B22" s="358"/>
      <c r="C22" s="355"/>
      <c r="D22" s="204"/>
      <c r="E22" s="205"/>
      <c r="F22" s="135"/>
      <c r="G22" s="206"/>
      <c r="H22" s="207"/>
      <c r="I22" s="138">
        <f t="shared" si="0"/>
        <v>0</v>
      </c>
      <c r="J22" s="139"/>
      <c r="K22" s="208">
        <f t="shared" si="49"/>
        <v>0</v>
      </c>
      <c r="L22" s="141"/>
      <c r="M22" s="209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09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1"/>
      <c r="AN22" s="212">
        <f t="shared" si="2"/>
        <v>0</v>
      </c>
      <c r="AO22" s="146"/>
      <c r="AP22" s="147">
        <f t="shared" si="3"/>
        <v>0</v>
      </c>
      <c r="AQ22" s="148"/>
      <c r="AR22" s="213"/>
      <c r="AS22" s="213"/>
      <c r="AT22" s="135"/>
      <c r="AU22" s="214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6"/>
      <c r="BG22" s="216"/>
      <c r="BH22" s="216"/>
      <c r="BI22" s="216"/>
      <c r="BJ22" s="216"/>
      <c r="BK22" s="216"/>
      <c r="BL22" s="216"/>
      <c r="BM22" s="216"/>
      <c r="BN22" s="216"/>
      <c r="BO22" s="216"/>
      <c r="BP22" s="216"/>
      <c r="BQ22" s="216"/>
      <c r="BR22" s="214"/>
      <c r="BS22" s="215"/>
      <c r="BT22" s="215"/>
      <c r="BU22" s="215"/>
      <c r="BV22" s="215"/>
      <c r="BW22" s="215"/>
      <c r="BX22" s="215"/>
      <c r="BY22" s="215"/>
      <c r="BZ22" s="215"/>
      <c r="CA22" s="215"/>
      <c r="CB22" s="215"/>
      <c r="CC22" s="217"/>
      <c r="CD22" s="214"/>
      <c r="CE22" s="209"/>
      <c r="CF22" s="210"/>
      <c r="CG22" s="210"/>
      <c r="CH22" s="210"/>
      <c r="CI22" s="210"/>
      <c r="CJ22" s="210"/>
      <c r="CK22" s="210"/>
      <c r="CL22" s="210"/>
      <c r="CM22" s="210"/>
      <c r="CN22" s="210"/>
      <c r="CO22" s="348"/>
      <c r="CP22" s="215"/>
      <c r="CQ22" s="216"/>
      <c r="CR22" s="217"/>
      <c r="CS22" s="218">
        <f t="shared" si="48"/>
        <v>0</v>
      </c>
      <c r="CT22" s="146"/>
      <c r="CU22" s="147">
        <f t="shared" si="4"/>
        <v>0</v>
      </c>
      <c r="CV22" s="156"/>
      <c r="CW22" s="157" t="e">
        <f t="shared" si="5"/>
        <v>#DIV/0!</v>
      </c>
      <c r="CX22" s="157" t="e">
        <f t="shared" si="6"/>
        <v>#DIV/0!</v>
      </c>
      <c r="CY22" s="157" t="e">
        <f t="shared" si="7"/>
        <v>#DIV/0!</v>
      </c>
      <c r="CZ22" s="157" t="e">
        <f t="shared" si="8"/>
        <v>#DIV/0!</v>
      </c>
      <c r="DA22" s="157" t="e">
        <f t="shared" si="9"/>
        <v>#DIV/0!</v>
      </c>
      <c r="DB22" s="158" t="e">
        <f t="shared" si="10"/>
        <v>#DIV/0!</v>
      </c>
      <c r="DC22" s="131"/>
      <c r="DD22" s="159">
        <f t="shared" si="11"/>
        <v>0</v>
      </c>
      <c r="DE22" s="160">
        <f t="shared" si="12"/>
        <v>0</v>
      </c>
      <c r="DF22" s="161">
        <f t="shared" si="13"/>
        <v>0</v>
      </c>
      <c r="DG22" s="162" t="e">
        <f t="shared" si="14"/>
        <v>#DIV/0!</v>
      </c>
      <c r="DH22" s="163">
        <f t="shared" si="15"/>
        <v>0</v>
      </c>
      <c r="DI22" s="164"/>
      <c r="DJ22" s="165">
        <f t="shared" si="16"/>
        <v>0</v>
      </c>
      <c r="DK22" s="166">
        <f t="shared" si="16"/>
        <v>0</v>
      </c>
      <c r="DL22" s="167" t="e">
        <f t="shared" si="17"/>
        <v>#DIV/0!</v>
      </c>
      <c r="DM22" s="168" t="e">
        <f t="shared" si="18"/>
        <v>#DIV/0!</v>
      </c>
      <c r="DN22" s="163" t="e">
        <f t="shared" si="19"/>
        <v>#DIV/0!</v>
      </c>
      <c r="DO22" s="169"/>
      <c r="DP22" s="170"/>
      <c r="DQ22" s="171"/>
      <c r="DR22" s="172">
        <f t="shared" si="20"/>
        <v>0</v>
      </c>
      <c r="DS22" s="173" t="e">
        <f t="shared" si="21"/>
        <v>#DIV/0!</v>
      </c>
      <c r="DT22" s="163" t="e">
        <f t="shared" si="22"/>
        <v>#DIV/0!</v>
      </c>
      <c r="DU22" s="174"/>
      <c r="DV22" s="175" t="e">
        <f t="shared" si="23"/>
        <v>#DIV/0!</v>
      </c>
      <c r="DW22" s="163">
        <f t="shared" si="24"/>
        <v>0</v>
      </c>
      <c r="DX22" s="164"/>
      <c r="DY22" s="176">
        <f t="shared" si="25"/>
        <v>0</v>
      </c>
      <c r="DZ22" s="177">
        <f t="shared" si="26"/>
        <v>0</v>
      </c>
      <c r="EA22" s="178">
        <f t="shared" si="27"/>
        <v>0</v>
      </c>
      <c r="EB22" s="179">
        <f t="shared" si="28"/>
        <v>0</v>
      </c>
      <c r="EC22" s="180"/>
      <c r="ED22" s="175" t="e">
        <f t="shared" si="29"/>
        <v>#DIV/0!</v>
      </c>
      <c r="EE22" s="163">
        <f t="shared" si="30"/>
        <v>0</v>
      </c>
      <c r="EF22" s="164"/>
      <c r="EG22" s="181">
        <f t="shared" si="31"/>
        <v>0</v>
      </c>
      <c r="EH22" s="182">
        <f t="shared" si="32"/>
        <v>0</v>
      </c>
      <c r="EI22" s="182">
        <f t="shared" si="33"/>
        <v>0</v>
      </c>
      <c r="EJ22" s="182">
        <f t="shared" si="34"/>
        <v>0</v>
      </c>
      <c r="EK22" s="183">
        <f t="shared" si="35"/>
        <v>0</v>
      </c>
      <c r="EL22" s="184" t="e">
        <f t="shared" si="36"/>
        <v>#DIV/0!</v>
      </c>
      <c r="EM22" s="185">
        <f t="shared" si="37"/>
        <v>0</v>
      </c>
      <c r="EN22" s="164"/>
      <c r="EO22" s="181">
        <f t="shared" si="38"/>
        <v>0</v>
      </c>
      <c r="EP22" s="183">
        <f t="shared" si="39"/>
        <v>0</v>
      </c>
      <c r="EQ22" s="184" t="e">
        <f t="shared" si="40"/>
        <v>#DIV/0!</v>
      </c>
      <c r="ER22" s="185">
        <f t="shared" si="41"/>
        <v>0</v>
      </c>
      <c r="ES22" s="164"/>
      <c r="ET22" s="164"/>
      <c r="EU22" s="186">
        <f t="shared" si="42"/>
        <v>0</v>
      </c>
      <c r="EV22" s="186">
        <f t="shared" si="43"/>
        <v>0</v>
      </c>
      <c r="EW22" s="186">
        <f t="shared" si="44"/>
        <v>0</v>
      </c>
      <c r="EX22" s="186">
        <f t="shared" si="45"/>
        <v>0</v>
      </c>
      <c r="EY22" s="131"/>
      <c r="EZ22" s="187">
        <f t="shared" si="46"/>
        <v>0</v>
      </c>
      <c r="FA22" s="188" t="e">
        <f t="shared" si="47"/>
        <v>#DIV/0!</v>
      </c>
      <c r="FB22" s="189"/>
      <c r="FC22" s="131"/>
      <c r="FD22" s="131"/>
      <c r="FE22" s="131"/>
      <c r="FF22" s="131"/>
      <c r="FG22" s="131"/>
    </row>
    <row r="23" spans="1:163" s="169" customFormat="1" ht="16" outlineLevel="1" thickBot="1" x14ac:dyDescent="0.4">
      <c r="B23" s="356"/>
      <c r="C23" s="353"/>
      <c r="D23" s="133"/>
      <c r="E23" s="134"/>
      <c r="F23" s="135"/>
      <c r="G23" s="136"/>
      <c r="H23" s="137"/>
      <c r="I23" s="138">
        <f>IF(E23&gt;0.0001,9.4,0)</f>
        <v>0</v>
      </c>
      <c r="J23" s="139"/>
      <c r="K23" s="140">
        <f t="shared" si="49"/>
        <v>0</v>
      </c>
      <c r="L23" s="141"/>
      <c r="M23" s="142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2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4"/>
      <c r="AN23" s="145">
        <f t="shared" si="2"/>
        <v>0</v>
      </c>
      <c r="AO23" s="146"/>
      <c r="AP23" s="147">
        <f t="shared" si="3"/>
        <v>0</v>
      </c>
      <c r="AQ23" s="148"/>
      <c r="AR23" s="149"/>
      <c r="AS23" s="149"/>
      <c r="AT23" s="135"/>
      <c r="AU23" s="150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0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4"/>
      <c r="CD23" s="150"/>
      <c r="CE23" s="142"/>
      <c r="CF23" s="143"/>
      <c r="CG23" s="143"/>
      <c r="CH23" s="143"/>
      <c r="CI23" s="143"/>
      <c r="CJ23" s="143"/>
      <c r="CK23" s="143"/>
      <c r="CL23" s="143"/>
      <c r="CM23" s="143"/>
      <c r="CN23" s="143"/>
      <c r="CO23" s="346"/>
      <c r="CP23" s="151"/>
      <c r="CQ23" s="152"/>
      <c r="CR23" s="154"/>
      <c r="CS23" s="155">
        <f t="shared" si="48"/>
        <v>0</v>
      </c>
      <c r="CT23" s="146"/>
      <c r="CU23" s="147">
        <f t="shared" si="4"/>
        <v>0</v>
      </c>
      <c r="CV23" s="156"/>
      <c r="CW23" s="157" t="e">
        <f t="shared" si="5"/>
        <v>#DIV/0!</v>
      </c>
      <c r="CX23" s="157" t="e">
        <f t="shared" si="6"/>
        <v>#DIV/0!</v>
      </c>
      <c r="CY23" s="157" t="e">
        <f t="shared" si="7"/>
        <v>#DIV/0!</v>
      </c>
      <c r="CZ23" s="157" t="e">
        <f t="shared" si="8"/>
        <v>#DIV/0!</v>
      </c>
      <c r="DA23" s="157" t="e">
        <f t="shared" si="9"/>
        <v>#DIV/0!</v>
      </c>
      <c r="DB23" s="158" t="e">
        <f t="shared" si="10"/>
        <v>#DIV/0!</v>
      </c>
      <c r="DC23" s="131"/>
      <c r="DD23" s="159">
        <f t="shared" si="11"/>
        <v>0</v>
      </c>
      <c r="DE23" s="160">
        <f t="shared" si="12"/>
        <v>0</v>
      </c>
      <c r="DF23" s="161">
        <f t="shared" si="13"/>
        <v>0</v>
      </c>
      <c r="DG23" s="162" t="e">
        <f t="shared" si="14"/>
        <v>#DIV/0!</v>
      </c>
      <c r="DH23" s="163">
        <f t="shared" si="15"/>
        <v>0</v>
      </c>
      <c r="DI23" s="164"/>
      <c r="DJ23" s="165">
        <f t="shared" si="16"/>
        <v>0</v>
      </c>
      <c r="DK23" s="166">
        <f t="shared" si="16"/>
        <v>0</v>
      </c>
      <c r="DL23" s="167" t="e">
        <f t="shared" si="17"/>
        <v>#DIV/0!</v>
      </c>
      <c r="DM23" s="168" t="e">
        <f t="shared" si="18"/>
        <v>#DIV/0!</v>
      </c>
      <c r="DN23" s="163" t="e">
        <f t="shared" si="19"/>
        <v>#DIV/0!</v>
      </c>
      <c r="DP23" s="170"/>
      <c r="DQ23" s="171"/>
      <c r="DR23" s="172">
        <f t="shared" si="20"/>
        <v>0</v>
      </c>
      <c r="DS23" s="173" t="e">
        <f t="shared" si="21"/>
        <v>#DIV/0!</v>
      </c>
      <c r="DT23" s="163" t="e">
        <f t="shared" si="22"/>
        <v>#DIV/0!</v>
      </c>
      <c r="DU23" s="174"/>
      <c r="DV23" s="175" t="e">
        <f t="shared" si="23"/>
        <v>#DIV/0!</v>
      </c>
      <c r="DW23" s="163">
        <f t="shared" si="24"/>
        <v>0</v>
      </c>
      <c r="DX23" s="164"/>
      <c r="DY23" s="176">
        <f t="shared" si="25"/>
        <v>0</v>
      </c>
      <c r="DZ23" s="177">
        <f t="shared" si="26"/>
        <v>0</v>
      </c>
      <c r="EA23" s="178">
        <f t="shared" si="27"/>
        <v>0</v>
      </c>
      <c r="EB23" s="179">
        <f t="shared" si="28"/>
        <v>0</v>
      </c>
      <c r="EC23" s="180"/>
      <c r="ED23" s="175" t="e">
        <f t="shared" si="29"/>
        <v>#DIV/0!</v>
      </c>
      <c r="EE23" s="163">
        <f t="shared" si="30"/>
        <v>0</v>
      </c>
      <c r="EF23" s="164"/>
      <c r="EG23" s="181">
        <f t="shared" si="31"/>
        <v>0</v>
      </c>
      <c r="EH23" s="182">
        <f t="shared" si="32"/>
        <v>0</v>
      </c>
      <c r="EI23" s="182">
        <f t="shared" si="33"/>
        <v>0</v>
      </c>
      <c r="EJ23" s="182">
        <f t="shared" si="34"/>
        <v>0</v>
      </c>
      <c r="EK23" s="183">
        <f t="shared" si="35"/>
        <v>0</v>
      </c>
      <c r="EL23" s="184" t="e">
        <f t="shared" si="36"/>
        <v>#DIV/0!</v>
      </c>
      <c r="EM23" s="185">
        <f t="shared" si="37"/>
        <v>0</v>
      </c>
      <c r="EN23" s="164"/>
      <c r="EO23" s="181">
        <f t="shared" si="38"/>
        <v>0</v>
      </c>
      <c r="EP23" s="183">
        <f t="shared" si="39"/>
        <v>0</v>
      </c>
      <c r="EQ23" s="184" t="e">
        <f t="shared" si="40"/>
        <v>#DIV/0!</v>
      </c>
      <c r="ER23" s="185">
        <f t="shared" si="41"/>
        <v>0</v>
      </c>
      <c r="ES23" s="164"/>
      <c r="ET23" s="164"/>
      <c r="EU23" s="186">
        <f t="shared" si="42"/>
        <v>0</v>
      </c>
      <c r="EV23" s="186">
        <f t="shared" si="43"/>
        <v>0</v>
      </c>
      <c r="EW23" s="186">
        <f t="shared" si="44"/>
        <v>0</v>
      </c>
      <c r="EX23" s="186">
        <f t="shared" si="45"/>
        <v>0</v>
      </c>
      <c r="EY23" s="131"/>
      <c r="EZ23" s="187">
        <f t="shared" si="46"/>
        <v>0</v>
      </c>
      <c r="FA23" s="188" t="e">
        <f t="shared" si="47"/>
        <v>#DIV/0!</v>
      </c>
      <c r="FB23" s="189"/>
      <c r="FC23" s="131"/>
      <c r="FD23" s="131"/>
      <c r="FE23" s="131"/>
      <c r="FF23" s="131"/>
      <c r="FG23" s="131"/>
    </row>
    <row r="24" spans="1:163" ht="16" outlineLevel="1" thickBot="1" x14ac:dyDescent="0.4">
      <c r="B24" s="357"/>
      <c r="C24" s="354"/>
      <c r="D24" s="190"/>
      <c r="E24" s="191"/>
      <c r="F24" s="135"/>
      <c r="G24" s="192"/>
      <c r="H24" s="137"/>
      <c r="I24" s="138">
        <f t="shared" si="0"/>
        <v>0</v>
      </c>
      <c r="J24" s="139"/>
      <c r="K24" s="193">
        <f t="shared" si="49"/>
        <v>0</v>
      </c>
      <c r="L24" s="141"/>
      <c r="M24" s="194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4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6"/>
      <c r="AN24" s="197">
        <f t="shared" si="2"/>
        <v>0</v>
      </c>
      <c r="AO24" s="146"/>
      <c r="AP24" s="147">
        <f>K24-AN24</f>
        <v>0</v>
      </c>
      <c r="AQ24" s="148"/>
      <c r="AR24" s="198"/>
      <c r="AS24" s="198"/>
      <c r="AT24" s="135"/>
      <c r="AU24" s="199"/>
      <c r="AV24" s="200"/>
      <c r="AW24" s="200"/>
      <c r="AX24" s="200"/>
      <c r="AY24" s="200"/>
      <c r="AZ24" s="200"/>
      <c r="BA24" s="200"/>
      <c r="BB24" s="200"/>
      <c r="BC24" s="200"/>
      <c r="BD24" s="200"/>
      <c r="BE24" s="200"/>
      <c r="BF24" s="201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199"/>
      <c r="BS24" s="200"/>
      <c r="BT24" s="200"/>
      <c r="BU24" s="200"/>
      <c r="BV24" s="200"/>
      <c r="BW24" s="200"/>
      <c r="BX24" s="200"/>
      <c r="BY24" s="200"/>
      <c r="BZ24" s="200"/>
      <c r="CA24" s="200"/>
      <c r="CB24" s="200"/>
      <c r="CC24" s="202"/>
      <c r="CD24" s="199"/>
      <c r="CE24" s="194"/>
      <c r="CF24" s="195"/>
      <c r="CG24" s="195"/>
      <c r="CH24" s="195"/>
      <c r="CI24" s="195"/>
      <c r="CJ24" s="195"/>
      <c r="CK24" s="195"/>
      <c r="CL24" s="195"/>
      <c r="CM24" s="195"/>
      <c r="CN24" s="195"/>
      <c r="CO24" s="347"/>
      <c r="CP24" s="200"/>
      <c r="CQ24" s="201"/>
      <c r="CR24" s="202"/>
      <c r="CS24" s="203">
        <f>SUM(AU24:CR24)</f>
        <v>0</v>
      </c>
      <c r="CT24" s="146"/>
      <c r="CU24" s="147">
        <f t="shared" si="4"/>
        <v>0</v>
      </c>
      <c r="CV24" s="156"/>
      <c r="CW24" s="157" t="e">
        <f>(SUM(M24:Z24))/K24</f>
        <v>#DIV/0!</v>
      </c>
      <c r="CX24" s="157" t="e">
        <f>(SUM(AA24:AM24))/K24</f>
        <v>#DIV/0!</v>
      </c>
      <c r="CY24" s="157" t="e">
        <f>(SUM(AU24:BQ24))/$K24</f>
        <v>#DIV/0!</v>
      </c>
      <c r="CZ24" s="157" t="e">
        <f>(SUM(BR24:CC24))/K24</f>
        <v>#DIV/0!</v>
      </c>
      <c r="DA24" s="157" t="e">
        <f t="shared" si="9"/>
        <v>#DIV/0!</v>
      </c>
      <c r="DB24" s="158" t="e">
        <f t="shared" si="10"/>
        <v>#DIV/0!</v>
      </c>
      <c r="DC24" s="131"/>
      <c r="DD24" s="159">
        <f>AP24</f>
        <v>0</v>
      </c>
      <c r="DE24" s="160">
        <f>CS24</f>
        <v>0</v>
      </c>
      <c r="DF24" s="161">
        <f>$DD24-DE24</f>
        <v>0</v>
      </c>
      <c r="DG24" s="162" t="e">
        <f>DF24/$DD24</f>
        <v>#DIV/0!</v>
      </c>
      <c r="DH24" s="163">
        <f>IF(AP24&gt;0.01,1,0)</f>
        <v>0</v>
      </c>
      <c r="DI24" s="164"/>
      <c r="DJ24" s="165">
        <f>H24</f>
        <v>0</v>
      </c>
      <c r="DK24" s="166">
        <f>I24</f>
        <v>0</v>
      </c>
      <c r="DL24" s="167" t="e">
        <f>DR24/DF24</f>
        <v>#DIV/0!</v>
      </c>
      <c r="DM24" s="168" t="e">
        <f>DL24/DK24</f>
        <v>#DIV/0!</v>
      </c>
      <c r="DN24" s="163" t="e">
        <f>IF(DM24&gt;0.01,1,0)</f>
        <v>#DIV/0!</v>
      </c>
      <c r="DO24" s="169"/>
      <c r="DP24" s="170"/>
      <c r="DQ24" s="171"/>
      <c r="DR24" s="172">
        <f>DP24+DQ24</f>
        <v>0</v>
      </c>
      <c r="DS24" s="173" t="e">
        <f>IF(DL24=0,0,DP24/DR24)</f>
        <v>#DIV/0!</v>
      </c>
      <c r="DT24" s="163" t="e">
        <f>IF(DS24&gt;0.01,1,0)</f>
        <v>#DIV/0!</v>
      </c>
      <c r="DU24" s="174"/>
      <c r="DV24" s="175" t="e">
        <f>DG24*DM24*DS24</f>
        <v>#DIV/0!</v>
      </c>
      <c r="DW24" s="163">
        <f t="shared" si="24"/>
        <v>0</v>
      </c>
      <c r="DX24" s="164"/>
      <c r="DY24" s="176">
        <f>DP24</f>
        <v>0</v>
      </c>
      <c r="DZ24" s="177">
        <f>DK24</f>
        <v>0</v>
      </c>
      <c r="EA24" s="178">
        <f>+AP24</f>
        <v>0</v>
      </c>
      <c r="EB24" s="179">
        <f>DZ24*EA24</f>
        <v>0</v>
      </c>
      <c r="EC24" s="180"/>
      <c r="ED24" s="175" t="e">
        <f>DY24/EB24</f>
        <v>#DIV/0!</v>
      </c>
      <c r="EE24" s="163">
        <f t="shared" si="30"/>
        <v>0</v>
      </c>
      <c r="EF24" s="164"/>
      <c r="EG24" s="181">
        <f>DP24</f>
        <v>0</v>
      </c>
      <c r="EH24" s="182">
        <f>K24</f>
        <v>0</v>
      </c>
      <c r="EI24" s="182">
        <f>SUM(M24:Z24)</f>
        <v>0</v>
      </c>
      <c r="EJ24" s="182">
        <f>I24</f>
        <v>0</v>
      </c>
      <c r="EK24" s="183">
        <f>(EH24-EI24)*EJ24</f>
        <v>0</v>
      </c>
      <c r="EL24" s="184" t="e">
        <f>EG24/EK24</f>
        <v>#DIV/0!</v>
      </c>
      <c r="EM24" s="185">
        <f>IF(EK24&gt;0.01,1,0)</f>
        <v>0</v>
      </c>
      <c r="EN24" s="164"/>
      <c r="EO24" s="181">
        <f>EG24</f>
        <v>0</v>
      </c>
      <c r="EP24" s="183">
        <f>EJ24</f>
        <v>0</v>
      </c>
      <c r="EQ24" s="184" t="e">
        <f t="shared" si="40"/>
        <v>#DIV/0!</v>
      </c>
      <c r="ER24" s="185">
        <f t="shared" si="41"/>
        <v>0</v>
      </c>
      <c r="ES24" s="164"/>
      <c r="ET24" s="164"/>
      <c r="EU24" s="186">
        <f>DK24</f>
        <v>0</v>
      </c>
      <c r="EV24" s="186">
        <f>CU24</f>
        <v>0</v>
      </c>
      <c r="EW24" s="186">
        <f t="shared" si="44"/>
        <v>0</v>
      </c>
      <c r="EX24" s="186">
        <f>DR24</f>
        <v>0</v>
      </c>
      <c r="EY24" s="131"/>
      <c r="EZ24" s="187">
        <f>EW24-EX24</f>
        <v>0</v>
      </c>
      <c r="FA24" s="188" t="e">
        <f t="shared" si="47"/>
        <v>#DIV/0!</v>
      </c>
      <c r="FB24" s="189"/>
      <c r="FC24" s="131"/>
      <c r="FD24" s="131"/>
      <c r="FE24" s="131"/>
      <c r="FF24" s="131"/>
      <c r="FG24" s="131"/>
    </row>
    <row r="25" spans="1:163" s="169" customFormat="1" ht="16" outlineLevel="1" thickBot="1" x14ac:dyDescent="0.4">
      <c r="B25" s="358"/>
      <c r="C25" s="355"/>
      <c r="D25" s="204"/>
      <c r="E25" s="205"/>
      <c r="F25" s="135"/>
      <c r="G25" s="206"/>
      <c r="H25" s="207"/>
      <c r="I25" s="138">
        <f t="shared" si="0"/>
        <v>0</v>
      </c>
      <c r="J25" s="139"/>
      <c r="K25" s="208">
        <f t="shared" si="49"/>
        <v>0</v>
      </c>
      <c r="L25" s="141"/>
      <c r="M25" s="209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09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1"/>
      <c r="AN25" s="212">
        <f t="shared" si="2"/>
        <v>0</v>
      </c>
      <c r="AO25" s="146"/>
      <c r="AP25" s="147">
        <f t="shared" si="3"/>
        <v>0</v>
      </c>
      <c r="AQ25" s="148"/>
      <c r="AR25" s="213"/>
      <c r="AS25" s="213"/>
      <c r="AT25" s="135"/>
      <c r="AU25" s="214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6"/>
      <c r="BG25" s="216"/>
      <c r="BH25" s="216"/>
      <c r="BI25" s="216"/>
      <c r="BJ25" s="216"/>
      <c r="BK25" s="216"/>
      <c r="BL25" s="216"/>
      <c r="BM25" s="216"/>
      <c r="BN25" s="216"/>
      <c r="BO25" s="216"/>
      <c r="BP25" s="216"/>
      <c r="BQ25" s="216"/>
      <c r="BR25" s="214"/>
      <c r="BS25" s="215"/>
      <c r="BT25" s="215"/>
      <c r="BU25" s="215"/>
      <c r="BV25" s="215"/>
      <c r="BW25" s="215"/>
      <c r="BX25" s="215"/>
      <c r="BY25" s="215"/>
      <c r="BZ25" s="215"/>
      <c r="CA25" s="215"/>
      <c r="CB25" s="215"/>
      <c r="CC25" s="217"/>
      <c r="CD25" s="214"/>
      <c r="CE25" s="194"/>
      <c r="CF25" s="195"/>
      <c r="CG25" s="195"/>
      <c r="CH25" s="195"/>
      <c r="CI25" s="195"/>
      <c r="CJ25" s="195"/>
      <c r="CK25" s="195"/>
      <c r="CL25" s="195"/>
      <c r="CM25" s="195"/>
      <c r="CN25" s="210"/>
      <c r="CO25" s="348"/>
      <c r="CP25" s="215"/>
      <c r="CQ25" s="216"/>
      <c r="CR25" s="217"/>
      <c r="CS25" s="218">
        <f t="shared" si="48"/>
        <v>0</v>
      </c>
      <c r="CT25" s="146"/>
      <c r="CU25" s="147">
        <f t="shared" si="4"/>
        <v>0</v>
      </c>
      <c r="CV25" s="156"/>
      <c r="CW25" s="157" t="e">
        <f t="shared" si="5"/>
        <v>#DIV/0!</v>
      </c>
      <c r="CX25" s="157" t="e">
        <f t="shared" si="6"/>
        <v>#DIV/0!</v>
      </c>
      <c r="CY25" s="157" t="e">
        <f t="shared" si="7"/>
        <v>#DIV/0!</v>
      </c>
      <c r="CZ25" s="157" t="e">
        <f t="shared" si="8"/>
        <v>#DIV/0!</v>
      </c>
      <c r="DA25" s="157" t="e">
        <f t="shared" si="9"/>
        <v>#DIV/0!</v>
      </c>
      <c r="DB25" s="158" t="e">
        <f t="shared" si="10"/>
        <v>#DIV/0!</v>
      </c>
      <c r="DC25" s="131"/>
      <c r="DD25" s="159">
        <f t="shared" si="11"/>
        <v>0</v>
      </c>
      <c r="DE25" s="160">
        <f t="shared" si="12"/>
        <v>0</v>
      </c>
      <c r="DF25" s="161">
        <f t="shared" si="13"/>
        <v>0</v>
      </c>
      <c r="DG25" s="162" t="e">
        <f t="shared" si="14"/>
        <v>#DIV/0!</v>
      </c>
      <c r="DH25" s="163">
        <f t="shared" si="15"/>
        <v>0</v>
      </c>
      <c r="DI25" s="164"/>
      <c r="DJ25" s="165">
        <f t="shared" si="16"/>
        <v>0</v>
      </c>
      <c r="DK25" s="166">
        <f t="shared" si="16"/>
        <v>0</v>
      </c>
      <c r="DL25" s="167" t="e">
        <f t="shared" si="17"/>
        <v>#DIV/0!</v>
      </c>
      <c r="DM25" s="168" t="e">
        <f t="shared" si="18"/>
        <v>#DIV/0!</v>
      </c>
      <c r="DN25" s="163" t="e">
        <f t="shared" si="19"/>
        <v>#DIV/0!</v>
      </c>
      <c r="DP25" s="170"/>
      <c r="DQ25" s="171"/>
      <c r="DR25" s="172">
        <f t="shared" si="20"/>
        <v>0</v>
      </c>
      <c r="DS25" s="173" t="e">
        <f t="shared" si="21"/>
        <v>#DIV/0!</v>
      </c>
      <c r="DT25" s="163" t="e">
        <f t="shared" si="22"/>
        <v>#DIV/0!</v>
      </c>
      <c r="DU25" s="174"/>
      <c r="DV25" s="175" t="e">
        <f t="shared" si="23"/>
        <v>#DIV/0!</v>
      </c>
      <c r="DW25" s="163">
        <f t="shared" si="24"/>
        <v>0</v>
      </c>
      <c r="DX25" s="164"/>
      <c r="DY25" s="176">
        <f t="shared" si="25"/>
        <v>0</v>
      </c>
      <c r="DZ25" s="177">
        <f t="shared" si="26"/>
        <v>0</v>
      </c>
      <c r="EA25" s="178">
        <f t="shared" si="27"/>
        <v>0</v>
      </c>
      <c r="EB25" s="179">
        <f t="shared" si="28"/>
        <v>0</v>
      </c>
      <c r="EC25" s="180"/>
      <c r="ED25" s="175" t="e">
        <f t="shared" si="29"/>
        <v>#DIV/0!</v>
      </c>
      <c r="EE25" s="163">
        <f t="shared" si="30"/>
        <v>0</v>
      </c>
      <c r="EF25" s="164"/>
      <c r="EG25" s="181">
        <f t="shared" si="31"/>
        <v>0</v>
      </c>
      <c r="EH25" s="182">
        <f t="shared" si="32"/>
        <v>0</v>
      </c>
      <c r="EI25" s="182">
        <f t="shared" si="33"/>
        <v>0</v>
      </c>
      <c r="EJ25" s="182">
        <f t="shared" si="34"/>
        <v>0</v>
      </c>
      <c r="EK25" s="183">
        <f t="shared" si="35"/>
        <v>0</v>
      </c>
      <c r="EL25" s="184" t="e">
        <f t="shared" si="36"/>
        <v>#DIV/0!</v>
      </c>
      <c r="EM25" s="185">
        <f t="shared" si="37"/>
        <v>0</v>
      </c>
      <c r="EN25" s="164"/>
      <c r="EO25" s="181">
        <f t="shared" si="38"/>
        <v>0</v>
      </c>
      <c r="EP25" s="183">
        <f t="shared" si="39"/>
        <v>0</v>
      </c>
      <c r="EQ25" s="184" t="e">
        <f t="shared" si="40"/>
        <v>#DIV/0!</v>
      </c>
      <c r="ER25" s="185">
        <f t="shared" si="41"/>
        <v>0</v>
      </c>
      <c r="ES25" s="164"/>
      <c r="ET25" s="164"/>
      <c r="EU25" s="186">
        <f t="shared" si="42"/>
        <v>0</v>
      </c>
      <c r="EV25" s="186">
        <f t="shared" si="43"/>
        <v>0</v>
      </c>
      <c r="EW25" s="186">
        <f t="shared" si="44"/>
        <v>0</v>
      </c>
      <c r="EX25" s="186">
        <f t="shared" si="45"/>
        <v>0</v>
      </c>
      <c r="EY25" s="131"/>
      <c r="EZ25" s="187">
        <f t="shared" si="46"/>
        <v>0</v>
      </c>
      <c r="FA25" s="188" t="e">
        <f t="shared" si="47"/>
        <v>#DIV/0!</v>
      </c>
      <c r="FB25" s="189"/>
      <c r="FC25" s="131"/>
      <c r="FD25" s="131"/>
      <c r="FE25" s="131"/>
      <c r="FF25" s="131"/>
      <c r="FG25" s="131"/>
    </row>
    <row r="26" spans="1:163" ht="16" outlineLevel="1" thickBot="1" x14ac:dyDescent="0.4">
      <c r="A26" s="132">
        <v>0</v>
      </c>
      <c r="B26" s="356"/>
      <c r="C26" s="353"/>
      <c r="D26" s="133"/>
      <c r="E26" s="134"/>
      <c r="F26" s="135"/>
      <c r="G26" s="136"/>
      <c r="H26" s="137"/>
      <c r="I26" s="138">
        <f>IF(E26&gt;0.0001,9.4,0)</f>
        <v>0</v>
      </c>
      <c r="J26" s="139"/>
      <c r="K26" s="140">
        <f t="shared" si="49"/>
        <v>0</v>
      </c>
      <c r="L26" s="141"/>
      <c r="M26" s="142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2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4"/>
      <c r="AN26" s="145">
        <f t="shared" si="2"/>
        <v>0</v>
      </c>
      <c r="AO26" s="146"/>
      <c r="AP26" s="147">
        <f t="shared" si="3"/>
        <v>0</v>
      </c>
      <c r="AQ26" s="148"/>
      <c r="AR26" s="149"/>
      <c r="AS26" s="149"/>
      <c r="AT26" s="135"/>
      <c r="AU26" s="150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2"/>
      <c r="BG26" s="152"/>
      <c r="BH26" s="152"/>
      <c r="BI26" s="152"/>
      <c r="BJ26" s="152"/>
      <c r="BK26" s="152"/>
      <c r="BL26" s="152"/>
      <c r="BM26" s="152"/>
      <c r="BN26" s="152"/>
      <c r="BO26" s="152"/>
      <c r="BP26" s="152"/>
      <c r="BQ26" s="152"/>
      <c r="BR26" s="150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4"/>
      <c r="CD26" s="150"/>
      <c r="CE26" s="142"/>
      <c r="CF26" s="143"/>
      <c r="CG26" s="143"/>
      <c r="CH26" s="143"/>
      <c r="CI26" s="143"/>
      <c r="CJ26" s="143"/>
      <c r="CK26" s="143"/>
      <c r="CL26" s="143"/>
      <c r="CM26" s="143"/>
      <c r="CN26" s="143"/>
      <c r="CO26" s="346"/>
      <c r="CP26" s="151"/>
      <c r="CQ26" s="152"/>
      <c r="CR26" s="154"/>
      <c r="CS26" s="155">
        <f t="shared" si="48"/>
        <v>0</v>
      </c>
      <c r="CT26" s="146"/>
      <c r="CU26" s="147">
        <f t="shared" si="4"/>
        <v>0</v>
      </c>
      <c r="CV26" s="156"/>
      <c r="CW26" s="157" t="e">
        <f t="shared" si="5"/>
        <v>#DIV/0!</v>
      </c>
      <c r="CX26" s="157" t="e">
        <f t="shared" si="6"/>
        <v>#DIV/0!</v>
      </c>
      <c r="CY26" s="157" t="e">
        <f t="shared" si="7"/>
        <v>#DIV/0!</v>
      </c>
      <c r="CZ26" s="157" t="e">
        <f t="shared" si="8"/>
        <v>#DIV/0!</v>
      </c>
      <c r="DA26" s="157" t="e">
        <f t="shared" si="9"/>
        <v>#DIV/0!</v>
      </c>
      <c r="DB26" s="158" t="e">
        <f t="shared" si="10"/>
        <v>#DIV/0!</v>
      </c>
      <c r="DC26" s="131"/>
      <c r="DD26" s="159">
        <f t="shared" si="11"/>
        <v>0</v>
      </c>
      <c r="DE26" s="160">
        <f t="shared" si="12"/>
        <v>0</v>
      </c>
      <c r="DF26" s="161">
        <f t="shared" si="13"/>
        <v>0</v>
      </c>
      <c r="DG26" s="162" t="e">
        <f t="shared" si="14"/>
        <v>#DIV/0!</v>
      </c>
      <c r="DH26" s="163">
        <f t="shared" si="15"/>
        <v>0</v>
      </c>
      <c r="DI26" s="164"/>
      <c r="DJ26" s="165">
        <f t="shared" si="16"/>
        <v>0</v>
      </c>
      <c r="DK26" s="166">
        <f t="shared" si="16"/>
        <v>0</v>
      </c>
      <c r="DL26" s="167" t="e">
        <f t="shared" si="17"/>
        <v>#DIV/0!</v>
      </c>
      <c r="DM26" s="168" t="e">
        <f t="shared" si="18"/>
        <v>#DIV/0!</v>
      </c>
      <c r="DN26" s="163" t="e">
        <f t="shared" si="19"/>
        <v>#DIV/0!</v>
      </c>
      <c r="DO26" s="169"/>
      <c r="DP26" s="170"/>
      <c r="DQ26" s="171"/>
      <c r="DR26" s="172">
        <f t="shared" si="20"/>
        <v>0</v>
      </c>
      <c r="DS26" s="173" t="e">
        <f t="shared" si="21"/>
        <v>#DIV/0!</v>
      </c>
      <c r="DT26" s="163" t="e">
        <f t="shared" si="22"/>
        <v>#DIV/0!</v>
      </c>
      <c r="DU26" s="174"/>
      <c r="DV26" s="175" t="e">
        <f t="shared" si="23"/>
        <v>#DIV/0!</v>
      </c>
      <c r="DW26" s="163">
        <f t="shared" si="24"/>
        <v>0</v>
      </c>
      <c r="DX26" s="164"/>
      <c r="DY26" s="176">
        <f t="shared" si="25"/>
        <v>0</v>
      </c>
      <c r="DZ26" s="177">
        <f t="shared" si="26"/>
        <v>0</v>
      </c>
      <c r="EA26" s="178">
        <f t="shared" si="27"/>
        <v>0</v>
      </c>
      <c r="EB26" s="179">
        <f t="shared" si="28"/>
        <v>0</v>
      </c>
      <c r="EC26" s="180"/>
      <c r="ED26" s="175" t="e">
        <f t="shared" si="29"/>
        <v>#DIV/0!</v>
      </c>
      <c r="EE26" s="163">
        <f t="shared" si="30"/>
        <v>0</v>
      </c>
      <c r="EF26" s="164"/>
      <c r="EG26" s="181">
        <f t="shared" si="31"/>
        <v>0</v>
      </c>
      <c r="EH26" s="182">
        <f t="shared" si="32"/>
        <v>0</v>
      </c>
      <c r="EI26" s="182">
        <f t="shared" si="33"/>
        <v>0</v>
      </c>
      <c r="EJ26" s="182">
        <f t="shared" si="34"/>
        <v>0</v>
      </c>
      <c r="EK26" s="183">
        <f t="shared" si="35"/>
        <v>0</v>
      </c>
      <c r="EL26" s="184" t="e">
        <f t="shared" si="36"/>
        <v>#DIV/0!</v>
      </c>
      <c r="EM26" s="185">
        <f t="shared" si="37"/>
        <v>0</v>
      </c>
      <c r="EN26" s="164"/>
      <c r="EO26" s="181">
        <f t="shared" si="38"/>
        <v>0</v>
      </c>
      <c r="EP26" s="183">
        <f t="shared" si="39"/>
        <v>0</v>
      </c>
      <c r="EQ26" s="184" t="e">
        <f t="shared" si="40"/>
        <v>#DIV/0!</v>
      </c>
      <c r="ER26" s="185">
        <f t="shared" si="41"/>
        <v>0</v>
      </c>
      <c r="ES26" s="164"/>
      <c r="ET26" s="164"/>
      <c r="EU26" s="186">
        <f t="shared" si="42"/>
        <v>0</v>
      </c>
      <c r="EV26" s="186">
        <f t="shared" si="43"/>
        <v>0</v>
      </c>
      <c r="EW26" s="186">
        <f t="shared" si="44"/>
        <v>0</v>
      </c>
      <c r="EX26" s="186">
        <f t="shared" si="45"/>
        <v>0</v>
      </c>
      <c r="EY26" s="131"/>
      <c r="EZ26" s="187">
        <f t="shared" si="46"/>
        <v>0</v>
      </c>
      <c r="FA26" s="188" t="e">
        <f t="shared" si="47"/>
        <v>#DIV/0!</v>
      </c>
      <c r="FB26" s="189"/>
      <c r="FC26" s="131"/>
      <c r="FD26" s="131"/>
      <c r="FE26" s="131"/>
      <c r="FF26" s="131"/>
      <c r="FG26" s="131"/>
    </row>
    <row r="27" spans="1:163" ht="16" outlineLevel="1" thickBot="1" x14ac:dyDescent="0.4">
      <c r="B27" s="357"/>
      <c r="C27" s="354"/>
      <c r="D27" s="190"/>
      <c r="E27" s="191"/>
      <c r="F27" s="135"/>
      <c r="G27" s="192"/>
      <c r="H27" s="137"/>
      <c r="I27" s="138">
        <f t="shared" si="0"/>
        <v>0</v>
      </c>
      <c r="J27" s="139"/>
      <c r="K27" s="193">
        <f t="shared" si="49"/>
        <v>0</v>
      </c>
      <c r="L27" s="141"/>
      <c r="M27" s="194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4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6"/>
      <c r="AN27" s="197">
        <f t="shared" si="2"/>
        <v>0</v>
      </c>
      <c r="AO27" s="146"/>
      <c r="AP27" s="147">
        <f t="shared" si="3"/>
        <v>0</v>
      </c>
      <c r="AQ27" s="148"/>
      <c r="AR27" s="198"/>
      <c r="AS27" s="198"/>
      <c r="AT27" s="135"/>
      <c r="AU27" s="199"/>
      <c r="AV27" s="200"/>
      <c r="AW27" s="200"/>
      <c r="AX27" s="200"/>
      <c r="AY27" s="200"/>
      <c r="AZ27" s="200"/>
      <c r="BA27" s="200"/>
      <c r="BB27" s="200"/>
      <c r="BC27" s="200"/>
      <c r="BD27" s="200"/>
      <c r="BE27" s="200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1"/>
      <c r="BQ27" s="201"/>
      <c r="BR27" s="199"/>
      <c r="BS27" s="200"/>
      <c r="BT27" s="200"/>
      <c r="BU27" s="200"/>
      <c r="BV27" s="200"/>
      <c r="BW27" s="200"/>
      <c r="BX27" s="200"/>
      <c r="BY27" s="200"/>
      <c r="BZ27" s="200"/>
      <c r="CA27" s="200"/>
      <c r="CB27" s="200"/>
      <c r="CC27" s="202"/>
      <c r="CD27" s="199"/>
      <c r="CE27" s="194"/>
      <c r="CF27" s="195"/>
      <c r="CG27" s="195"/>
      <c r="CH27" s="195"/>
      <c r="CI27" s="195"/>
      <c r="CJ27" s="195"/>
      <c r="CK27" s="195"/>
      <c r="CL27" s="195"/>
      <c r="CM27" s="195"/>
      <c r="CN27" s="195"/>
      <c r="CO27" s="347"/>
      <c r="CP27" s="200"/>
      <c r="CQ27" s="201"/>
      <c r="CR27" s="202"/>
      <c r="CS27" s="203">
        <f t="shared" si="48"/>
        <v>0</v>
      </c>
      <c r="CT27" s="146"/>
      <c r="CU27" s="147">
        <f t="shared" si="4"/>
        <v>0</v>
      </c>
      <c r="CV27" s="156"/>
      <c r="CW27" s="157" t="e">
        <f t="shared" si="5"/>
        <v>#DIV/0!</v>
      </c>
      <c r="CX27" s="157" t="e">
        <f t="shared" si="6"/>
        <v>#DIV/0!</v>
      </c>
      <c r="CY27" s="157" t="e">
        <f t="shared" si="7"/>
        <v>#DIV/0!</v>
      </c>
      <c r="CZ27" s="157" t="e">
        <f t="shared" si="8"/>
        <v>#DIV/0!</v>
      </c>
      <c r="DA27" s="157" t="e">
        <f t="shared" si="9"/>
        <v>#DIV/0!</v>
      </c>
      <c r="DB27" s="158" t="e">
        <f t="shared" si="10"/>
        <v>#DIV/0!</v>
      </c>
      <c r="DC27" s="131"/>
      <c r="DD27" s="159">
        <f t="shared" si="11"/>
        <v>0</v>
      </c>
      <c r="DE27" s="160">
        <f t="shared" si="12"/>
        <v>0</v>
      </c>
      <c r="DF27" s="161">
        <f t="shared" si="13"/>
        <v>0</v>
      </c>
      <c r="DG27" s="162" t="e">
        <f t="shared" si="14"/>
        <v>#DIV/0!</v>
      </c>
      <c r="DH27" s="163">
        <f t="shared" si="15"/>
        <v>0</v>
      </c>
      <c r="DI27" s="164"/>
      <c r="DJ27" s="165">
        <f t="shared" si="16"/>
        <v>0</v>
      </c>
      <c r="DK27" s="166">
        <f t="shared" si="16"/>
        <v>0</v>
      </c>
      <c r="DL27" s="167" t="e">
        <f t="shared" si="17"/>
        <v>#DIV/0!</v>
      </c>
      <c r="DM27" s="168" t="e">
        <f t="shared" si="18"/>
        <v>#DIV/0!</v>
      </c>
      <c r="DN27" s="163" t="e">
        <f t="shared" si="19"/>
        <v>#DIV/0!</v>
      </c>
      <c r="DO27" s="169"/>
      <c r="DP27" s="170"/>
      <c r="DQ27" s="171"/>
      <c r="DR27" s="172">
        <f t="shared" si="20"/>
        <v>0</v>
      </c>
      <c r="DS27" s="173" t="e">
        <f t="shared" si="21"/>
        <v>#DIV/0!</v>
      </c>
      <c r="DT27" s="163" t="e">
        <f t="shared" si="22"/>
        <v>#DIV/0!</v>
      </c>
      <c r="DU27" s="174"/>
      <c r="DV27" s="175" t="e">
        <f t="shared" si="23"/>
        <v>#DIV/0!</v>
      </c>
      <c r="DW27" s="163">
        <f t="shared" si="24"/>
        <v>0</v>
      </c>
      <c r="DX27" s="164"/>
      <c r="DY27" s="176">
        <f t="shared" si="25"/>
        <v>0</v>
      </c>
      <c r="DZ27" s="177">
        <f t="shared" si="26"/>
        <v>0</v>
      </c>
      <c r="EA27" s="178">
        <f t="shared" si="27"/>
        <v>0</v>
      </c>
      <c r="EB27" s="179">
        <f t="shared" si="28"/>
        <v>0</v>
      </c>
      <c r="EC27" s="180"/>
      <c r="ED27" s="175" t="e">
        <f t="shared" si="29"/>
        <v>#DIV/0!</v>
      </c>
      <c r="EE27" s="163">
        <f t="shared" si="30"/>
        <v>0</v>
      </c>
      <c r="EF27" s="164"/>
      <c r="EG27" s="181">
        <f t="shared" si="31"/>
        <v>0</v>
      </c>
      <c r="EH27" s="182">
        <f t="shared" si="32"/>
        <v>0</v>
      </c>
      <c r="EI27" s="182">
        <f t="shared" si="33"/>
        <v>0</v>
      </c>
      <c r="EJ27" s="182">
        <f t="shared" si="34"/>
        <v>0</v>
      </c>
      <c r="EK27" s="183">
        <f t="shared" si="35"/>
        <v>0</v>
      </c>
      <c r="EL27" s="184" t="e">
        <f t="shared" si="36"/>
        <v>#DIV/0!</v>
      </c>
      <c r="EM27" s="185">
        <f t="shared" si="37"/>
        <v>0</v>
      </c>
      <c r="EN27" s="164"/>
      <c r="EO27" s="181">
        <f t="shared" si="38"/>
        <v>0</v>
      </c>
      <c r="EP27" s="183">
        <f t="shared" si="39"/>
        <v>0</v>
      </c>
      <c r="EQ27" s="184" t="e">
        <f t="shared" si="40"/>
        <v>#DIV/0!</v>
      </c>
      <c r="ER27" s="185">
        <f t="shared" si="41"/>
        <v>0</v>
      </c>
      <c r="ES27" s="164"/>
      <c r="ET27" s="164"/>
      <c r="EU27" s="186">
        <f t="shared" si="42"/>
        <v>0</v>
      </c>
      <c r="EV27" s="186">
        <f t="shared" si="43"/>
        <v>0</v>
      </c>
      <c r="EW27" s="186">
        <f t="shared" si="44"/>
        <v>0</v>
      </c>
      <c r="EX27" s="186">
        <f t="shared" si="45"/>
        <v>0</v>
      </c>
      <c r="EY27" s="131"/>
      <c r="EZ27" s="187">
        <f t="shared" si="46"/>
        <v>0</v>
      </c>
      <c r="FA27" s="188" t="e">
        <f t="shared" si="47"/>
        <v>#DIV/0!</v>
      </c>
      <c r="FB27" s="189"/>
      <c r="FC27" s="131"/>
      <c r="FD27" s="131"/>
      <c r="FE27" s="131"/>
      <c r="FF27" s="131"/>
      <c r="FG27" s="131"/>
    </row>
    <row r="28" spans="1:163" ht="16" outlineLevel="1" thickBot="1" x14ac:dyDescent="0.4">
      <c r="B28" s="358"/>
      <c r="C28" s="355"/>
      <c r="D28" s="204"/>
      <c r="E28" s="205"/>
      <c r="F28" s="135"/>
      <c r="G28" s="206"/>
      <c r="H28" s="207"/>
      <c r="I28" s="138">
        <f t="shared" si="0"/>
        <v>0</v>
      </c>
      <c r="J28" s="139"/>
      <c r="K28" s="208">
        <f t="shared" si="49"/>
        <v>0</v>
      </c>
      <c r="L28" s="141"/>
      <c r="M28" s="209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09"/>
      <c r="AB28" s="210"/>
      <c r="AC28" s="210"/>
      <c r="AD28" s="210"/>
      <c r="AE28" s="210"/>
      <c r="AF28" s="210"/>
      <c r="AG28" s="210"/>
      <c r="AH28" s="210"/>
      <c r="AI28" s="210"/>
      <c r="AJ28" s="210"/>
      <c r="AK28" s="210"/>
      <c r="AL28" s="210"/>
      <c r="AM28" s="211"/>
      <c r="AN28" s="212">
        <f t="shared" si="2"/>
        <v>0</v>
      </c>
      <c r="AO28" s="146"/>
      <c r="AP28" s="147">
        <f t="shared" si="3"/>
        <v>0</v>
      </c>
      <c r="AQ28" s="148"/>
      <c r="AR28" s="213"/>
      <c r="AS28" s="213"/>
      <c r="AT28" s="135"/>
      <c r="AU28" s="214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6"/>
      <c r="BG28" s="216"/>
      <c r="BH28" s="216"/>
      <c r="BI28" s="216"/>
      <c r="BJ28" s="216"/>
      <c r="BK28" s="216"/>
      <c r="BL28" s="216"/>
      <c r="BM28" s="216"/>
      <c r="BN28" s="216"/>
      <c r="BO28" s="216"/>
      <c r="BP28" s="216"/>
      <c r="BQ28" s="216"/>
      <c r="BR28" s="214"/>
      <c r="BS28" s="215"/>
      <c r="BT28" s="215"/>
      <c r="BU28" s="215"/>
      <c r="BV28" s="215"/>
      <c r="BW28" s="215"/>
      <c r="BX28" s="215"/>
      <c r="BY28" s="215"/>
      <c r="BZ28" s="215"/>
      <c r="CA28" s="215"/>
      <c r="CB28" s="215"/>
      <c r="CC28" s="217"/>
      <c r="CD28" s="214"/>
      <c r="CE28" s="209"/>
      <c r="CF28" s="210"/>
      <c r="CG28" s="210"/>
      <c r="CH28" s="210"/>
      <c r="CI28" s="210"/>
      <c r="CJ28" s="210"/>
      <c r="CK28" s="210"/>
      <c r="CL28" s="210"/>
      <c r="CM28" s="210"/>
      <c r="CN28" s="210"/>
      <c r="CO28" s="348"/>
      <c r="CP28" s="215"/>
      <c r="CQ28" s="216"/>
      <c r="CR28" s="217"/>
      <c r="CS28" s="218">
        <f t="shared" si="48"/>
        <v>0</v>
      </c>
      <c r="CT28" s="146"/>
      <c r="CU28" s="147">
        <f t="shared" si="4"/>
        <v>0</v>
      </c>
      <c r="CV28" s="156"/>
      <c r="CW28" s="157" t="e">
        <f t="shared" si="5"/>
        <v>#DIV/0!</v>
      </c>
      <c r="CX28" s="157" t="e">
        <f t="shared" si="6"/>
        <v>#DIV/0!</v>
      </c>
      <c r="CY28" s="157" t="e">
        <f t="shared" si="7"/>
        <v>#DIV/0!</v>
      </c>
      <c r="CZ28" s="157" t="e">
        <f t="shared" si="8"/>
        <v>#DIV/0!</v>
      </c>
      <c r="DA28" s="157" t="e">
        <f t="shared" si="9"/>
        <v>#DIV/0!</v>
      </c>
      <c r="DB28" s="158" t="e">
        <f t="shared" si="10"/>
        <v>#DIV/0!</v>
      </c>
      <c r="DC28" s="131"/>
      <c r="DD28" s="159">
        <f t="shared" si="11"/>
        <v>0</v>
      </c>
      <c r="DE28" s="160">
        <f t="shared" si="12"/>
        <v>0</v>
      </c>
      <c r="DF28" s="161">
        <f t="shared" si="13"/>
        <v>0</v>
      </c>
      <c r="DG28" s="162" t="e">
        <f t="shared" si="14"/>
        <v>#DIV/0!</v>
      </c>
      <c r="DH28" s="163">
        <f t="shared" si="15"/>
        <v>0</v>
      </c>
      <c r="DI28" s="164"/>
      <c r="DJ28" s="165">
        <f t="shared" si="16"/>
        <v>0</v>
      </c>
      <c r="DK28" s="166">
        <f t="shared" si="16"/>
        <v>0</v>
      </c>
      <c r="DL28" s="167" t="e">
        <f t="shared" si="17"/>
        <v>#DIV/0!</v>
      </c>
      <c r="DM28" s="168" t="e">
        <f t="shared" si="18"/>
        <v>#DIV/0!</v>
      </c>
      <c r="DN28" s="163" t="e">
        <f t="shared" si="19"/>
        <v>#DIV/0!</v>
      </c>
      <c r="DO28" s="169"/>
      <c r="DP28" s="170"/>
      <c r="DQ28" s="171"/>
      <c r="DR28" s="172">
        <f t="shared" si="20"/>
        <v>0</v>
      </c>
      <c r="DS28" s="173" t="e">
        <f t="shared" si="21"/>
        <v>#DIV/0!</v>
      </c>
      <c r="DT28" s="163" t="e">
        <f t="shared" si="22"/>
        <v>#DIV/0!</v>
      </c>
      <c r="DU28" s="174"/>
      <c r="DV28" s="175" t="e">
        <f t="shared" si="23"/>
        <v>#DIV/0!</v>
      </c>
      <c r="DW28" s="163">
        <f t="shared" si="24"/>
        <v>0</v>
      </c>
      <c r="DX28" s="164"/>
      <c r="DY28" s="176">
        <f t="shared" si="25"/>
        <v>0</v>
      </c>
      <c r="DZ28" s="177">
        <f t="shared" si="26"/>
        <v>0</v>
      </c>
      <c r="EA28" s="178">
        <f t="shared" si="27"/>
        <v>0</v>
      </c>
      <c r="EB28" s="179">
        <f t="shared" si="28"/>
        <v>0</v>
      </c>
      <c r="EC28" s="180"/>
      <c r="ED28" s="175" t="e">
        <f t="shared" si="29"/>
        <v>#DIV/0!</v>
      </c>
      <c r="EE28" s="163">
        <f t="shared" si="30"/>
        <v>0</v>
      </c>
      <c r="EF28" s="164"/>
      <c r="EG28" s="181">
        <f t="shared" si="31"/>
        <v>0</v>
      </c>
      <c r="EH28" s="182">
        <f t="shared" si="32"/>
        <v>0</v>
      </c>
      <c r="EI28" s="182">
        <f t="shared" si="33"/>
        <v>0</v>
      </c>
      <c r="EJ28" s="182">
        <f t="shared" si="34"/>
        <v>0</v>
      </c>
      <c r="EK28" s="183">
        <f t="shared" si="35"/>
        <v>0</v>
      </c>
      <c r="EL28" s="184" t="e">
        <f t="shared" si="36"/>
        <v>#DIV/0!</v>
      </c>
      <c r="EM28" s="185">
        <f t="shared" si="37"/>
        <v>0</v>
      </c>
      <c r="EN28" s="164"/>
      <c r="EO28" s="181">
        <f t="shared" si="38"/>
        <v>0</v>
      </c>
      <c r="EP28" s="183">
        <f t="shared" si="39"/>
        <v>0</v>
      </c>
      <c r="EQ28" s="184" t="e">
        <f t="shared" si="40"/>
        <v>#DIV/0!</v>
      </c>
      <c r="ER28" s="185">
        <f t="shared" si="41"/>
        <v>0</v>
      </c>
      <c r="ES28" s="164"/>
      <c r="ET28" s="164"/>
      <c r="EU28" s="186">
        <f t="shared" si="42"/>
        <v>0</v>
      </c>
      <c r="EV28" s="186">
        <f t="shared" si="43"/>
        <v>0</v>
      </c>
      <c r="EW28" s="186">
        <f t="shared" si="44"/>
        <v>0</v>
      </c>
      <c r="EX28" s="186">
        <f t="shared" si="45"/>
        <v>0</v>
      </c>
      <c r="EY28" s="131"/>
      <c r="EZ28" s="187">
        <f t="shared" si="46"/>
        <v>0</v>
      </c>
      <c r="FA28" s="188" t="e">
        <f t="shared" si="47"/>
        <v>#DIV/0!</v>
      </c>
      <c r="FB28" s="189"/>
      <c r="FC28" s="131"/>
      <c r="FD28" s="131"/>
      <c r="FE28" s="131"/>
      <c r="FF28" s="131"/>
      <c r="FG28" s="131"/>
    </row>
    <row r="29" spans="1:163" ht="16" outlineLevel="1" thickBot="1" x14ac:dyDescent="0.4">
      <c r="B29" s="356"/>
      <c r="C29" s="353"/>
      <c r="D29" s="133"/>
      <c r="E29" s="134"/>
      <c r="F29" s="135"/>
      <c r="G29" s="136"/>
      <c r="H29" s="137"/>
      <c r="I29" s="138">
        <f t="shared" si="0"/>
        <v>0</v>
      </c>
      <c r="J29" s="139"/>
      <c r="K29" s="140">
        <f t="shared" si="49"/>
        <v>0</v>
      </c>
      <c r="L29" s="141"/>
      <c r="M29" s="142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2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4"/>
      <c r="AN29" s="145">
        <f t="shared" si="2"/>
        <v>0</v>
      </c>
      <c r="AO29" s="146"/>
      <c r="AP29" s="147">
        <f t="shared" si="3"/>
        <v>0</v>
      </c>
      <c r="AQ29" s="148"/>
      <c r="AR29" s="149"/>
      <c r="AS29" s="149"/>
      <c r="AT29" s="135"/>
      <c r="AU29" s="150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2"/>
      <c r="BG29" s="152"/>
      <c r="BH29" s="152"/>
      <c r="BI29" s="152"/>
      <c r="BJ29" s="152"/>
      <c r="BK29" s="152"/>
      <c r="BL29" s="152"/>
      <c r="BM29" s="152"/>
      <c r="BN29" s="152"/>
      <c r="BO29" s="152"/>
      <c r="BP29" s="152"/>
      <c r="BQ29" s="152"/>
      <c r="BR29" s="150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4"/>
      <c r="CD29" s="150"/>
      <c r="CE29" s="142"/>
      <c r="CF29" s="143"/>
      <c r="CG29" s="143"/>
      <c r="CH29" s="143"/>
      <c r="CI29" s="143"/>
      <c r="CJ29" s="143"/>
      <c r="CK29" s="143"/>
      <c r="CL29" s="143"/>
      <c r="CM29" s="143"/>
      <c r="CN29" s="143"/>
      <c r="CO29" s="346"/>
      <c r="CP29" s="151"/>
      <c r="CQ29" s="152"/>
      <c r="CR29" s="154"/>
      <c r="CS29" s="155">
        <f t="shared" si="48"/>
        <v>0</v>
      </c>
      <c r="CT29" s="146"/>
      <c r="CU29" s="147">
        <f t="shared" si="4"/>
        <v>0</v>
      </c>
      <c r="CV29" s="156"/>
      <c r="CW29" s="157" t="e">
        <f t="shared" si="5"/>
        <v>#DIV/0!</v>
      </c>
      <c r="CX29" s="157" t="e">
        <f t="shared" si="6"/>
        <v>#DIV/0!</v>
      </c>
      <c r="CY29" s="157" t="e">
        <f t="shared" si="7"/>
        <v>#DIV/0!</v>
      </c>
      <c r="CZ29" s="157" t="e">
        <f t="shared" si="8"/>
        <v>#DIV/0!</v>
      </c>
      <c r="DA29" s="157" t="e">
        <f t="shared" si="9"/>
        <v>#DIV/0!</v>
      </c>
      <c r="DB29" s="158" t="e">
        <f t="shared" si="10"/>
        <v>#DIV/0!</v>
      </c>
      <c r="DC29" s="131"/>
      <c r="DD29" s="159">
        <f t="shared" si="11"/>
        <v>0</v>
      </c>
      <c r="DE29" s="160">
        <f t="shared" si="12"/>
        <v>0</v>
      </c>
      <c r="DF29" s="161">
        <f t="shared" si="13"/>
        <v>0</v>
      </c>
      <c r="DG29" s="162" t="e">
        <f t="shared" si="14"/>
        <v>#DIV/0!</v>
      </c>
      <c r="DH29" s="163">
        <f t="shared" si="15"/>
        <v>0</v>
      </c>
      <c r="DI29" s="164"/>
      <c r="DJ29" s="165">
        <f t="shared" si="16"/>
        <v>0</v>
      </c>
      <c r="DK29" s="166">
        <f t="shared" si="16"/>
        <v>0</v>
      </c>
      <c r="DL29" s="167" t="e">
        <f t="shared" si="17"/>
        <v>#DIV/0!</v>
      </c>
      <c r="DM29" s="168" t="e">
        <f t="shared" si="18"/>
        <v>#DIV/0!</v>
      </c>
      <c r="DN29" s="163" t="e">
        <f t="shared" si="19"/>
        <v>#DIV/0!</v>
      </c>
      <c r="DO29" s="169"/>
      <c r="DP29" s="170"/>
      <c r="DQ29" s="171"/>
      <c r="DR29" s="172">
        <f t="shared" si="20"/>
        <v>0</v>
      </c>
      <c r="DS29" s="173" t="e">
        <f t="shared" si="21"/>
        <v>#DIV/0!</v>
      </c>
      <c r="DT29" s="163" t="e">
        <f t="shared" si="22"/>
        <v>#DIV/0!</v>
      </c>
      <c r="DU29" s="174"/>
      <c r="DV29" s="175" t="e">
        <f t="shared" si="23"/>
        <v>#DIV/0!</v>
      </c>
      <c r="DW29" s="163">
        <f t="shared" si="24"/>
        <v>0</v>
      </c>
      <c r="DX29" s="164"/>
      <c r="DY29" s="176">
        <f t="shared" si="25"/>
        <v>0</v>
      </c>
      <c r="DZ29" s="177">
        <f t="shared" si="26"/>
        <v>0</v>
      </c>
      <c r="EA29" s="178">
        <f t="shared" si="27"/>
        <v>0</v>
      </c>
      <c r="EB29" s="179">
        <f t="shared" si="28"/>
        <v>0</v>
      </c>
      <c r="EC29" s="180"/>
      <c r="ED29" s="175" t="e">
        <f t="shared" si="29"/>
        <v>#DIV/0!</v>
      </c>
      <c r="EE29" s="163">
        <f t="shared" si="30"/>
        <v>0</v>
      </c>
      <c r="EF29" s="164"/>
      <c r="EG29" s="181">
        <f t="shared" si="31"/>
        <v>0</v>
      </c>
      <c r="EH29" s="182">
        <f t="shared" si="32"/>
        <v>0</v>
      </c>
      <c r="EI29" s="182">
        <f t="shared" si="33"/>
        <v>0</v>
      </c>
      <c r="EJ29" s="182">
        <f t="shared" si="34"/>
        <v>0</v>
      </c>
      <c r="EK29" s="183">
        <f t="shared" si="35"/>
        <v>0</v>
      </c>
      <c r="EL29" s="184" t="e">
        <f t="shared" si="36"/>
        <v>#DIV/0!</v>
      </c>
      <c r="EM29" s="185">
        <f t="shared" si="37"/>
        <v>0</v>
      </c>
      <c r="EN29" s="164"/>
      <c r="EO29" s="181">
        <f t="shared" si="38"/>
        <v>0</v>
      </c>
      <c r="EP29" s="183">
        <f t="shared" si="39"/>
        <v>0</v>
      </c>
      <c r="EQ29" s="184" t="e">
        <f t="shared" si="40"/>
        <v>#DIV/0!</v>
      </c>
      <c r="ER29" s="185">
        <f t="shared" si="41"/>
        <v>0</v>
      </c>
      <c r="ES29" s="164"/>
      <c r="ET29" s="164"/>
      <c r="EU29" s="186">
        <f t="shared" si="42"/>
        <v>0</v>
      </c>
      <c r="EV29" s="186">
        <f t="shared" si="43"/>
        <v>0</v>
      </c>
      <c r="EW29" s="186">
        <f t="shared" si="44"/>
        <v>0</v>
      </c>
      <c r="EX29" s="186">
        <f t="shared" si="45"/>
        <v>0</v>
      </c>
      <c r="EY29" s="131"/>
      <c r="EZ29" s="187">
        <f t="shared" si="46"/>
        <v>0</v>
      </c>
      <c r="FA29" s="188" t="e">
        <f t="shared" si="47"/>
        <v>#DIV/0!</v>
      </c>
      <c r="FB29" s="189"/>
      <c r="FC29" s="131"/>
      <c r="FD29" s="131"/>
      <c r="FE29" s="131"/>
      <c r="FF29" s="131"/>
      <c r="FG29" s="131"/>
    </row>
    <row r="30" spans="1:163" ht="16" outlineLevel="1" thickBot="1" x14ac:dyDescent="0.4">
      <c r="B30" s="357"/>
      <c r="C30" s="354"/>
      <c r="D30" s="190"/>
      <c r="E30" s="191"/>
      <c r="F30" s="135"/>
      <c r="G30" s="192"/>
      <c r="H30" s="137"/>
      <c r="I30" s="138">
        <f t="shared" si="0"/>
        <v>0</v>
      </c>
      <c r="J30" s="139"/>
      <c r="K30" s="193">
        <f t="shared" si="49"/>
        <v>0</v>
      </c>
      <c r="L30" s="141"/>
      <c r="M30" s="194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4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6"/>
      <c r="AN30" s="197">
        <f t="shared" si="2"/>
        <v>0</v>
      </c>
      <c r="AO30" s="146"/>
      <c r="AP30" s="147">
        <f t="shared" si="3"/>
        <v>0</v>
      </c>
      <c r="AQ30" s="148"/>
      <c r="AR30" s="198"/>
      <c r="AS30" s="198"/>
      <c r="AT30" s="135"/>
      <c r="AU30" s="199"/>
      <c r="AV30" s="200"/>
      <c r="AW30" s="200"/>
      <c r="AX30" s="200"/>
      <c r="AY30" s="200"/>
      <c r="AZ30" s="200"/>
      <c r="BA30" s="200"/>
      <c r="BB30" s="200"/>
      <c r="BC30" s="200"/>
      <c r="BD30" s="200"/>
      <c r="BE30" s="200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199"/>
      <c r="BS30" s="200"/>
      <c r="BT30" s="200"/>
      <c r="BU30" s="200"/>
      <c r="BV30" s="200"/>
      <c r="BW30" s="200"/>
      <c r="BX30" s="200"/>
      <c r="BY30" s="200"/>
      <c r="BZ30" s="200"/>
      <c r="CA30" s="200"/>
      <c r="CB30" s="200"/>
      <c r="CC30" s="202"/>
      <c r="CD30" s="199"/>
      <c r="CE30" s="194"/>
      <c r="CF30" s="195"/>
      <c r="CG30" s="195"/>
      <c r="CH30" s="195"/>
      <c r="CI30" s="195"/>
      <c r="CJ30" s="195"/>
      <c r="CK30" s="195"/>
      <c r="CL30" s="195"/>
      <c r="CM30" s="195"/>
      <c r="CN30" s="195"/>
      <c r="CO30" s="347"/>
      <c r="CP30" s="200"/>
      <c r="CQ30" s="201"/>
      <c r="CR30" s="202"/>
      <c r="CS30" s="203">
        <f t="shared" si="48"/>
        <v>0</v>
      </c>
      <c r="CT30" s="146"/>
      <c r="CU30" s="147">
        <f t="shared" si="4"/>
        <v>0</v>
      </c>
      <c r="CV30" s="156"/>
      <c r="CW30" s="157" t="e">
        <f t="shared" si="5"/>
        <v>#DIV/0!</v>
      </c>
      <c r="CX30" s="157" t="e">
        <f t="shared" si="6"/>
        <v>#DIV/0!</v>
      </c>
      <c r="CY30" s="157" t="e">
        <f t="shared" si="7"/>
        <v>#DIV/0!</v>
      </c>
      <c r="CZ30" s="157" t="e">
        <f t="shared" si="8"/>
        <v>#DIV/0!</v>
      </c>
      <c r="DA30" s="157" t="e">
        <f t="shared" si="9"/>
        <v>#DIV/0!</v>
      </c>
      <c r="DB30" s="158" t="e">
        <f t="shared" si="10"/>
        <v>#DIV/0!</v>
      </c>
      <c r="DC30" s="131"/>
      <c r="DD30" s="159">
        <f t="shared" si="11"/>
        <v>0</v>
      </c>
      <c r="DE30" s="160">
        <f t="shared" si="12"/>
        <v>0</v>
      </c>
      <c r="DF30" s="161">
        <f t="shared" si="13"/>
        <v>0</v>
      </c>
      <c r="DG30" s="162" t="e">
        <f t="shared" si="14"/>
        <v>#DIV/0!</v>
      </c>
      <c r="DH30" s="163">
        <f t="shared" si="15"/>
        <v>0</v>
      </c>
      <c r="DI30" s="164"/>
      <c r="DJ30" s="165">
        <f t="shared" si="16"/>
        <v>0</v>
      </c>
      <c r="DK30" s="166">
        <f t="shared" si="16"/>
        <v>0</v>
      </c>
      <c r="DL30" s="167" t="e">
        <f t="shared" si="17"/>
        <v>#DIV/0!</v>
      </c>
      <c r="DM30" s="168" t="e">
        <f t="shared" si="18"/>
        <v>#DIV/0!</v>
      </c>
      <c r="DN30" s="163" t="e">
        <f t="shared" si="19"/>
        <v>#DIV/0!</v>
      </c>
      <c r="DO30" s="169"/>
      <c r="DP30" s="170"/>
      <c r="DQ30" s="171"/>
      <c r="DR30" s="172">
        <f t="shared" si="20"/>
        <v>0</v>
      </c>
      <c r="DS30" s="173" t="e">
        <f t="shared" si="21"/>
        <v>#DIV/0!</v>
      </c>
      <c r="DT30" s="163" t="e">
        <f t="shared" si="22"/>
        <v>#DIV/0!</v>
      </c>
      <c r="DU30" s="174"/>
      <c r="DV30" s="175" t="e">
        <f t="shared" si="23"/>
        <v>#DIV/0!</v>
      </c>
      <c r="DW30" s="163">
        <f t="shared" si="24"/>
        <v>0</v>
      </c>
      <c r="DX30" s="164"/>
      <c r="DY30" s="176">
        <f t="shared" si="25"/>
        <v>0</v>
      </c>
      <c r="DZ30" s="177">
        <f t="shared" si="26"/>
        <v>0</v>
      </c>
      <c r="EA30" s="178">
        <f t="shared" si="27"/>
        <v>0</v>
      </c>
      <c r="EB30" s="179">
        <f t="shared" si="28"/>
        <v>0</v>
      </c>
      <c r="EC30" s="180"/>
      <c r="ED30" s="175" t="e">
        <f t="shared" si="29"/>
        <v>#DIV/0!</v>
      </c>
      <c r="EE30" s="163">
        <f t="shared" si="30"/>
        <v>0</v>
      </c>
      <c r="EF30" s="164"/>
      <c r="EG30" s="181">
        <f t="shared" si="31"/>
        <v>0</v>
      </c>
      <c r="EH30" s="182">
        <f t="shared" si="32"/>
        <v>0</v>
      </c>
      <c r="EI30" s="182">
        <f t="shared" si="33"/>
        <v>0</v>
      </c>
      <c r="EJ30" s="182">
        <f t="shared" si="34"/>
        <v>0</v>
      </c>
      <c r="EK30" s="183">
        <f t="shared" si="35"/>
        <v>0</v>
      </c>
      <c r="EL30" s="184" t="e">
        <f t="shared" si="36"/>
        <v>#DIV/0!</v>
      </c>
      <c r="EM30" s="185">
        <f t="shared" si="37"/>
        <v>0</v>
      </c>
      <c r="EN30" s="164"/>
      <c r="EO30" s="181">
        <f t="shared" si="38"/>
        <v>0</v>
      </c>
      <c r="EP30" s="183">
        <f t="shared" si="39"/>
        <v>0</v>
      </c>
      <c r="EQ30" s="184" t="e">
        <f t="shared" si="40"/>
        <v>#DIV/0!</v>
      </c>
      <c r="ER30" s="185">
        <f t="shared" si="41"/>
        <v>0</v>
      </c>
      <c r="ES30" s="164"/>
      <c r="ET30" s="164"/>
      <c r="EU30" s="186">
        <f t="shared" si="42"/>
        <v>0</v>
      </c>
      <c r="EV30" s="186">
        <f t="shared" si="43"/>
        <v>0</v>
      </c>
      <c r="EW30" s="186">
        <f t="shared" si="44"/>
        <v>0</v>
      </c>
      <c r="EX30" s="186">
        <f t="shared" si="45"/>
        <v>0</v>
      </c>
      <c r="EY30" s="131"/>
      <c r="EZ30" s="187">
        <f t="shared" si="46"/>
        <v>0</v>
      </c>
      <c r="FA30" s="188" t="e">
        <f t="shared" si="47"/>
        <v>#DIV/0!</v>
      </c>
      <c r="FB30" s="189"/>
      <c r="FC30" s="131"/>
      <c r="FD30" s="131"/>
      <c r="FE30" s="131"/>
      <c r="FF30" s="131"/>
      <c r="FG30" s="131"/>
    </row>
    <row r="31" spans="1:163" ht="16" outlineLevel="1" thickBot="1" x14ac:dyDescent="0.4">
      <c r="B31" s="358"/>
      <c r="C31" s="355"/>
      <c r="D31" s="204"/>
      <c r="E31" s="205"/>
      <c r="F31" s="135"/>
      <c r="G31" s="206"/>
      <c r="H31" s="207"/>
      <c r="I31" s="138">
        <f t="shared" si="0"/>
        <v>0</v>
      </c>
      <c r="J31" s="139"/>
      <c r="K31" s="208">
        <f t="shared" si="49"/>
        <v>0</v>
      </c>
      <c r="L31" s="141"/>
      <c r="M31" s="209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09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1"/>
      <c r="AN31" s="212">
        <f t="shared" si="2"/>
        <v>0</v>
      </c>
      <c r="AO31" s="146"/>
      <c r="AP31" s="147">
        <f t="shared" si="3"/>
        <v>0</v>
      </c>
      <c r="AQ31" s="148"/>
      <c r="AR31" s="213"/>
      <c r="AS31" s="213"/>
      <c r="AT31" s="135"/>
      <c r="AU31" s="214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6"/>
      <c r="BG31" s="216"/>
      <c r="BH31" s="216"/>
      <c r="BI31" s="216"/>
      <c r="BJ31" s="216"/>
      <c r="BK31" s="216"/>
      <c r="BL31" s="216"/>
      <c r="BM31" s="216"/>
      <c r="BN31" s="216"/>
      <c r="BO31" s="216"/>
      <c r="BP31" s="216"/>
      <c r="BQ31" s="216"/>
      <c r="BR31" s="214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7"/>
      <c r="CD31" s="214"/>
      <c r="CE31" s="209"/>
      <c r="CF31" s="210"/>
      <c r="CG31" s="210"/>
      <c r="CH31" s="210"/>
      <c r="CI31" s="210"/>
      <c r="CJ31" s="210"/>
      <c r="CK31" s="210"/>
      <c r="CL31" s="210"/>
      <c r="CM31" s="210"/>
      <c r="CN31" s="210"/>
      <c r="CO31" s="348"/>
      <c r="CP31" s="215"/>
      <c r="CQ31" s="216"/>
      <c r="CR31" s="217"/>
      <c r="CS31" s="218">
        <f t="shared" si="48"/>
        <v>0</v>
      </c>
      <c r="CT31" s="146"/>
      <c r="CU31" s="147">
        <f t="shared" si="4"/>
        <v>0</v>
      </c>
      <c r="CV31" s="156"/>
      <c r="CW31" s="157" t="e">
        <f t="shared" si="5"/>
        <v>#DIV/0!</v>
      </c>
      <c r="CX31" s="157" t="e">
        <f t="shared" si="6"/>
        <v>#DIV/0!</v>
      </c>
      <c r="CY31" s="157" t="e">
        <f t="shared" si="7"/>
        <v>#DIV/0!</v>
      </c>
      <c r="CZ31" s="157" t="e">
        <f t="shared" si="8"/>
        <v>#DIV/0!</v>
      </c>
      <c r="DA31" s="157" t="e">
        <f t="shared" si="9"/>
        <v>#DIV/0!</v>
      </c>
      <c r="DB31" s="158" t="e">
        <f t="shared" si="10"/>
        <v>#DIV/0!</v>
      </c>
      <c r="DC31" s="131"/>
      <c r="DD31" s="159">
        <f t="shared" si="11"/>
        <v>0</v>
      </c>
      <c r="DE31" s="160">
        <f t="shared" si="12"/>
        <v>0</v>
      </c>
      <c r="DF31" s="161">
        <f t="shared" si="13"/>
        <v>0</v>
      </c>
      <c r="DG31" s="162" t="e">
        <f t="shared" si="14"/>
        <v>#DIV/0!</v>
      </c>
      <c r="DH31" s="163">
        <f t="shared" si="15"/>
        <v>0</v>
      </c>
      <c r="DI31" s="164"/>
      <c r="DJ31" s="165">
        <f t="shared" si="16"/>
        <v>0</v>
      </c>
      <c r="DK31" s="166">
        <f t="shared" si="16"/>
        <v>0</v>
      </c>
      <c r="DL31" s="167" t="e">
        <f t="shared" si="17"/>
        <v>#DIV/0!</v>
      </c>
      <c r="DM31" s="168" t="e">
        <f t="shared" si="18"/>
        <v>#DIV/0!</v>
      </c>
      <c r="DN31" s="163" t="e">
        <f t="shared" si="19"/>
        <v>#DIV/0!</v>
      </c>
      <c r="DO31" s="169"/>
      <c r="DP31" s="170"/>
      <c r="DQ31" s="171"/>
      <c r="DR31" s="172">
        <f t="shared" si="20"/>
        <v>0</v>
      </c>
      <c r="DS31" s="173" t="e">
        <f t="shared" si="21"/>
        <v>#DIV/0!</v>
      </c>
      <c r="DT31" s="163" t="e">
        <f t="shared" si="22"/>
        <v>#DIV/0!</v>
      </c>
      <c r="DU31" s="174"/>
      <c r="DV31" s="175" t="e">
        <f t="shared" si="23"/>
        <v>#DIV/0!</v>
      </c>
      <c r="DW31" s="163">
        <f t="shared" si="24"/>
        <v>0</v>
      </c>
      <c r="DX31" s="164"/>
      <c r="DY31" s="176">
        <f t="shared" si="25"/>
        <v>0</v>
      </c>
      <c r="DZ31" s="177">
        <f t="shared" si="26"/>
        <v>0</v>
      </c>
      <c r="EA31" s="178">
        <f t="shared" si="27"/>
        <v>0</v>
      </c>
      <c r="EB31" s="179">
        <f t="shared" si="28"/>
        <v>0</v>
      </c>
      <c r="EC31" s="180"/>
      <c r="ED31" s="175" t="e">
        <f t="shared" si="29"/>
        <v>#DIV/0!</v>
      </c>
      <c r="EE31" s="163">
        <f t="shared" si="30"/>
        <v>0</v>
      </c>
      <c r="EF31" s="164"/>
      <c r="EG31" s="181">
        <f t="shared" si="31"/>
        <v>0</v>
      </c>
      <c r="EH31" s="182">
        <f t="shared" si="32"/>
        <v>0</v>
      </c>
      <c r="EI31" s="182">
        <f t="shared" si="33"/>
        <v>0</v>
      </c>
      <c r="EJ31" s="182">
        <f t="shared" si="34"/>
        <v>0</v>
      </c>
      <c r="EK31" s="183">
        <f t="shared" si="35"/>
        <v>0</v>
      </c>
      <c r="EL31" s="184" t="e">
        <f t="shared" si="36"/>
        <v>#DIV/0!</v>
      </c>
      <c r="EM31" s="185">
        <f t="shared" si="37"/>
        <v>0</v>
      </c>
      <c r="EN31" s="164"/>
      <c r="EO31" s="181">
        <f t="shared" si="38"/>
        <v>0</v>
      </c>
      <c r="EP31" s="183">
        <f t="shared" si="39"/>
        <v>0</v>
      </c>
      <c r="EQ31" s="184" t="e">
        <f t="shared" si="40"/>
        <v>#DIV/0!</v>
      </c>
      <c r="ER31" s="185">
        <f t="shared" si="41"/>
        <v>0</v>
      </c>
      <c r="ES31" s="164"/>
      <c r="ET31" s="164"/>
      <c r="EU31" s="186">
        <f t="shared" si="42"/>
        <v>0</v>
      </c>
      <c r="EV31" s="186">
        <f t="shared" si="43"/>
        <v>0</v>
      </c>
      <c r="EW31" s="186">
        <f t="shared" si="44"/>
        <v>0</v>
      </c>
      <c r="EX31" s="186">
        <f t="shared" si="45"/>
        <v>0</v>
      </c>
      <c r="EY31" s="131"/>
      <c r="EZ31" s="187">
        <f t="shared" si="46"/>
        <v>0</v>
      </c>
      <c r="FA31" s="188" t="e">
        <f t="shared" si="47"/>
        <v>#DIV/0!</v>
      </c>
      <c r="FB31" s="189"/>
      <c r="FC31" s="131"/>
      <c r="FD31" s="131"/>
      <c r="FE31" s="131"/>
      <c r="FF31" s="131"/>
      <c r="FG31" s="131"/>
    </row>
    <row r="32" spans="1:163" ht="16" outlineLevel="1" thickBot="1" x14ac:dyDescent="0.4">
      <c r="B32" s="356"/>
      <c r="C32" s="353"/>
      <c r="D32" s="190"/>
      <c r="E32" s="134"/>
      <c r="F32" s="135"/>
      <c r="G32" s="136"/>
      <c r="H32" s="137"/>
      <c r="I32" s="138">
        <f>IF(E32&gt;0.0001,12.5,0)</f>
        <v>0</v>
      </c>
      <c r="J32" s="139"/>
      <c r="K32" s="193">
        <f t="shared" si="49"/>
        <v>0</v>
      </c>
      <c r="L32" s="141"/>
      <c r="M32" s="194"/>
      <c r="N32" s="195"/>
      <c r="O32" s="195"/>
      <c r="P32" s="195"/>
      <c r="Q32" s="195"/>
      <c r="R32" s="143"/>
      <c r="S32" s="195"/>
      <c r="T32" s="195"/>
      <c r="U32" s="195"/>
      <c r="V32" s="195"/>
      <c r="W32" s="195"/>
      <c r="X32" s="195"/>
      <c r="Y32" s="195"/>
      <c r="Z32" s="195"/>
      <c r="AA32" s="194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6"/>
      <c r="AN32" s="197">
        <f t="shared" si="2"/>
        <v>0</v>
      </c>
      <c r="AO32" s="146"/>
      <c r="AP32" s="147">
        <f t="shared" si="3"/>
        <v>0</v>
      </c>
      <c r="AQ32" s="148"/>
      <c r="AR32" s="198"/>
      <c r="AS32" s="198"/>
      <c r="AT32" s="135"/>
      <c r="AU32" s="199"/>
      <c r="AV32" s="200"/>
      <c r="AW32" s="200"/>
      <c r="AX32" s="200"/>
      <c r="AY32" s="200"/>
      <c r="AZ32" s="200"/>
      <c r="BA32" s="200"/>
      <c r="BB32" s="200"/>
      <c r="BC32" s="200"/>
      <c r="BD32" s="200"/>
      <c r="BE32" s="200"/>
      <c r="BF32" s="201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1"/>
      <c r="BR32" s="199"/>
      <c r="BS32" s="200"/>
      <c r="BT32" s="200"/>
      <c r="BU32" s="200"/>
      <c r="BV32" s="200"/>
      <c r="BW32" s="200"/>
      <c r="BX32" s="200"/>
      <c r="BY32" s="200"/>
      <c r="BZ32" s="200"/>
      <c r="CA32" s="200"/>
      <c r="CB32" s="200"/>
      <c r="CC32" s="202"/>
      <c r="CD32" s="199"/>
      <c r="CE32" s="194"/>
      <c r="CF32" s="195"/>
      <c r="CG32" s="195"/>
      <c r="CH32" s="195"/>
      <c r="CI32" s="195"/>
      <c r="CJ32" s="195"/>
      <c r="CK32" s="195"/>
      <c r="CL32" s="195"/>
      <c r="CM32" s="195"/>
      <c r="CN32" s="195"/>
      <c r="CO32" s="347"/>
      <c r="CP32" s="200"/>
      <c r="CQ32" s="201"/>
      <c r="CR32" s="202"/>
      <c r="CS32" s="203">
        <f t="shared" si="48"/>
        <v>0</v>
      </c>
      <c r="CT32" s="146"/>
      <c r="CU32" s="147">
        <f t="shared" si="4"/>
        <v>0</v>
      </c>
      <c r="CV32" s="156"/>
      <c r="CW32" s="157" t="e">
        <f t="shared" si="5"/>
        <v>#DIV/0!</v>
      </c>
      <c r="CX32" s="157" t="e">
        <f t="shared" si="6"/>
        <v>#DIV/0!</v>
      </c>
      <c r="CY32" s="157" t="e">
        <f t="shared" si="7"/>
        <v>#DIV/0!</v>
      </c>
      <c r="CZ32" s="157" t="e">
        <f t="shared" si="8"/>
        <v>#DIV/0!</v>
      </c>
      <c r="DA32" s="157" t="e">
        <f t="shared" si="9"/>
        <v>#DIV/0!</v>
      </c>
      <c r="DB32" s="158" t="e">
        <f t="shared" si="10"/>
        <v>#DIV/0!</v>
      </c>
      <c r="DC32" s="131"/>
      <c r="DD32" s="159">
        <f t="shared" si="11"/>
        <v>0</v>
      </c>
      <c r="DE32" s="160">
        <f t="shared" si="12"/>
        <v>0</v>
      </c>
      <c r="DF32" s="161">
        <f t="shared" si="13"/>
        <v>0</v>
      </c>
      <c r="DG32" s="162" t="e">
        <f t="shared" si="14"/>
        <v>#DIV/0!</v>
      </c>
      <c r="DH32" s="163">
        <f t="shared" si="15"/>
        <v>0</v>
      </c>
      <c r="DI32" s="164"/>
      <c r="DJ32" s="165">
        <f t="shared" si="16"/>
        <v>0</v>
      </c>
      <c r="DK32" s="166">
        <f t="shared" si="16"/>
        <v>0</v>
      </c>
      <c r="DL32" s="167" t="e">
        <f t="shared" si="17"/>
        <v>#DIV/0!</v>
      </c>
      <c r="DM32" s="168" t="e">
        <f t="shared" si="18"/>
        <v>#DIV/0!</v>
      </c>
      <c r="DN32" s="163" t="e">
        <f t="shared" si="19"/>
        <v>#DIV/0!</v>
      </c>
      <c r="DO32" s="169"/>
      <c r="DP32" s="170"/>
      <c r="DQ32" s="171"/>
      <c r="DR32" s="172">
        <f t="shared" si="20"/>
        <v>0</v>
      </c>
      <c r="DS32" s="173" t="e">
        <f t="shared" si="21"/>
        <v>#DIV/0!</v>
      </c>
      <c r="DT32" s="163" t="e">
        <f t="shared" si="22"/>
        <v>#DIV/0!</v>
      </c>
      <c r="DU32" s="174"/>
      <c r="DV32" s="175" t="e">
        <f t="shared" si="23"/>
        <v>#DIV/0!</v>
      </c>
      <c r="DW32" s="163">
        <f t="shared" si="24"/>
        <v>0</v>
      </c>
      <c r="DX32" s="164"/>
      <c r="DY32" s="176">
        <f t="shared" si="25"/>
        <v>0</v>
      </c>
      <c r="DZ32" s="177">
        <f t="shared" si="26"/>
        <v>0</v>
      </c>
      <c r="EA32" s="178">
        <f t="shared" si="27"/>
        <v>0</v>
      </c>
      <c r="EB32" s="179">
        <f t="shared" si="28"/>
        <v>0</v>
      </c>
      <c r="EC32" s="180"/>
      <c r="ED32" s="175" t="e">
        <f t="shared" si="29"/>
        <v>#DIV/0!</v>
      </c>
      <c r="EE32" s="163">
        <f t="shared" si="30"/>
        <v>0</v>
      </c>
      <c r="EF32" s="164"/>
      <c r="EG32" s="181">
        <f t="shared" si="31"/>
        <v>0</v>
      </c>
      <c r="EH32" s="182">
        <f t="shared" si="32"/>
        <v>0</v>
      </c>
      <c r="EI32" s="182">
        <f t="shared" si="33"/>
        <v>0</v>
      </c>
      <c r="EJ32" s="182">
        <f t="shared" si="34"/>
        <v>0</v>
      </c>
      <c r="EK32" s="183">
        <f t="shared" si="35"/>
        <v>0</v>
      </c>
      <c r="EL32" s="184" t="e">
        <f t="shared" si="36"/>
        <v>#DIV/0!</v>
      </c>
      <c r="EM32" s="185">
        <f t="shared" si="37"/>
        <v>0</v>
      </c>
      <c r="EN32" s="164"/>
      <c r="EO32" s="181">
        <f t="shared" si="38"/>
        <v>0</v>
      </c>
      <c r="EP32" s="183">
        <f t="shared" si="39"/>
        <v>0</v>
      </c>
      <c r="EQ32" s="184" t="e">
        <f t="shared" si="40"/>
        <v>#DIV/0!</v>
      </c>
      <c r="ER32" s="185">
        <f t="shared" si="41"/>
        <v>0</v>
      </c>
      <c r="ES32" s="164"/>
      <c r="ET32" s="164"/>
      <c r="EU32" s="186">
        <f t="shared" si="42"/>
        <v>0</v>
      </c>
      <c r="EV32" s="186">
        <f t="shared" si="43"/>
        <v>0</v>
      </c>
      <c r="EW32" s="186">
        <f t="shared" si="44"/>
        <v>0</v>
      </c>
      <c r="EX32" s="186">
        <f t="shared" si="45"/>
        <v>0</v>
      </c>
      <c r="EY32" s="131"/>
      <c r="EZ32" s="187">
        <f t="shared" si="46"/>
        <v>0</v>
      </c>
      <c r="FA32" s="188" t="e">
        <f t="shared" si="47"/>
        <v>#DIV/0!</v>
      </c>
      <c r="FB32" s="189"/>
      <c r="FC32" s="131"/>
      <c r="FD32" s="131"/>
      <c r="FE32" s="131"/>
      <c r="FF32" s="131"/>
      <c r="FG32" s="131"/>
    </row>
    <row r="33" spans="2:163" ht="16" outlineLevel="1" thickBot="1" x14ac:dyDescent="0.4">
      <c r="B33" s="357"/>
      <c r="C33" s="354"/>
      <c r="D33" s="204"/>
      <c r="E33" s="205"/>
      <c r="F33" s="135"/>
      <c r="G33" s="206"/>
      <c r="H33" s="137"/>
      <c r="I33" s="138">
        <f>IF(E33&gt;0.0001,12.5,0)</f>
        <v>0</v>
      </c>
      <c r="J33" s="139"/>
      <c r="K33" s="208">
        <f t="shared" si="49"/>
        <v>0</v>
      </c>
      <c r="L33" s="141"/>
      <c r="M33" s="209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09"/>
      <c r="AB33" s="210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1"/>
      <c r="AN33" s="212">
        <f t="shared" si="2"/>
        <v>0</v>
      </c>
      <c r="AO33" s="146"/>
      <c r="AP33" s="147">
        <f t="shared" si="3"/>
        <v>0</v>
      </c>
      <c r="AQ33" s="148"/>
      <c r="AR33" s="213"/>
      <c r="AS33" s="213"/>
      <c r="AT33" s="135"/>
      <c r="AU33" s="214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6"/>
      <c r="BG33" s="216"/>
      <c r="BH33" s="216"/>
      <c r="BI33" s="216"/>
      <c r="BJ33" s="216"/>
      <c r="BK33" s="216"/>
      <c r="BL33" s="216"/>
      <c r="BM33" s="216"/>
      <c r="BN33" s="216"/>
      <c r="BO33" s="216"/>
      <c r="BP33" s="216"/>
      <c r="BQ33" s="216"/>
      <c r="BR33" s="214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7"/>
      <c r="CD33" s="214"/>
      <c r="CE33" s="209"/>
      <c r="CF33" s="210"/>
      <c r="CG33" s="210"/>
      <c r="CH33" s="210"/>
      <c r="CI33" s="210"/>
      <c r="CJ33" s="210"/>
      <c r="CK33" s="210"/>
      <c r="CL33" s="210"/>
      <c r="CM33" s="210"/>
      <c r="CN33" s="210"/>
      <c r="CO33" s="348"/>
      <c r="CP33" s="215"/>
      <c r="CQ33" s="216"/>
      <c r="CR33" s="217"/>
      <c r="CS33" s="218">
        <f t="shared" si="48"/>
        <v>0</v>
      </c>
      <c r="CT33" s="146"/>
      <c r="CU33" s="147">
        <f t="shared" si="4"/>
        <v>0</v>
      </c>
      <c r="CV33" s="156"/>
      <c r="CW33" s="157" t="e">
        <f t="shared" si="5"/>
        <v>#DIV/0!</v>
      </c>
      <c r="CX33" s="157" t="e">
        <f t="shared" si="6"/>
        <v>#DIV/0!</v>
      </c>
      <c r="CY33" s="157" t="e">
        <f t="shared" si="7"/>
        <v>#DIV/0!</v>
      </c>
      <c r="CZ33" s="157" t="e">
        <f t="shared" si="8"/>
        <v>#DIV/0!</v>
      </c>
      <c r="DA33" s="157" t="e">
        <f t="shared" si="9"/>
        <v>#DIV/0!</v>
      </c>
      <c r="DB33" s="158" t="e">
        <f t="shared" si="10"/>
        <v>#DIV/0!</v>
      </c>
      <c r="DC33" s="131"/>
      <c r="DD33" s="159">
        <f t="shared" si="11"/>
        <v>0</v>
      </c>
      <c r="DE33" s="160">
        <f t="shared" si="12"/>
        <v>0</v>
      </c>
      <c r="DF33" s="161">
        <f t="shared" si="13"/>
        <v>0</v>
      </c>
      <c r="DG33" s="162" t="e">
        <f t="shared" si="14"/>
        <v>#DIV/0!</v>
      </c>
      <c r="DH33" s="163">
        <f t="shared" si="15"/>
        <v>0</v>
      </c>
      <c r="DI33" s="164"/>
      <c r="DJ33" s="165">
        <f t="shared" si="16"/>
        <v>0</v>
      </c>
      <c r="DK33" s="166">
        <f t="shared" si="16"/>
        <v>0</v>
      </c>
      <c r="DL33" s="167" t="e">
        <f t="shared" si="17"/>
        <v>#DIV/0!</v>
      </c>
      <c r="DM33" s="168" t="e">
        <f t="shared" si="18"/>
        <v>#DIV/0!</v>
      </c>
      <c r="DN33" s="163" t="e">
        <f t="shared" si="19"/>
        <v>#DIV/0!</v>
      </c>
      <c r="DO33" s="169"/>
      <c r="DP33" s="170"/>
      <c r="DQ33" s="171"/>
      <c r="DR33" s="172">
        <f t="shared" si="20"/>
        <v>0</v>
      </c>
      <c r="DS33" s="173" t="e">
        <f t="shared" si="21"/>
        <v>#DIV/0!</v>
      </c>
      <c r="DT33" s="163" t="e">
        <f t="shared" si="22"/>
        <v>#DIV/0!</v>
      </c>
      <c r="DU33" s="174"/>
      <c r="DV33" s="175" t="e">
        <f t="shared" si="23"/>
        <v>#DIV/0!</v>
      </c>
      <c r="DW33" s="163">
        <f t="shared" si="24"/>
        <v>0</v>
      </c>
      <c r="DX33" s="164"/>
      <c r="DY33" s="176">
        <f t="shared" si="25"/>
        <v>0</v>
      </c>
      <c r="DZ33" s="177">
        <f t="shared" si="26"/>
        <v>0</v>
      </c>
      <c r="EA33" s="178">
        <f t="shared" si="27"/>
        <v>0</v>
      </c>
      <c r="EB33" s="179">
        <f t="shared" si="28"/>
        <v>0</v>
      </c>
      <c r="EC33" s="180"/>
      <c r="ED33" s="175" t="e">
        <f t="shared" si="29"/>
        <v>#DIV/0!</v>
      </c>
      <c r="EE33" s="163">
        <f t="shared" si="30"/>
        <v>0</v>
      </c>
      <c r="EF33" s="164"/>
      <c r="EG33" s="181">
        <f t="shared" si="31"/>
        <v>0</v>
      </c>
      <c r="EH33" s="182">
        <f t="shared" si="32"/>
        <v>0</v>
      </c>
      <c r="EI33" s="182">
        <f t="shared" si="33"/>
        <v>0</v>
      </c>
      <c r="EJ33" s="182">
        <f t="shared" si="34"/>
        <v>0</v>
      </c>
      <c r="EK33" s="183">
        <f t="shared" si="35"/>
        <v>0</v>
      </c>
      <c r="EL33" s="184" t="e">
        <f t="shared" si="36"/>
        <v>#DIV/0!</v>
      </c>
      <c r="EM33" s="185">
        <f t="shared" si="37"/>
        <v>0</v>
      </c>
      <c r="EN33" s="164"/>
      <c r="EO33" s="181">
        <f t="shared" si="38"/>
        <v>0</v>
      </c>
      <c r="EP33" s="183">
        <f t="shared" si="39"/>
        <v>0</v>
      </c>
      <c r="EQ33" s="184" t="e">
        <f t="shared" si="40"/>
        <v>#DIV/0!</v>
      </c>
      <c r="ER33" s="185">
        <f t="shared" si="41"/>
        <v>0</v>
      </c>
      <c r="ES33" s="164"/>
      <c r="ET33" s="164"/>
      <c r="EU33" s="186">
        <f t="shared" si="42"/>
        <v>0</v>
      </c>
      <c r="EV33" s="186">
        <f t="shared" si="43"/>
        <v>0</v>
      </c>
      <c r="EW33" s="186">
        <f t="shared" si="44"/>
        <v>0</v>
      </c>
      <c r="EX33" s="186">
        <f t="shared" si="45"/>
        <v>0</v>
      </c>
      <c r="EY33" s="131"/>
      <c r="EZ33" s="187">
        <f t="shared" si="46"/>
        <v>0</v>
      </c>
      <c r="FA33" s="188" t="e">
        <f t="shared" si="47"/>
        <v>#DIV/0!</v>
      </c>
      <c r="FB33" s="189"/>
      <c r="FC33" s="131"/>
      <c r="FD33" s="131"/>
      <c r="FE33" s="131"/>
      <c r="FF33" s="131"/>
      <c r="FG33" s="131"/>
    </row>
    <row r="34" spans="2:163" ht="16" outlineLevel="1" thickBot="1" x14ac:dyDescent="0.4">
      <c r="B34" s="358"/>
      <c r="C34" s="355"/>
      <c r="D34" s="204"/>
      <c r="E34" s="205"/>
      <c r="F34" s="135"/>
      <c r="G34" s="206"/>
      <c r="H34" s="137"/>
      <c r="I34" s="138">
        <f t="shared" si="0"/>
        <v>0</v>
      </c>
      <c r="J34" s="139"/>
      <c r="K34" s="208">
        <f t="shared" si="49"/>
        <v>0</v>
      </c>
      <c r="L34" s="141"/>
      <c r="M34" s="209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09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1"/>
      <c r="AN34" s="212">
        <f t="shared" si="2"/>
        <v>0</v>
      </c>
      <c r="AO34" s="146"/>
      <c r="AP34" s="147">
        <f t="shared" si="3"/>
        <v>0</v>
      </c>
      <c r="AQ34" s="148"/>
      <c r="AR34" s="213"/>
      <c r="AS34" s="213"/>
      <c r="AT34" s="135"/>
      <c r="AU34" s="214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6"/>
      <c r="BG34" s="216"/>
      <c r="BH34" s="216"/>
      <c r="BI34" s="216"/>
      <c r="BJ34" s="216"/>
      <c r="BK34" s="216"/>
      <c r="BL34" s="216"/>
      <c r="BM34" s="216"/>
      <c r="BN34" s="216"/>
      <c r="BO34" s="216"/>
      <c r="BP34" s="216"/>
      <c r="BQ34" s="216"/>
      <c r="BR34" s="214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7"/>
      <c r="CD34" s="214"/>
      <c r="CE34" s="209"/>
      <c r="CF34" s="210"/>
      <c r="CG34" s="210"/>
      <c r="CH34" s="210"/>
      <c r="CI34" s="210"/>
      <c r="CJ34" s="210"/>
      <c r="CK34" s="210"/>
      <c r="CL34" s="210"/>
      <c r="CM34" s="210"/>
      <c r="CN34" s="210"/>
      <c r="CO34" s="348"/>
      <c r="CP34" s="215"/>
      <c r="CQ34" s="216"/>
      <c r="CR34" s="217"/>
      <c r="CS34" s="218">
        <f t="shared" si="48"/>
        <v>0</v>
      </c>
      <c r="CT34" s="146"/>
      <c r="CU34" s="147">
        <f t="shared" si="4"/>
        <v>0</v>
      </c>
      <c r="CV34" s="156"/>
      <c r="CW34" s="157" t="e">
        <f t="shared" si="5"/>
        <v>#DIV/0!</v>
      </c>
      <c r="CX34" s="157" t="e">
        <f t="shared" si="6"/>
        <v>#DIV/0!</v>
      </c>
      <c r="CY34" s="157" t="e">
        <f t="shared" si="7"/>
        <v>#DIV/0!</v>
      </c>
      <c r="CZ34" s="157" t="e">
        <f t="shared" si="8"/>
        <v>#DIV/0!</v>
      </c>
      <c r="DA34" s="157" t="e">
        <f t="shared" si="9"/>
        <v>#DIV/0!</v>
      </c>
      <c r="DB34" s="158" t="e">
        <f t="shared" si="10"/>
        <v>#DIV/0!</v>
      </c>
      <c r="DC34" s="131"/>
      <c r="DD34" s="159">
        <f t="shared" si="11"/>
        <v>0</v>
      </c>
      <c r="DE34" s="160">
        <f t="shared" si="12"/>
        <v>0</v>
      </c>
      <c r="DF34" s="161">
        <f t="shared" si="13"/>
        <v>0</v>
      </c>
      <c r="DG34" s="162" t="e">
        <f t="shared" si="14"/>
        <v>#DIV/0!</v>
      </c>
      <c r="DH34" s="163">
        <f t="shared" si="15"/>
        <v>0</v>
      </c>
      <c r="DI34" s="164"/>
      <c r="DJ34" s="165">
        <f t="shared" si="16"/>
        <v>0</v>
      </c>
      <c r="DK34" s="166">
        <f t="shared" si="16"/>
        <v>0</v>
      </c>
      <c r="DL34" s="167" t="e">
        <f t="shared" si="17"/>
        <v>#DIV/0!</v>
      </c>
      <c r="DM34" s="168" t="e">
        <f t="shared" si="18"/>
        <v>#DIV/0!</v>
      </c>
      <c r="DN34" s="163" t="e">
        <f t="shared" si="19"/>
        <v>#DIV/0!</v>
      </c>
      <c r="DO34" s="169"/>
      <c r="DP34" s="170"/>
      <c r="DQ34" s="171"/>
      <c r="DR34" s="172">
        <f t="shared" si="20"/>
        <v>0</v>
      </c>
      <c r="DS34" s="173" t="e">
        <f t="shared" si="21"/>
        <v>#DIV/0!</v>
      </c>
      <c r="DT34" s="163" t="e">
        <f t="shared" si="22"/>
        <v>#DIV/0!</v>
      </c>
      <c r="DU34" s="174"/>
      <c r="DV34" s="175" t="e">
        <f t="shared" si="23"/>
        <v>#DIV/0!</v>
      </c>
      <c r="DW34" s="163">
        <f t="shared" si="24"/>
        <v>0</v>
      </c>
      <c r="DX34" s="164"/>
      <c r="DY34" s="176">
        <f t="shared" si="25"/>
        <v>0</v>
      </c>
      <c r="DZ34" s="177">
        <f t="shared" si="26"/>
        <v>0</v>
      </c>
      <c r="EA34" s="178">
        <f t="shared" si="27"/>
        <v>0</v>
      </c>
      <c r="EB34" s="179">
        <f t="shared" si="28"/>
        <v>0</v>
      </c>
      <c r="EC34" s="180"/>
      <c r="ED34" s="175" t="e">
        <f t="shared" si="29"/>
        <v>#DIV/0!</v>
      </c>
      <c r="EE34" s="163">
        <f t="shared" si="30"/>
        <v>0</v>
      </c>
      <c r="EF34" s="164"/>
      <c r="EG34" s="181">
        <f t="shared" si="31"/>
        <v>0</v>
      </c>
      <c r="EH34" s="182">
        <f t="shared" si="32"/>
        <v>0</v>
      </c>
      <c r="EI34" s="182">
        <f t="shared" si="33"/>
        <v>0</v>
      </c>
      <c r="EJ34" s="182">
        <f t="shared" si="34"/>
        <v>0</v>
      </c>
      <c r="EK34" s="183">
        <f t="shared" si="35"/>
        <v>0</v>
      </c>
      <c r="EL34" s="184" t="e">
        <f t="shared" si="36"/>
        <v>#DIV/0!</v>
      </c>
      <c r="EM34" s="185">
        <f t="shared" si="37"/>
        <v>0</v>
      </c>
      <c r="EN34" s="164"/>
      <c r="EO34" s="181">
        <f t="shared" si="38"/>
        <v>0</v>
      </c>
      <c r="EP34" s="183">
        <f t="shared" si="39"/>
        <v>0</v>
      </c>
      <c r="EQ34" s="184" t="e">
        <f t="shared" si="40"/>
        <v>#DIV/0!</v>
      </c>
      <c r="ER34" s="185">
        <f t="shared" si="41"/>
        <v>0</v>
      </c>
      <c r="ES34" s="164"/>
      <c r="ET34" s="164"/>
      <c r="EU34" s="186">
        <f t="shared" si="42"/>
        <v>0</v>
      </c>
      <c r="EV34" s="186">
        <f t="shared" si="43"/>
        <v>0</v>
      </c>
      <c r="EW34" s="186">
        <f t="shared" si="44"/>
        <v>0</v>
      </c>
      <c r="EX34" s="186">
        <f t="shared" si="45"/>
        <v>0</v>
      </c>
      <c r="EY34" s="131"/>
      <c r="EZ34" s="187">
        <f t="shared" si="46"/>
        <v>0</v>
      </c>
      <c r="FA34" s="188" t="e">
        <f t="shared" si="47"/>
        <v>#DIV/0!</v>
      </c>
      <c r="FB34" s="189"/>
      <c r="FC34" s="131"/>
      <c r="FD34" s="131"/>
      <c r="FE34" s="131"/>
      <c r="FF34" s="131"/>
      <c r="FG34" s="131"/>
    </row>
    <row r="35" spans="2:163" s="220" customFormat="1" ht="16" outlineLevel="1" thickBot="1" x14ac:dyDescent="0.4">
      <c r="B35" s="356"/>
      <c r="C35" s="353"/>
      <c r="D35" s="133"/>
      <c r="E35" s="134"/>
      <c r="F35" s="135"/>
      <c r="G35" s="136"/>
      <c r="H35" s="137"/>
      <c r="I35" s="138">
        <f>IF(E35&gt;0.0001,12.5,0)</f>
        <v>0</v>
      </c>
      <c r="J35" s="139"/>
      <c r="K35" s="140">
        <f t="shared" si="49"/>
        <v>0</v>
      </c>
      <c r="L35" s="141"/>
      <c r="M35" s="142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2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4"/>
      <c r="AN35" s="145">
        <f t="shared" si="2"/>
        <v>0</v>
      </c>
      <c r="AO35" s="146"/>
      <c r="AP35" s="147">
        <f t="shared" si="3"/>
        <v>0</v>
      </c>
      <c r="AQ35" s="221"/>
      <c r="AR35" s="149"/>
      <c r="AS35" s="149"/>
      <c r="AT35" s="222"/>
      <c r="AU35" s="223"/>
      <c r="AV35" s="224"/>
      <c r="AW35" s="224"/>
      <c r="AX35" s="224"/>
      <c r="AY35" s="224"/>
      <c r="AZ35" s="224"/>
      <c r="BA35" s="224"/>
      <c r="BB35" s="151"/>
      <c r="BC35" s="151"/>
      <c r="BD35" s="151"/>
      <c r="BE35" s="151"/>
      <c r="BF35" s="152"/>
      <c r="BG35" s="152"/>
      <c r="BH35" s="152"/>
      <c r="BI35" s="152"/>
      <c r="BJ35" s="225"/>
      <c r="BK35" s="225"/>
      <c r="BL35" s="225"/>
      <c r="BM35" s="152"/>
      <c r="BN35" s="152"/>
      <c r="BO35" s="225"/>
      <c r="BP35" s="225"/>
      <c r="BQ35" s="225"/>
      <c r="BR35" s="223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6"/>
      <c r="CD35" s="223"/>
      <c r="CE35" s="142"/>
      <c r="CF35" s="143"/>
      <c r="CG35" s="143"/>
      <c r="CH35" s="143"/>
      <c r="CI35" s="143"/>
      <c r="CJ35" s="143"/>
      <c r="CK35" s="143"/>
      <c r="CL35" s="143"/>
      <c r="CM35" s="143"/>
      <c r="CN35" s="143"/>
      <c r="CO35" s="349"/>
      <c r="CP35" s="224"/>
      <c r="CQ35" s="225"/>
      <c r="CR35" s="226"/>
      <c r="CS35" s="227">
        <f t="shared" si="48"/>
        <v>0</v>
      </c>
      <c r="CT35" s="146"/>
      <c r="CU35" s="147">
        <f t="shared" si="4"/>
        <v>0</v>
      </c>
      <c r="CV35" s="156"/>
      <c r="CW35" s="157" t="e">
        <f t="shared" si="5"/>
        <v>#DIV/0!</v>
      </c>
      <c r="CX35" s="157" t="e">
        <f t="shared" si="6"/>
        <v>#DIV/0!</v>
      </c>
      <c r="CY35" s="157" t="e">
        <f t="shared" si="7"/>
        <v>#DIV/0!</v>
      </c>
      <c r="CZ35" s="157" t="e">
        <f t="shared" si="8"/>
        <v>#DIV/0!</v>
      </c>
      <c r="DA35" s="157" t="e">
        <f t="shared" si="9"/>
        <v>#DIV/0!</v>
      </c>
      <c r="DB35" s="158" t="e">
        <f t="shared" si="10"/>
        <v>#DIV/0!</v>
      </c>
      <c r="DC35" s="131"/>
      <c r="DD35" s="159">
        <f t="shared" si="11"/>
        <v>0</v>
      </c>
      <c r="DE35" s="160">
        <f t="shared" si="12"/>
        <v>0</v>
      </c>
      <c r="DF35" s="161">
        <f t="shared" si="13"/>
        <v>0</v>
      </c>
      <c r="DG35" s="162" t="e">
        <f t="shared" si="14"/>
        <v>#DIV/0!</v>
      </c>
      <c r="DH35" s="163">
        <f t="shared" si="15"/>
        <v>0</v>
      </c>
      <c r="DI35" s="164"/>
      <c r="DJ35" s="165">
        <f t="shared" si="16"/>
        <v>0</v>
      </c>
      <c r="DK35" s="166">
        <f t="shared" si="16"/>
        <v>0</v>
      </c>
      <c r="DL35" s="167" t="e">
        <f t="shared" si="17"/>
        <v>#DIV/0!</v>
      </c>
      <c r="DM35" s="168" t="e">
        <f t="shared" si="18"/>
        <v>#DIV/0!</v>
      </c>
      <c r="DN35" s="163" t="e">
        <f t="shared" si="19"/>
        <v>#DIV/0!</v>
      </c>
      <c r="DO35" s="169"/>
      <c r="DP35" s="171"/>
      <c r="DQ35" s="171"/>
      <c r="DR35" s="172">
        <f t="shared" si="20"/>
        <v>0</v>
      </c>
      <c r="DS35" s="173" t="e">
        <f t="shared" si="21"/>
        <v>#DIV/0!</v>
      </c>
      <c r="DT35" s="163" t="e">
        <f t="shared" si="22"/>
        <v>#DIV/0!</v>
      </c>
      <c r="DU35" s="174"/>
      <c r="DV35" s="175" t="e">
        <f t="shared" si="23"/>
        <v>#DIV/0!</v>
      </c>
      <c r="DW35" s="163">
        <f t="shared" si="24"/>
        <v>0</v>
      </c>
      <c r="DX35" s="164"/>
      <c r="DY35" s="176">
        <f t="shared" si="25"/>
        <v>0</v>
      </c>
      <c r="DZ35" s="177">
        <f t="shared" si="26"/>
        <v>0</v>
      </c>
      <c r="EA35" s="178">
        <f t="shared" si="27"/>
        <v>0</v>
      </c>
      <c r="EB35" s="179">
        <f t="shared" si="28"/>
        <v>0</v>
      </c>
      <c r="EC35" s="180"/>
      <c r="ED35" s="175" t="e">
        <f t="shared" si="29"/>
        <v>#DIV/0!</v>
      </c>
      <c r="EE35" s="163">
        <f t="shared" si="30"/>
        <v>0</v>
      </c>
      <c r="EF35" s="164"/>
      <c r="EG35" s="181">
        <f t="shared" si="31"/>
        <v>0</v>
      </c>
      <c r="EH35" s="182">
        <f t="shared" si="32"/>
        <v>0</v>
      </c>
      <c r="EI35" s="182">
        <f t="shared" si="33"/>
        <v>0</v>
      </c>
      <c r="EJ35" s="182">
        <f t="shared" si="34"/>
        <v>0</v>
      </c>
      <c r="EK35" s="183">
        <f t="shared" si="35"/>
        <v>0</v>
      </c>
      <c r="EL35" s="184" t="e">
        <f t="shared" si="36"/>
        <v>#DIV/0!</v>
      </c>
      <c r="EM35" s="185">
        <f t="shared" si="37"/>
        <v>0</v>
      </c>
      <c r="EN35" s="164"/>
      <c r="EO35" s="181">
        <f t="shared" si="38"/>
        <v>0</v>
      </c>
      <c r="EP35" s="183">
        <f t="shared" si="39"/>
        <v>0</v>
      </c>
      <c r="EQ35" s="184" t="e">
        <f t="shared" si="40"/>
        <v>#DIV/0!</v>
      </c>
      <c r="ER35" s="185">
        <f t="shared" si="41"/>
        <v>0</v>
      </c>
      <c r="ES35" s="164"/>
      <c r="ET35" s="164"/>
      <c r="EU35" s="186">
        <f t="shared" si="42"/>
        <v>0</v>
      </c>
      <c r="EV35" s="186">
        <f t="shared" si="43"/>
        <v>0</v>
      </c>
      <c r="EW35" s="186">
        <f t="shared" si="44"/>
        <v>0</v>
      </c>
      <c r="EX35" s="186">
        <f t="shared" si="45"/>
        <v>0</v>
      </c>
      <c r="EY35" s="131"/>
      <c r="EZ35" s="187">
        <f t="shared" si="46"/>
        <v>0</v>
      </c>
      <c r="FA35" s="188" t="e">
        <f t="shared" si="47"/>
        <v>#DIV/0!</v>
      </c>
      <c r="FB35" s="189"/>
      <c r="FC35" s="219"/>
      <c r="FD35" s="219"/>
      <c r="FE35" s="219"/>
      <c r="FF35" s="219"/>
      <c r="FG35" s="219"/>
    </row>
    <row r="36" spans="2:163" ht="16" outlineLevel="1" thickBot="1" x14ac:dyDescent="0.4">
      <c r="B36" s="357"/>
      <c r="C36" s="354"/>
      <c r="D36" s="190"/>
      <c r="E36" s="191"/>
      <c r="F36" s="135"/>
      <c r="G36" s="192"/>
      <c r="H36" s="137"/>
      <c r="I36" s="138">
        <f t="shared" si="0"/>
        <v>0</v>
      </c>
      <c r="J36" s="139"/>
      <c r="K36" s="193">
        <f t="shared" si="49"/>
        <v>0</v>
      </c>
      <c r="L36" s="141"/>
      <c r="M36" s="194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4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6"/>
      <c r="AN36" s="197">
        <f t="shared" si="2"/>
        <v>0</v>
      </c>
      <c r="AO36" s="146"/>
      <c r="AP36" s="147">
        <f t="shared" si="3"/>
        <v>0</v>
      </c>
      <c r="AQ36" s="148"/>
      <c r="AR36" s="198"/>
      <c r="AS36" s="198"/>
      <c r="AT36" s="135"/>
      <c r="AU36" s="199"/>
      <c r="AV36" s="200"/>
      <c r="AW36" s="200"/>
      <c r="AX36" s="200"/>
      <c r="AY36" s="200"/>
      <c r="AZ36" s="200"/>
      <c r="BA36" s="200"/>
      <c r="BB36" s="200"/>
      <c r="BC36" s="200"/>
      <c r="BD36" s="200"/>
      <c r="BE36" s="200"/>
      <c r="BF36" s="201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1"/>
      <c r="BR36" s="199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2"/>
      <c r="CD36" s="199"/>
      <c r="CE36" s="194"/>
      <c r="CF36" s="195"/>
      <c r="CG36" s="195"/>
      <c r="CH36" s="195"/>
      <c r="CI36" s="195"/>
      <c r="CJ36" s="195"/>
      <c r="CK36" s="195"/>
      <c r="CL36" s="195"/>
      <c r="CM36" s="195"/>
      <c r="CN36" s="195"/>
      <c r="CO36" s="347"/>
      <c r="CP36" s="200"/>
      <c r="CQ36" s="201"/>
      <c r="CR36" s="202"/>
      <c r="CS36" s="203">
        <f t="shared" si="48"/>
        <v>0</v>
      </c>
      <c r="CT36" s="146"/>
      <c r="CU36" s="147">
        <f t="shared" si="4"/>
        <v>0</v>
      </c>
      <c r="CV36" s="156"/>
      <c r="CW36" s="157" t="e">
        <f t="shared" si="5"/>
        <v>#DIV/0!</v>
      </c>
      <c r="CX36" s="157" t="e">
        <f t="shared" si="6"/>
        <v>#DIV/0!</v>
      </c>
      <c r="CY36" s="157" t="e">
        <f t="shared" si="7"/>
        <v>#DIV/0!</v>
      </c>
      <c r="CZ36" s="157" t="e">
        <f t="shared" si="8"/>
        <v>#DIV/0!</v>
      </c>
      <c r="DA36" s="157" t="e">
        <f t="shared" si="9"/>
        <v>#DIV/0!</v>
      </c>
      <c r="DB36" s="158" t="e">
        <f t="shared" si="10"/>
        <v>#DIV/0!</v>
      </c>
      <c r="DC36" s="131"/>
      <c r="DD36" s="159">
        <f t="shared" si="11"/>
        <v>0</v>
      </c>
      <c r="DE36" s="160">
        <f t="shared" si="12"/>
        <v>0</v>
      </c>
      <c r="DF36" s="161">
        <f t="shared" si="13"/>
        <v>0</v>
      </c>
      <c r="DG36" s="162" t="e">
        <f t="shared" si="14"/>
        <v>#DIV/0!</v>
      </c>
      <c r="DH36" s="163">
        <f t="shared" si="15"/>
        <v>0</v>
      </c>
      <c r="DI36" s="164"/>
      <c r="DJ36" s="165">
        <f t="shared" si="16"/>
        <v>0</v>
      </c>
      <c r="DK36" s="166">
        <v>0</v>
      </c>
      <c r="DL36" s="167" t="e">
        <f t="shared" si="17"/>
        <v>#DIV/0!</v>
      </c>
      <c r="DM36" s="168" t="e">
        <f t="shared" si="18"/>
        <v>#DIV/0!</v>
      </c>
      <c r="DN36" s="163" t="e">
        <f t="shared" si="19"/>
        <v>#DIV/0!</v>
      </c>
      <c r="DO36" s="169"/>
      <c r="DP36" s="170"/>
      <c r="DQ36" s="171"/>
      <c r="DR36" s="172">
        <f t="shared" si="20"/>
        <v>0</v>
      </c>
      <c r="DS36" s="173" t="e">
        <f t="shared" si="21"/>
        <v>#DIV/0!</v>
      </c>
      <c r="DT36" s="163" t="e">
        <f t="shared" si="22"/>
        <v>#DIV/0!</v>
      </c>
      <c r="DU36" s="174"/>
      <c r="DV36" s="175" t="e">
        <f t="shared" si="23"/>
        <v>#DIV/0!</v>
      </c>
      <c r="DW36" s="163">
        <f t="shared" si="24"/>
        <v>0</v>
      </c>
      <c r="DX36" s="164"/>
      <c r="DY36" s="176">
        <f t="shared" si="25"/>
        <v>0</v>
      </c>
      <c r="DZ36" s="177">
        <f t="shared" si="26"/>
        <v>0</v>
      </c>
      <c r="EA36" s="178">
        <f t="shared" si="27"/>
        <v>0</v>
      </c>
      <c r="EB36" s="179">
        <f t="shared" si="28"/>
        <v>0</v>
      </c>
      <c r="EC36" s="180"/>
      <c r="ED36" s="175" t="e">
        <f t="shared" si="29"/>
        <v>#DIV/0!</v>
      </c>
      <c r="EE36" s="163">
        <f t="shared" si="30"/>
        <v>0</v>
      </c>
      <c r="EF36" s="164"/>
      <c r="EG36" s="181">
        <f t="shared" si="31"/>
        <v>0</v>
      </c>
      <c r="EH36" s="182">
        <f t="shared" si="32"/>
        <v>0</v>
      </c>
      <c r="EI36" s="182">
        <f t="shared" si="33"/>
        <v>0</v>
      </c>
      <c r="EJ36" s="182">
        <f t="shared" si="34"/>
        <v>0</v>
      </c>
      <c r="EK36" s="183">
        <f t="shared" si="35"/>
        <v>0</v>
      </c>
      <c r="EL36" s="184" t="e">
        <f t="shared" si="36"/>
        <v>#DIV/0!</v>
      </c>
      <c r="EM36" s="185">
        <f t="shared" si="37"/>
        <v>0</v>
      </c>
      <c r="EN36" s="164"/>
      <c r="EO36" s="181">
        <f t="shared" si="38"/>
        <v>0</v>
      </c>
      <c r="EP36" s="183">
        <f t="shared" si="39"/>
        <v>0</v>
      </c>
      <c r="EQ36" s="184" t="e">
        <f t="shared" si="40"/>
        <v>#DIV/0!</v>
      </c>
      <c r="ER36" s="185">
        <f t="shared" si="41"/>
        <v>0</v>
      </c>
      <c r="ES36" s="164"/>
      <c r="ET36" s="164"/>
      <c r="EU36" s="186">
        <f t="shared" si="42"/>
        <v>0</v>
      </c>
      <c r="EV36" s="186">
        <f t="shared" si="43"/>
        <v>0</v>
      </c>
      <c r="EW36" s="186">
        <f t="shared" si="44"/>
        <v>0</v>
      </c>
      <c r="EX36" s="186">
        <f t="shared" si="45"/>
        <v>0</v>
      </c>
      <c r="EY36" s="131"/>
      <c r="EZ36" s="187">
        <f t="shared" si="46"/>
        <v>0</v>
      </c>
      <c r="FA36" s="188" t="e">
        <f t="shared" si="47"/>
        <v>#DIV/0!</v>
      </c>
      <c r="FB36" s="189"/>
      <c r="FC36" s="131"/>
      <c r="FD36" s="131"/>
      <c r="FE36" s="131"/>
      <c r="FF36" s="131"/>
      <c r="FG36" s="131"/>
    </row>
    <row r="37" spans="2:163" ht="16" outlineLevel="1" thickBot="1" x14ac:dyDescent="0.4">
      <c r="B37" s="358"/>
      <c r="C37" s="355"/>
      <c r="D37" s="190"/>
      <c r="E37" s="191"/>
      <c r="F37" s="135"/>
      <c r="G37" s="192"/>
      <c r="H37" s="137"/>
      <c r="I37" s="138">
        <f t="shared" si="0"/>
        <v>0</v>
      </c>
      <c r="J37" s="139"/>
      <c r="K37" s="193">
        <f t="shared" si="49"/>
        <v>0</v>
      </c>
      <c r="L37" s="141"/>
      <c r="M37" s="194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4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6"/>
      <c r="AN37" s="197">
        <f t="shared" si="2"/>
        <v>0</v>
      </c>
      <c r="AO37" s="146"/>
      <c r="AP37" s="147">
        <f t="shared" si="3"/>
        <v>0</v>
      </c>
      <c r="AQ37" s="148"/>
      <c r="AR37" s="198"/>
      <c r="AS37" s="198"/>
      <c r="AT37" s="135"/>
      <c r="AU37" s="199"/>
      <c r="AV37" s="200"/>
      <c r="AW37" s="200"/>
      <c r="AX37" s="200"/>
      <c r="AY37" s="200"/>
      <c r="AZ37" s="200"/>
      <c r="BA37" s="200"/>
      <c r="BB37" s="200"/>
      <c r="BC37" s="200"/>
      <c r="BD37" s="200"/>
      <c r="BE37" s="200"/>
      <c r="BF37" s="201"/>
      <c r="BG37" s="201"/>
      <c r="BH37" s="201"/>
      <c r="BI37" s="201"/>
      <c r="BJ37" s="201"/>
      <c r="BK37" s="201"/>
      <c r="BL37" s="201"/>
      <c r="BM37" s="201"/>
      <c r="BN37" s="201"/>
      <c r="BO37" s="201"/>
      <c r="BP37" s="201"/>
      <c r="BQ37" s="201"/>
      <c r="BR37" s="199"/>
      <c r="BS37" s="200"/>
      <c r="BT37" s="200"/>
      <c r="BU37" s="200"/>
      <c r="BV37" s="200"/>
      <c r="BW37" s="200"/>
      <c r="BX37" s="200"/>
      <c r="BY37" s="200"/>
      <c r="BZ37" s="200"/>
      <c r="CA37" s="200"/>
      <c r="CB37" s="200"/>
      <c r="CC37" s="202"/>
      <c r="CD37" s="199"/>
      <c r="CE37" s="194"/>
      <c r="CF37" s="195"/>
      <c r="CG37" s="195"/>
      <c r="CH37" s="195"/>
      <c r="CI37" s="195"/>
      <c r="CJ37" s="195"/>
      <c r="CK37" s="195"/>
      <c r="CL37" s="195"/>
      <c r="CM37" s="195"/>
      <c r="CN37" s="195"/>
      <c r="CO37" s="347"/>
      <c r="CP37" s="200"/>
      <c r="CQ37" s="201"/>
      <c r="CR37" s="202"/>
      <c r="CS37" s="203">
        <f t="shared" si="48"/>
        <v>0</v>
      </c>
      <c r="CT37" s="146"/>
      <c r="CU37" s="147">
        <f t="shared" si="4"/>
        <v>0</v>
      </c>
      <c r="CV37" s="156"/>
      <c r="CW37" s="157" t="e">
        <f t="shared" si="5"/>
        <v>#DIV/0!</v>
      </c>
      <c r="CX37" s="157" t="e">
        <f t="shared" si="6"/>
        <v>#DIV/0!</v>
      </c>
      <c r="CY37" s="157" t="e">
        <f t="shared" si="7"/>
        <v>#DIV/0!</v>
      </c>
      <c r="CZ37" s="157" t="e">
        <f t="shared" si="8"/>
        <v>#DIV/0!</v>
      </c>
      <c r="DA37" s="157" t="e">
        <f t="shared" si="9"/>
        <v>#DIV/0!</v>
      </c>
      <c r="DB37" s="158" t="e">
        <f t="shared" si="10"/>
        <v>#DIV/0!</v>
      </c>
      <c r="DC37" s="131"/>
      <c r="DD37" s="159">
        <f t="shared" si="11"/>
        <v>0</v>
      </c>
      <c r="DE37" s="160">
        <f t="shared" si="12"/>
        <v>0</v>
      </c>
      <c r="DF37" s="161">
        <f t="shared" si="13"/>
        <v>0</v>
      </c>
      <c r="DG37" s="162" t="e">
        <f t="shared" si="14"/>
        <v>#DIV/0!</v>
      </c>
      <c r="DH37" s="163">
        <f t="shared" si="15"/>
        <v>0</v>
      </c>
      <c r="DI37" s="164"/>
      <c r="DJ37" s="165">
        <f t="shared" si="16"/>
        <v>0</v>
      </c>
      <c r="DK37" s="166">
        <v>0</v>
      </c>
      <c r="DL37" s="167" t="e">
        <f t="shared" si="17"/>
        <v>#DIV/0!</v>
      </c>
      <c r="DM37" s="168" t="e">
        <f t="shared" si="18"/>
        <v>#DIV/0!</v>
      </c>
      <c r="DN37" s="163" t="e">
        <f t="shared" si="19"/>
        <v>#DIV/0!</v>
      </c>
      <c r="DO37" s="169"/>
      <c r="DP37" s="170"/>
      <c r="DQ37" s="171"/>
      <c r="DR37" s="172">
        <f t="shared" si="20"/>
        <v>0</v>
      </c>
      <c r="DS37" s="173" t="e">
        <f t="shared" si="21"/>
        <v>#DIV/0!</v>
      </c>
      <c r="DT37" s="163" t="e">
        <f t="shared" si="22"/>
        <v>#DIV/0!</v>
      </c>
      <c r="DU37" s="174"/>
      <c r="DV37" s="175" t="e">
        <f t="shared" si="23"/>
        <v>#DIV/0!</v>
      </c>
      <c r="DW37" s="163">
        <f t="shared" si="24"/>
        <v>0</v>
      </c>
      <c r="DX37" s="164"/>
      <c r="DY37" s="176">
        <f t="shared" si="25"/>
        <v>0</v>
      </c>
      <c r="DZ37" s="177">
        <f t="shared" si="26"/>
        <v>0</v>
      </c>
      <c r="EA37" s="178">
        <f t="shared" si="27"/>
        <v>0</v>
      </c>
      <c r="EB37" s="179">
        <f t="shared" si="28"/>
        <v>0</v>
      </c>
      <c r="EC37" s="180"/>
      <c r="ED37" s="175" t="e">
        <f t="shared" si="29"/>
        <v>#DIV/0!</v>
      </c>
      <c r="EE37" s="163">
        <f t="shared" si="30"/>
        <v>0</v>
      </c>
      <c r="EF37" s="164"/>
      <c r="EG37" s="181">
        <f t="shared" si="31"/>
        <v>0</v>
      </c>
      <c r="EH37" s="182">
        <f t="shared" si="32"/>
        <v>0</v>
      </c>
      <c r="EI37" s="182">
        <f t="shared" si="33"/>
        <v>0</v>
      </c>
      <c r="EJ37" s="182">
        <f t="shared" si="34"/>
        <v>0</v>
      </c>
      <c r="EK37" s="183">
        <f t="shared" si="35"/>
        <v>0</v>
      </c>
      <c r="EL37" s="184" t="e">
        <f t="shared" si="36"/>
        <v>#DIV/0!</v>
      </c>
      <c r="EM37" s="185">
        <f t="shared" si="37"/>
        <v>0</v>
      </c>
      <c r="EN37" s="164"/>
      <c r="EO37" s="181">
        <f t="shared" si="38"/>
        <v>0</v>
      </c>
      <c r="EP37" s="183">
        <f t="shared" si="39"/>
        <v>0</v>
      </c>
      <c r="EQ37" s="184" t="e">
        <f t="shared" si="40"/>
        <v>#DIV/0!</v>
      </c>
      <c r="ER37" s="185">
        <f t="shared" si="41"/>
        <v>0</v>
      </c>
      <c r="ES37" s="164"/>
      <c r="ET37" s="164"/>
      <c r="EU37" s="186">
        <f t="shared" si="42"/>
        <v>0</v>
      </c>
      <c r="EV37" s="186">
        <f t="shared" si="43"/>
        <v>0</v>
      </c>
      <c r="EW37" s="186">
        <f t="shared" si="44"/>
        <v>0</v>
      </c>
      <c r="EX37" s="186">
        <f t="shared" si="45"/>
        <v>0</v>
      </c>
      <c r="EY37" s="131"/>
      <c r="EZ37" s="187">
        <f t="shared" si="46"/>
        <v>0</v>
      </c>
      <c r="FA37" s="188" t="e">
        <f t="shared" si="47"/>
        <v>#DIV/0!</v>
      </c>
      <c r="FB37" s="189"/>
      <c r="FC37" s="131"/>
      <c r="FD37" s="131"/>
      <c r="FE37" s="131"/>
      <c r="FF37" s="131"/>
      <c r="FG37" s="131"/>
    </row>
    <row r="38" spans="2:163" s="220" customFormat="1" ht="16" outlineLevel="1" thickBot="1" x14ac:dyDescent="0.4">
      <c r="B38" s="356"/>
      <c r="C38" s="353"/>
      <c r="D38" s="133"/>
      <c r="E38" s="134"/>
      <c r="F38" s="135"/>
      <c r="G38" s="136"/>
      <c r="H38" s="137"/>
      <c r="I38" s="138">
        <f t="shared" si="0"/>
        <v>0</v>
      </c>
      <c r="J38" s="139"/>
      <c r="K38" s="140">
        <f t="shared" si="49"/>
        <v>0</v>
      </c>
      <c r="L38" s="141"/>
      <c r="M38" s="142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2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4"/>
      <c r="AN38" s="145">
        <f t="shared" si="2"/>
        <v>0</v>
      </c>
      <c r="AO38" s="146"/>
      <c r="AP38" s="147">
        <f t="shared" si="3"/>
        <v>0</v>
      </c>
      <c r="AQ38" s="221"/>
      <c r="AR38" s="149"/>
      <c r="AS38" s="149"/>
      <c r="AT38" s="222"/>
      <c r="AU38" s="223"/>
      <c r="AV38" s="224"/>
      <c r="AW38" s="224"/>
      <c r="AX38" s="224"/>
      <c r="AY38" s="224"/>
      <c r="AZ38" s="224"/>
      <c r="BA38" s="224"/>
      <c r="BB38" s="151"/>
      <c r="BC38" s="151"/>
      <c r="BD38" s="151"/>
      <c r="BE38" s="151"/>
      <c r="BF38" s="152"/>
      <c r="BG38" s="152"/>
      <c r="BH38" s="152"/>
      <c r="BI38" s="152"/>
      <c r="BJ38" s="225"/>
      <c r="BK38" s="225"/>
      <c r="BL38" s="225"/>
      <c r="BM38" s="152"/>
      <c r="BN38" s="152"/>
      <c r="BO38" s="225"/>
      <c r="BP38" s="225"/>
      <c r="BQ38" s="225"/>
      <c r="BR38" s="223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6"/>
      <c r="CD38" s="223"/>
      <c r="CE38" s="142"/>
      <c r="CF38" s="143"/>
      <c r="CG38" s="143"/>
      <c r="CH38" s="143"/>
      <c r="CI38" s="143"/>
      <c r="CJ38" s="143"/>
      <c r="CK38" s="143"/>
      <c r="CL38" s="143"/>
      <c r="CM38" s="143"/>
      <c r="CN38" s="143"/>
      <c r="CO38" s="349"/>
      <c r="CP38" s="224"/>
      <c r="CQ38" s="225"/>
      <c r="CR38" s="226"/>
      <c r="CS38" s="227">
        <f t="shared" si="48"/>
        <v>0</v>
      </c>
      <c r="CT38" s="146"/>
      <c r="CU38" s="147">
        <f t="shared" si="4"/>
        <v>0</v>
      </c>
      <c r="CV38" s="156"/>
      <c r="CW38" s="157" t="e">
        <f t="shared" si="5"/>
        <v>#DIV/0!</v>
      </c>
      <c r="CX38" s="157" t="e">
        <f t="shared" si="6"/>
        <v>#DIV/0!</v>
      </c>
      <c r="CY38" s="157" t="e">
        <f t="shared" si="7"/>
        <v>#DIV/0!</v>
      </c>
      <c r="CZ38" s="157" t="e">
        <f t="shared" si="8"/>
        <v>#DIV/0!</v>
      </c>
      <c r="DA38" s="157" t="e">
        <f t="shared" si="9"/>
        <v>#DIV/0!</v>
      </c>
      <c r="DB38" s="158" t="e">
        <f t="shared" si="10"/>
        <v>#DIV/0!</v>
      </c>
      <c r="DC38" s="131"/>
      <c r="DD38" s="159">
        <f t="shared" si="11"/>
        <v>0</v>
      </c>
      <c r="DE38" s="160">
        <f t="shared" si="12"/>
        <v>0</v>
      </c>
      <c r="DF38" s="161">
        <f t="shared" si="13"/>
        <v>0</v>
      </c>
      <c r="DG38" s="162" t="e">
        <f t="shared" si="14"/>
        <v>#DIV/0!</v>
      </c>
      <c r="DH38" s="163">
        <f t="shared" si="15"/>
        <v>0</v>
      </c>
      <c r="DI38" s="164"/>
      <c r="DJ38" s="165">
        <f t="shared" ref="DJ38:DK67" si="50">H38</f>
        <v>0</v>
      </c>
      <c r="DK38" s="166">
        <f t="shared" si="50"/>
        <v>0</v>
      </c>
      <c r="DL38" s="167" t="e">
        <f t="shared" si="17"/>
        <v>#DIV/0!</v>
      </c>
      <c r="DM38" s="168" t="e">
        <f t="shared" si="18"/>
        <v>#DIV/0!</v>
      </c>
      <c r="DN38" s="163" t="e">
        <f t="shared" si="19"/>
        <v>#DIV/0!</v>
      </c>
      <c r="DO38" s="169"/>
      <c r="DP38" s="170"/>
      <c r="DQ38" s="171"/>
      <c r="DR38" s="172">
        <f t="shared" si="20"/>
        <v>0</v>
      </c>
      <c r="DS38" s="173" t="e">
        <f t="shared" si="21"/>
        <v>#DIV/0!</v>
      </c>
      <c r="DT38" s="163" t="e">
        <f t="shared" si="22"/>
        <v>#DIV/0!</v>
      </c>
      <c r="DU38" s="174"/>
      <c r="DV38" s="175" t="e">
        <f t="shared" si="23"/>
        <v>#DIV/0!</v>
      </c>
      <c r="DW38" s="163">
        <f t="shared" si="24"/>
        <v>0</v>
      </c>
      <c r="DX38" s="164"/>
      <c r="DY38" s="176">
        <f t="shared" si="25"/>
        <v>0</v>
      </c>
      <c r="DZ38" s="177">
        <f t="shared" si="26"/>
        <v>0</v>
      </c>
      <c r="EA38" s="178">
        <f t="shared" si="27"/>
        <v>0</v>
      </c>
      <c r="EB38" s="179">
        <f t="shared" si="28"/>
        <v>0</v>
      </c>
      <c r="EC38" s="180"/>
      <c r="ED38" s="175" t="e">
        <f t="shared" si="29"/>
        <v>#DIV/0!</v>
      </c>
      <c r="EE38" s="163">
        <f t="shared" si="30"/>
        <v>0</v>
      </c>
      <c r="EF38" s="164"/>
      <c r="EG38" s="181">
        <f t="shared" si="31"/>
        <v>0</v>
      </c>
      <c r="EH38" s="182">
        <f t="shared" si="32"/>
        <v>0</v>
      </c>
      <c r="EI38" s="182">
        <f t="shared" si="33"/>
        <v>0</v>
      </c>
      <c r="EJ38" s="182">
        <f t="shared" si="34"/>
        <v>0</v>
      </c>
      <c r="EK38" s="183">
        <f t="shared" si="35"/>
        <v>0</v>
      </c>
      <c r="EL38" s="184" t="e">
        <f t="shared" si="36"/>
        <v>#DIV/0!</v>
      </c>
      <c r="EM38" s="185">
        <f t="shared" si="37"/>
        <v>0</v>
      </c>
      <c r="EN38" s="164"/>
      <c r="EO38" s="181">
        <f t="shared" si="38"/>
        <v>0</v>
      </c>
      <c r="EP38" s="183">
        <f t="shared" si="39"/>
        <v>0</v>
      </c>
      <c r="EQ38" s="184" t="e">
        <f t="shared" si="40"/>
        <v>#DIV/0!</v>
      </c>
      <c r="ER38" s="185">
        <f t="shared" si="41"/>
        <v>0</v>
      </c>
      <c r="ES38" s="164"/>
      <c r="ET38" s="164"/>
      <c r="EU38" s="186">
        <f t="shared" si="42"/>
        <v>0</v>
      </c>
      <c r="EV38" s="186">
        <f t="shared" si="43"/>
        <v>0</v>
      </c>
      <c r="EW38" s="186">
        <f t="shared" si="44"/>
        <v>0</v>
      </c>
      <c r="EX38" s="186">
        <f t="shared" si="45"/>
        <v>0</v>
      </c>
      <c r="EY38" s="131"/>
      <c r="EZ38" s="187">
        <f t="shared" si="46"/>
        <v>0</v>
      </c>
      <c r="FA38" s="188" t="e">
        <f t="shared" si="47"/>
        <v>#DIV/0!</v>
      </c>
      <c r="FB38" s="189"/>
      <c r="FC38" s="219"/>
      <c r="FD38" s="219"/>
      <c r="FE38" s="219"/>
      <c r="FF38" s="219"/>
      <c r="FG38" s="219"/>
    </row>
    <row r="39" spans="2:163" ht="16" outlineLevel="1" thickBot="1" x14ac:dyDescent="0.4">
      <c r="B39" s="357"/>
      <c r="C39" s="354"/>
      <c r="D39" s="190"/>
      <c r="E39" s="191"/>
      <c r="F39" s="135"/>
      <c r="G39" s="192"/>
      <c r="H39" s="137"/>
      <c r="I39" s="138">
        <f t="shared" si="0"/>
        <v>0</v>
      </c>
      <c r="J39" s="139"/>
      <c r="K39" s="193">
        <f t="shared" si="49"/>
        <v>0</v>
      </c>
      <c r="L39" s="141"/>
      <c r="M39" s="194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4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6"/>
      <c r="AN39" s="197">
        <f t="shared" si="2"/>
        <v>0</v>
      </c>
      <c r="AO39" s="146"/>
      <c r="AP39" s="147">
        <f t="shared" si="3"/>
        <v>0</v>
      </c>
      <c r="AQ39" s="148"/>
      <c r="AR39" s="198"/>
      <c r="AS39" s="198"/>
      <c r="AT39" s="135"/>
      <c r="AU39" s="199"/>
      <c r="AV39" s="200"/>
      <c r="AW39" s="200"/>
      <c r="AX39" s="200"/>
      <c r="AY39" s="200"/>
      <c r="AZ39" s="200"/>
      <c r="BA39" s="200"/>
      <c r="BB39" s="200"/>
      <c r="BC39" s="200"/>
      <c r="BD39" s="200"/>
      <c r="BE39" s="200"/>
      <c r="BF39" s="201"/>
      <c r="BG39" s="201"/>
      <c r="BH39" s="201"/>
      <c r="BI39" s="201"/>
      <c r="BJ39" s="201"/>
      <c r="BK39" s="201"/>
      <c r="BL39" s="201"/>
      <c r="BM39" s="201"/>
      <c r="BN39" s="201"/>
      <c r="BO39" s="201"/>
      <c r="BP39" s="201"/>
      <c r="BQ39" s="201"/>
      <c r="BR39" s="199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2"/>
      <c r="CD39" s="199"/>
      <c r="CE39" s="194"/>
      <c r="CF39" s="195"/>
      <c r="CG39" s="195"/>
      <c r="CH39" s="195"/>
      <c r="CI39" s="195"/>
      <c r="CJ39" s="195"/>
      <c r="CK39" s="195"/>
      <c r="CL39" s="195"/>
      <c r="CM39" s="195"/>
      <c r="CN39" s="195"/>
      <c r="CO39" s="347"/>
      <c r="CP39" s="200"/>
      <c r="CQ39" s="201"/>
      <c r="CR39" s="202"/>
      <c r="CS39" s="203">
        <f t="shared" si="48"/>
        <v>0</v>
      </c>
      <c r="CT39" s="146"/>
      <c r="CU39" s="147">
        <f t="shared" si="4"/>
        <v>0</v>
      </c>
      <c r="CV39" s="156"/>
      <c r="CW39" s="157" t="e">
        <f t="shared" si="5"/>
        <v>#DIV/0!</v>
      </c>
      <c r="CX39" s="157" t="e">
        <f t="shared" si="6"/>
        <v>#DIV/0!</v>
      </c>
      <c r="CY39" s="157" t="e">
        <f t="shared" si="7"/>
        <v>#DIV/0!</v>
      </c>
      <c r="CZ39" s="157" t="e">
        <f t="shared" si="8"/>
        <v>#DIV/0!</v>
      </c>
      <c r="DA39" s="157" t="e">
        <f t="shared" si="9"/>
        <v>#DIV/0!</v>
      </c>
      <c r="DB39" s="158" t="e">
        <f t="shared" si="10"/>
        <v>#DIV/0!</v>
      </c>
      <c r="DC39" s="131"/>
      <c r="DD39" s="159">
        <f t="shared" si="11"/>
        <v>0</v>
      </c>
      <c r="DE39" s="160">
        <f t="shared" si="12"/>
        <v>0</v>
      </c>
      <c r="DF39" s="161">
        <f t="shared" si="13"/>
        <v>0</v>
      </c>
      <c r="DG39" s="162" t="e">
        <f t="shared" si="14"/>
        <v>#DIV/0!</v>
      </c>
      <c r="DH39" s="163">
        <f t="shared" si="15"/>
        <v>0</v>
      </c>
      <c r="DI39" s="164"/>
      <c r="DJ39" s="165">
        <f t="shared" si="50"/>
        <v>0</v>
      </c>
      <c r="DK39" s="166">
        <v>0</v>
      </c>
      <c r="DL39" s="167" t="e">
        <f t="shared" si="17"/>
        <v>#DIV/0!</v>
      </c>
      <c r="DM39" s="168" t="e">
        <f t="shared" si="18"/>
        <v>#DIV/0!</v>
      </c>
      <c r="DN39" s="163" t="e">
        <f t="shared" si="19"/>
        <v>#DIV/0!</v>
      </c>
      <c r="DO39" s="169"/>
      <c r="DP39" s="170"/>
      <c r="DQ39" s="171"/>
      <c r="DR39" s="172">
        <f t="shared" si="20"/>
        <v>0</v>
      </c>
      <c r="DS39" s="173" t="e">
        <f t="shared" si="21"/>
        <v>#DIV/0!</v>
      </c>
      <c r="DT39" s="163" t="e">
        <f t="shared" si="22"/>
        <v>#DIV/0!</v>
      </c>
      <c r="DU39" s="174"/>
      <c r="DV39" s="175" t="e">
        <f t="shared" si="23"/>
        <v>#DIV/0!</v>
      </c>
      <c r="DW39" s="163">
        <f t="shared" si="24"/>
        <v>0</v>
      </c>
      <c r="DX39" s="164"/>
      <c r="DY39" s="176">
        <f t="shared" si="25"/>
        <v>0</v>
      </c>
      <c r="DZ39" s="177">
        <f t="shared" si="26"/>
        <v>0</v>
      </c>
      <c r="EA39" s="178">
        <f t="shared" si="27"/>
        <v>0</v>
      </c>
      <c r="EB39" s="179">
        <f t="shared" si="28"/>
        <v>0</v>
      </c>
      <c r="EC39" s="180"/>
      <c r="ED39" s="175" t="e">
        <f t="shared" si="29"/>
        <v>#DIV/0!</v>
      </c>
      <c r="EE39" s="163">
        <f t="shared" si="30"/>
        <v>0</v>
      </c>
      <c r="EF39" s="164"/>
      <c r="EG39" s="181">
        <f t="shared" si="31"/>
        <v>0</v>
      </c>
      <c r="EH39" s="182">
        <f t="shared" si="32"/>
        <v>0</v>
      </c>
      <c r="EI39" s="182">
        <f t="shared" si="33"/>
        <v>0</v>
      </c>
      <c r="EJ39" s="182">
        <f t="shared" si="34"/>
        <v>0</v>
      </c>
      <c r="EK39" s="183">
        <f t="shared" si="35"/>
        <v>0</v>
      </c>
      <c r="EL39" s="184" t="e">
        <f t="shared" si="36"/>
        <v>#DIV/0!</v>
      </c>
      <c r="EM39" s="185">
        <f t="shared" si="37"/>
        <v>0</v>
      </c>
      <c r="EN39" s="164"/>
      <c r="EO39" s="181">
        <f t="shared" si="38"/>
        <v>0</v>
      </c>
      <c r="EP39" s="183">
        <f t="shared" si="39"/>
        <v>0</v>
      </c>
      <c r="EQ39" s="184" t="e">
        <f t="shared" si="40"/>
        <v>#DIV/0!</v>
      </c>
      <c r="ER39" s="185">
        <f t="shared" si="41"/>
        <v>0</v>
      </c>
      <c r="ES39" s="164"/>
      <c r="ET39" s="164"/>
      <c r="EU39" s="186">
        <f t="shared" si="42"/>
        <v>0</v>
      </c>
      <c r="EV39" s="186">
        <f t="shared" si="43"/>
        <v>0</v>
      </c>
      <c r="EW39" s="186">
        <f t="shared" si="44"/>
        <v>0</v>
      </c>
      <c r="EX39" s="186">
        <f t="shared" si="45"/>
        <v>0</v>
      </c>
      <c r="EY39" s="131"/>
      <c r="EZ39" s="187">
        <f t="shared" si="46"/>
        <v>0</v>
      </c>
      <c r="FA39" s="188" t="e">
        <f t="shared" si="47"/>
        <v>#DIV/0!</v>
      </c>
      <c r="FB39" s="189"/>
      <c r="FC39" s="131"/>
      <c r="FD39" s="131"/>
      <c r="FE39" s="131"/>
      <c r="FF39" s="131"/>
      <c r="FG39" s="131"/>
    </row>
    <row r="40" spans="2:163" ht="16" outlineLevel="1" thickBot="1" x14ac:dyDescent="0.4">
      <c r="B40" s="358"/>
      <c r="C40" s="355"/>
      <c r="D40" s="190"/>
      <c r="E40" s="191"/>
      <c r="F40" s="135"/>
      <c r="G40" s="192"/>
      <c r="H40" s="137"/>
      <c r="I40" s="138">
        <f t="shared" si="0"/>
        <v>0</v>
      </c>
      <c r="J40" s="139"/>
      <c r="K40" s="193">
        <f t="shared" si="49"/>
        <v>0</v>
      </c>
      <c r="L40" s="141"/>
      <c r="M40" s="194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4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6"/>
      <c r="AN40" s="197">
        <f t="shared" si="2"/>
        <v>0</v>
      </c>
      <c r="AO40" s="146"/>
      <c r="AP40" s="147">
        <f t="shared" si="3"/>
        <v>0</v>
      </c>
      <c r="AQ40" s="148"/>
      <c r="AR40" s="198"/>
      <c r="AS40" s="198"/>
      <c r="AT40" s="135"/>
      <c r="AU40" s="199"/>
      <c r="AV40" s="200"/>
      <c r="AW40" s="200"/>
      <c r="AX40" s="200"/>
      <c r="AY40" s="200"/>
      <c r="AZ40" s="200"/>
      <c r="BA40" s="200"/>
      <c r="BB40" s="200"/>
      <c r="BC40" s="200"/>
      <c r="BD40" s="200"/>
      <c r="BE40" s="200"/>
      <c r="BF40" s="201"/>
      <c r="BG40" s="201"/>
      <c r="BH40" s="201"/>
      <c r="BI40" s="201"/>
      <c r="BJ40" s="201"/>
      <c r="BK40" s="201"/>
      <c r="BL40" s="201"/>
      <c r="BM40" s="201"/>
      <c r="BN40" s="201"/>
      <c r="BO40" s="201"/>
      <c r="BP40" s="201"/>
      <c r="BQ40" s="201"/>
      <c r="BR40" s="199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2"/>
      <c r="CD40" s="199"/>
      <c r="CE40" s="194"/>
      <c r="CF40" s="195"/>
      <c r="CG40" s="195"/>
      <c r="CH40" s="195"/>
      <c r="CI40" s="195"/>
      <c r="CJ40" s="195"/>
      <c r="CK40" s="195"/>
      <c r="CL40" s="195"/>
      <c r="CM40" s="195"/>
      <c r="CN40" s="195"/>
      <c r="CO40" s="347"/>
      <c r="CP40" s="200"/>
      <c r="CQ40" s="201"/>
      <c r="CR40" s="202"/>
      <c r="CS40" s="203">
        <f t="shared" si="48"/>
        <v>0</v>
      </c>
      <c r="CT40" s="146"/>
      <c r="CU40" s="147">
        <f t="shared" si="4"/>
        <v>0</v>
      </c>
      <c r="CV40" s="156"/>
      <c r="CW40" s="157" t="e">
        <f t="shared" si="5"/>
        <v>#DIV/0!</v>
      </c>
      <c r="CX40" s="157" t="e">
        <f t="shared" si="6"/>
        <v>#DIV/0!</v>
      </c>
      <c r="CY40" s="157" t="e">
        <f t="shared" si="7"/>
        <v>#DIV/0!</v>
      </c>
      <c r="CZ40" s="157" t="e">
        <f t="shared" si="8"/>
        <v>#DIV/0!</v>
      </c>
      <c r="DA40" s="157" t="e">
        <f t="shared" si="9"/>
        <v>#DIV/0!</v>
      </c>
      <c r="DB40" s="158" t="e">
        <f t="shared" si="10"/>
        <v>#DIV/0!</v>
      </c>
      <c r="DC40" s="131"/>
      <c r="DD40" s="159">
        <f t="shared" si="11"/>
        <v>0</v>
      </c>
      <c r="DE40" s="160">
        <f t="shared" si="12"/>
        <v>0</v>
      </c>
      <c r="DF40" s="161">
        <f t="shared" si="13"/>
        <v>0</v>
      </c>
      <c r="DG40" s="162" t="e">
        <f t="shared" si="14"/>
        <v>#DIV/0!</v>
      </c>
      <c r="DH40" s="163">
        <f t="shared" si="15"/>
        <v>0</v>
      </c>
      <c r="DI40" s="164"/>
      <c r="DJ40" s="165">
        <f t="shared" si="50"/>
        <v>0</v>
      </c>
      <c r="DK40" s="166">
        <v>0</v>
      </c>
      <c r="DL40" s="167" t="e">
        <f t="shared" si="17"/>
        <v>#DIV/0!</v>
      </c>
      <c r="DM40" s="168" t="e">
        <f t="shared" si="18"/>
        <v>#DIV/0!</v>
      </c>
      <c r="DN40" s="163" t="e">
        <f t="shared" si="19"/>
        <v>#DIV/0!</v>
      </c>
      <c r="DO40" s="169"/>
      <c r="DP40" s="170"/>
      <c r="DQ40" s="171"/>
      <c r="DR40" s="172">
        <f t="shared" si="20"/>
        <v>0</v>
      </c>
      <c r="DS40" s="173" t="e">
        <f t="shared" si="21"/>
        <v>#DIV/0!</v>
      </c>
      <c r="DT40" s="163" t="e">
        <f t="shared" si="22"/>
        <v>#DIV/0!</v>
      </c>
      <c r="DU40" s="174"/>
      <c r="DV40" s="175" t="e">
        <f t="shared" si="23"/>
        <v>#DIV/0!</v>
      </c>
      <c r="DW40" s="163">
        <f t="shared" si="24"/>
        <v>0</v>
      </c>
      <c r="DX40" s="164"/>
      <c r="DY40" s="176">
        <f t="shared" si="25"/>
        <v>0</v>
      </c>
      <c r="DZ40" s="177">
        <f t="shared" si="26"/>
        <v>0</v>
      </c>
      <c r="EA40" s="178">
        <f t="shared" si="27"/>
        <v>0</v>
      </c>
      <c r="EB40" s="179">
        <f t="shared" si="28"/>
        <v>0</v>
      </c>
      <c r="EC40" s="180"/>
      <c r="ED40" s="175" t="e">
        <f t="shared" si="29"/>
        <v>#DIV/0!</v>
      </c>
      <c r="EE40" s="163">
        <f t="shared" si="30"/>
        <v>0</v>
      </c>
      <c r="EF40" s="164"/>
      <c r="EG40" s="181">
        <f t="shared" si="31"/>
        <v>0</v>
      </c>
      <c r="EH40" s="182">
        <f t="shared" si="32"/>
        <v>0</v>
      </c>
      <c r="EI40" s="182">
        <f t="shared" si="33"/>
        <v>0</v>
      </c>
      <c r="EJ40" s="182">
        <f t="shared" si="34"/>
        <v>0</v>
      </c>
      <c r="EK40" s="183">
        <f t="shared" si="35"/>
        <v>0</v>
      </c>
      <c r="EL40" s="184" t="e">
        <f t="shared" si="36"/>
        <v>#DIV/0!</v>
      </c>
      <c r="EM40" s="185">
        <f t="shared" si="37"/>
        <v>0</v>
      </c>
      <c r="EN40" s="164"/>
      <c r="EO40" s="181">
        <f t="shared" si="38"/>
        <v>0</v>
      </c>
      <c r="EP40" s="183">
        <f t="shared" si="39"/>
        <v>0</v>
      </c>
      <c r="EQ40" s="184" t="e">
        <f t="shared" si="40"/>
        <v>#DIV/0!</v>
      </c>
      <c r="ER40" s="185">
        <f t="shared" si="41"/>
        <v>0</v>
      </c>
      <c r="ES40" s="164"/>
      <c r="ET40" s="164"/>
      <c r="EU40" s="186">
        <f t="shared" si="42"/>
        <v>0</v>
      </c>
      <c r="EV40" s="186">
        <f t="shared" si="43"/>
        <v>0</v>
      </c>
      <c r="EW40" s="186">
        <f t="shared" si="44"/>
        <v>0</v>
      </c>
      <c r="EX40" s="186">
        <f t="shared" si="45"/>
        <v>0</v>
      </c>
      <c r="EY40" s="131"/>
      <c r="EZ40" s="187">
        <f t="shared" si="46"/>
        <v>0</v>
      </c>
      <c r="FA40" s="188" t="e">
        <f t="shared" si="47"/>
        <v>#DIV/0!</v>
      </c>
      <c r="FB40" s="189"/>
      <c r="FC40" s="131"/>
      <c r="FD40" s="131"/>
      <c r="FE40" s="131"/>
      <c r="FF40" s="131"/>
      <c r="FG40" s="131"/>
    </row>
    <row r="41" spans="2:163" ht="16" outlineLevel="1" thickBot="1" x14ac:dyDescent="0.4">
      <c r="B41" s="356"/>
      <c r="C41" s="353"/>
      <c r="D41" s="133"/>
      <c r="E41" s="134"/>
      <c r="F41" s="135"/>
      <c r="G41" s="136"/>
      <c r="H41" s="137"/>
      <c r="I41" s="138">
        <f t="shared" si="0"/>
        <v>0</v>
      </c>
      <c r="J41" s="139"/>
      <c r="K41" s="140">
        <f t="shared" si="49"/>
        <v>0</v>
      </c>
      <c r="L41" s="141"/>
      <c r="M41" s="142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2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4"/>
      <c r="AN41" s="145">
        <f t="shared" si="2"/>
        <v>0</v>
      </c>
      <c r="AO41" s="146"/>
      <c r="AP41" s="147">
        <f t="shared" si="3"/>
        <v>0</v>
      </c>
      <c r="AQ41" s="148"/>
      <c r="AR41" s="149"/>
      <c r="AS41" s="149"/>
      <c r="AT41" s="135"/>
      <c r="AU41" s="150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0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4"/>
      <c r="CD41" s="150"/>
      <c r="CE41" s="142"/>
      <c r="CF41" s="143"/>
      <c r="CG41" s="143"/>
      <c r="CH41" s="143"/>
      <c r="CI41" s="143"/>
      <c r="CJ41" s="143"/>
      <c r="CK41" s="143"/>
      <c r="CL41" s="143"/>
      <c r="CM41" s="143"/>
      <c r="CN41" s="143"/>
      <c r="CO41" s="346"/>
      <c r="CP41" s="151"/>
      <c r="CQ41" s="152"/>
      <c r="CR41" s="154"/>
      <c r="CS41" s="155">
        <f t="shared" si="48"/>
        <v>0</v>
      </c>
      <c r="CT41" s="146"/>
      <c r="CU41" s="147">
        <f t="shared" si="4"/>
        <v>0</v>
      </c>
      <c r="CV41" s="156"/>
      <c r="CW41" s="157" t="e">
        <f t="shared" si="5"/>
        <v>#DIV/0!</v>
      </c>
      <c r="CX41" s="157" t="e">
        <f t="shared" si="6"/>
        <v>#DIV/0!</v>
      </c>
      <c r="CY41" s="157" t="e">
        <f t="shared" si="7"/>
        <v>#DIV/0!</v>
      </c>
      <c r="CZ41" s="157" t="e">
        <f t="shared" si="8"/>
        <v>#DIV/0!</v>
      </c>
      <c r="DA41" s="157" t="e">
        <f t="shared" si="9"/>
        <v>#DIV/0!</v>
      </c>
      <c r="DB41" s="158" t="e">
        <f t="shared" si="10"/>
        <v>#DIV/0!</v>
      </c>
      <c r="DC41" s="131"/>
      <c r="DD41" s="159">
        <f t="shared" si="11"/>
        <v>0</v>
      </c>
      <c r="DE41" s="160">
        <f t="shared" si="12"/>
        <v>0</v>
      </c>
      <c r="DF41" s="161">
        <f t="shared" si="13"/>
        <v>0</v>
      </c>
      <c r="DG41" s="162" t="e">
        <f t="shared" si="14"/>
        <v>#DIV/0!</v>
      </c>
      <c r="DH41" s="163">
        <f t="shared" si="15"/>
        <v>0</v>
      </c>
      <c r="DI41" s="164"/>
      <c r="DJ41" s="165">
        <f t="shared" si="50"/>
        <v>0</v>
      </c>
      <c r="DK41" s="166">
        <f t="shared" si="50"/>
        <v>0</v>
      </c>
      <c r="DL41" s="167" t="e">
        <f t="shared" si="17"/>
        <v>#DIV/0!</v>
      </c>
      <c r="DM41" s="168" t="e">
        <f t="shared" si="18"/>
        <v>#DIV/0!</v>
      </c>
      <c r="DN41" s="163" t="e">
        <f t="shared" si="19"/>
        <v>#DIV/0!</v>
      </c>
      <c r="DO41" s="169"/>
      <c r="DP41" s="170"/>
      <c r="DQ41" s="171"/>
      <c r="DR41" s="172">
        <f t="shared" si="20"/>
        <v>0</v>
      </c>
      <c r="DS41" s="173" t="e">
        <f t="shared" si="21"/>
        <v>#DIV/0!</v>
      </c>
      <c r="DT41" s="163" t="e">
        <f t="shared" si="22"/>
        <v>#DIV/0!</v>
      </c>
      <c r="DU41" s="174"/>
      <c r="DV41" s="175" t="e">
        <f t="shared" si="23"/>
        <v>#DIV/0!</v>
      </c>
      <c r="DW41" s="163">
        <f t="shared" si="24"/>
        <v>0</v>
      </c>
      <c r="DX41" s="164"/>
      <c r="DY41" s="176">
        <f t="shared" si="25"/>
        <v>0</v>
      </c>
      <c r="DZ41" s="177">
        <f t="shared" si="26"/>
        <v>0</v>
      </c>
      <c r="EA41" s="178">
        <f t="shared" si="27"/>
        <v>0</v>
      </c>
      <c r="EB41" s="179">
        <f t="shared" si="28"/>
        <v>0</v>
      </c>
      <c r="EC41" s="180"/>
      <c r="ED41" s="175" t="e">
        <f t="shared" si="29"/>
        <v>#DIV/0!</v>
      </c>
      <c r="EE41" s="163">
        <f t="shared" si="30"/>
        <v>0</v>
      </c>
      <c r="EF41" s="164"/>
      <c r="EG41" s="181">
        <f t="shared" si="31"/>
        <v>0</v>
      </c>
      <c r="EH41" s="182">
        <f t="shared" si="32"/>
        <v>0</v>
      </c>
      <c r="EI41" s="182">
        <f t="shared" si="33"/>
        <v>0</v>
      </c>
      <c r="EJ41" s="182">
        <f t="shared" si="34"/>
        <v>0</v>
      </c>
      <c r="EK41" s="183">
        <f t="shared" si="35"/>
        <v>0</v>
      </c>
      <c r="EL41" s="184" t="e">
        <f t="shared" si="36"/>
        <v>#DIV/0!</v>
      </c>
      <c r="EM41" s="185">
        <f t="shared" si="37"/>
        <v>0</v>
      </c>
      <c r="EN41" s="164"/>
      <c r="EO41" s="181">
        <f t="shared" si="38"/>
        <v>0</v>
      </c>
      <c r="EP41" s="183">
        <f t="shared" si="39"/>
        <v>0</v>
      </c>
      <c r="EQ41" s="184" t="e">
        <f t="shared" si="40"/>
        <v>#DIV/0!</v>
      </c>
      <c r="ER41" s="185">
        <f t="shared" si="41"/>
        <v>0</v>
      </c>
      <c r="ES41" s="164"/>
      <c r="ET41" s="164"/>
      <c r="EU41" s="186">
        <f t="shared" si="42"/>
        <v>0</v>
      </c>
      <c r="EV41" s="186">
        <f t="shared" si="43"/>
        <v>0</v>
      </c>
      <c r="EW41" s="186">
        <f t="shared" si="44"/>
        <v>0</v>
      </c>
      <c r="EX41" s="186">
        <f t="shared" si="45"/>
        <v>0</v>
      </c>
      <c r="EY41" s="131"/>
      <c r="EZ41" s="187">
        <f t="shared" si="46"/>
        <v>0</v>
      </c>
      <c r="FA41" s="188" t="e">
        <f t="shared" si="47"/>
        <v>#DIV/0!</v>
      </c>
      <c r="FB41" s="189"/>
      <c r="FC41" s="131"/>
      <c r="FD41" s="131"/>
      <c r="FE41" s="131"/>
      <c r="FF41" s="131"/>
      <c r="FG41" s="131"/>
    </row>
    <row r="42" spans="2:163" ht="16" outlineLevel="1" thickBot="1" x14ac:dyDescent="0.4">
      <c r="B42" s="357"/>
      <c r="C42" s="354"/>
      <c r="D42" s="190"/>
      <c r="E42" s="191"/>
      <c r="F42" s="135"/>
      <c r="G42" s="192"/>
      <c r="H42" s="137"/>
      <c r="I42" s="138">
        <f t="shared" si="0"/>
        <v>0</v>
      </c>
      <c r="J42" s="139"/>
      <c r="K42" s="193">
        <f t="shared" si="49"/>
        <v>0</v>
      </c>
      <c r="L42" s="141"/>
      <c r="M42" s="194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4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6"/>
      <c r="AN42" s="197">
        <f t="shared" si="2"/>
        <v>0</v>
      </c>
      <c r="AO42" s="146"/>
      <c r="AP42" s="147">
        <f t="shared" si="3"/>
        <v>0</v>
      </c>
      <c r="AQ42" s="148"/>
      <c r="AR42" s="198"/>
      <c r="AS42" s="198"/>
      <c r="AT42" s="135"/>
      <c r="AU42" s="199"/>
      <c r="AV42" s="200"/>
      <c r="AW42" s="200"/>
      <c r="AX42" s="200"/>
      <c r="AY42" s="200"/>
      <c r="AZ42" s="200"/>
      <c r="BA42" s="200"/>
      <c r="BB42" s="200"/>
      <c r="BC42" s="200"/>
      <c r="BD42" s="200"/>
      <c r="BE42" s="200"/>
      <c r="BF42" s="201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199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2"/>
      <c r="CD42" s="199"/>
      <c r="CE42" s="194"/>
      <c r="CF42" s="195"/>
      <c r="CG42" s="195"/>
      <c r="CH42" s="195"/>
      <c r="CI42" s="195"/>
      <c r="CJ42" s="195"/>
      <c r="CK42" s="195"/>
      <c r="CL42" s="195"/>
      <c r="CM42" s="195"/>
      <c r="CN42" s="195"/>
      <c r="CO42" s="347"/>
      <c r="CP42" s="200"/>
      <c r="CQ42" s="201"/>
      <c r="CR42" s="202"/>
      <c r="CS42" s="203">
        <f t="shared" si="48"/>
        <v>0</v>
      </c>
      <c r="CT42" s="146"/>
      <c r="CU42" s="147">
        <f t="shared" si="4"/>
        <v>0</v>
      </c>
      <c r="CV42" s="156"/>
      <c r="CW42" s="157" t="e">
        <f t="shared" si="5"/>
        <v>#DIV/0!</v>
      </c>
      <c r="CX42" s="157" t="e">
        <f t="shared" si="6"/>
        <v>#DIV/0!</v>
      </c>
      <c r="CY42" s="157" t="e">
        <f t="shared" si="7"/>
        <v>#DIV/0!</v>
      </c>
      <c r="CZ42" s="157" t="e">
        <f t="shared" si="8"/>
        <v>#DIV/0!</v>
      </c>
      <c r="DA42" s="157" t="e">
        <f t="shared" si="9"/>
        <v>#DIV/0!</v>
      </c>
      <c r="DB42" s="158" t="e">
        <f t="shared" si="10"/>
        <v>#DIV/0!</v>
      </c>
      <c r="DC42" s="131"/>
      <c r="DD42" s="159">
        <f t="shared" si="11"/>
        <v>0</v>
      </c>
      <c r="DE42" s="160">
        <f t="shared" si="12"/>
        <v>0</v>
      </c>
      <c r="DF42" s="161">
        <f t="shared" si="13"/>
        <v>0</v>
      </c>
      <c r="DG42" s="162" t="e">
        <f t="shared" si="14"/>
        <v>#DIV/0!</v>
      </c>
      <c r="DH42" s="163">
        <f t="shared" si="15"/>
        <v>0</v>
      </c>
      <c r="DI42" s="164"/>
      <c r="DJ42" s="165">
        <f t="shared" si="50"/>
        <v>0</v>
      </c>
      <c r="DK42" s="166">
        <f t="shared" si="50"/>
        <v>0</v>
      </c>
      <c r="DL42" s="167" t="e">
        <f t="shared" si="17"/>
        <v>#DIV/0!</v>
      </c>
      <c r="DM42" s="168" t="e">
        <f t="shared" si="18"/>
        <v>#DIV/0!</v>
      </c>
      <c r="DN42" s="163" t="e">
        <f t="shared" si="19"/>
        <v>#DIV/0!</v>
      </c>
      <c r="DO42" s="169"/>
      <c r="DP42" s="170"/>
      <c r="DQ42" s="171"/>
      <c r="DR42" s="172">
        <f t="shared" si="20"/>
        <v>0</v>
      </c>
      <c r="DS42" s="173" t="e">
        <f t="shared" si="21"/>
        <v>#DIV/0!</v>
      </c>
      <c r="DT42" s="163" t="e">
        <f t="shared" si="22"/>
        <v>#DIV/0!</v>
      </c>
      <c r="DU42" s="174"/>
      <c r="DV42" s="175" t="e">
        <f t="shared" si="23"/>
        <v>#DIV/0!</v>
      </c>
      <c r="DW42" s="163">
        <f t="shared" si="24"/>
        <v>0</v>
      </c>
      <c r="DX42" s="164"/>
      <c r="DY42" s="176">
        <f t="shared" si="25"/>
        <v>0</v>
      </c>
      <c r="DZ42" s="177">
        <f t="shared" si="26"/>
        <v>0</v>
      </c>
      <c r="EA42" s="178">
        <f t="shared" si="27"/>
        <v>0</v>
      </c>
      <c r="EB42" s="179">
        <f t="shared" si="28"/>
        <v>0</v>
      </c>
      <c r="EC42" s="180"/>
      <c r="ED42" s="175" t="e">
        <f t="shared" si="29"/>
        <v>#DIV/0!</v>
      </c>
      <c r="EE42" s="163">
        <f t="shared" si="30"/>
        <v>0</v>
      </c>
      <c r="EF42" s="164"/>
      <c r="EG42" s="181">
        <f t="shared" si="31"/>
        <v>0</v>
      </c>
      <c r="EH42" s="182">
        <f t="shared" si="32"/>
        <v>0</v>
      </c>
      <c r="EI42" s="182">
        <f t="shared" si="33"/>
        <v>0</v>
      </c>
      <c r="EJ42" s="182">
        <f t="shared" si="34"/>
        <v>0</v>
      </c>
      <c r="EK42" s="183">
        <f t="shared" si="35"/>
        <v>0</v>
      </c>
      <c r="EL42" s="184" t="e">
        <f t="shared" si="36"/>
        <v>#DIV/0!</v>
      </c>
      <c r="EM42" s="185">
        <f t="shared" si="37"/>
        <v>0</v>
      </c>
      <c r="EN42" s="164"/>
      <c r="EO42" s="181">
        <f t="shared" si="38"/>
        <v>0</v>
      </c>
      <c r="EP42" s="183">
        <f t="shared" si="39"/>
        <v>0</v>
      </c>
      <c r="EQ42" s="184" t="e">
        <f t="shared" si="40"/>
        <v>#DIV/0!</v>
      </c>
      <c r="ER42" s="185">
        <f t="shared" si="41"/>
        <v>0</v>
      </c>
      <c r="ES42" s="164"/>
      <c r="ET42" s="164"/>
      <c r="EU42" s="186">
        <f t="shared" si="42"/>
        <v>0</v>
      </c>
      <c r="EV42" s="186">
        <f t="shared" si="43"/>
        <v>0</v>
      </c>
      <c r="EW42" s="186">
        <f t="shared" si="44"/>
        <v>0</v>
      </c>
      <c r="EX42" s="186">
        <f t="shared" si="45"/>
        <v>0</v>
      </c>
      <c r="EY42" s="131"/>
      <c r="EZ42" s="187">
        <f t="shared" si="46"/>
        <v>0</v>
      </c>
      <c r="FA42" s="188" t="e">
        <f t="shared" si="47"/>
        <v>#DIV/0!</v>
      </c>
      <c r="FB42" s="189"/>
      <c r="FC42" s="131"/>
      <c r="FD42" s="131"/>
      <c r="FE42" s="131"/>
      <c r="FF42" s="131"/>
      <c r="FG42" s="131"/>
    </row>
    <row r="43" spans="2:163" ht="16" outlineLevel="1" thickBot="1" x14ac:dyDescent="0.4">
      <c r="B43" s="358"/>
      <c r="C43" s="355"/>
      <c r="D43" s="204"/>
      <c r="E43" s="205"/>
      <c r="F43" s="135"/>
      <c r="G43" s="206"/>
      <c r="H43" s="207"/>
      <c r="I43" s="138">
        <f t="shared" si="0"/>
        <v>0</v>
      </c>
      <c r="J43" s="139"/>
      <c r="K43" s="208">
        <f t="shared" si="49"/>
        <v>0</v>
      </c>
      <c r="L43" s="141"/>
      <c r="M43" s="209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09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1"/>
      <c r="AN43" s="212">
        <f t="shared" si="2"/>
        <v>0</v>
      </c>
      <c r="AO43" s="146"/>
      <c r="AP43" s="147">
        <f t="shared" si="3"/>
        <v>0</v>
      </c>
      <c r="AQ43" s="148"/>
      <c r="AR43" s="213"/>
      <c r="AS43" s="213"/>
      <c r="AT43" s="135"/>
      <c r="AU43" s="214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6"/>
      <c r="BG43" s="216"/>
      <c r="BH43" s="216"/>
      <c r="BI43" s="216"/>
      <c r="BJ43" s="216"/>
      <c r="BK43" s="216"/>
      <c r="BL43" s="216"/>
      <c r="BM43" s="216"/>
      <c r="BN43" s="216"/>
      <c r="BO43" s="216"/>
      <c r="BP43" s="216"/>
      <c r="BQ43" s="216"/>
      <c r="BR43" s="214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7"/>
      <c r="CD43" s="214"/>
      <c r="CE43" s="209"/>
      <c r="CF43" s="210"/>
      <c r="CG43" s="210"/>
      <c r="CH43" s="210"/>
      <c r="CI43" s="210"/>
      <c r="CJ43" s="210"/>
      <c r="CK43" s="210"/>
      <c r="CL43" s="210"/>
      <c r="CM43" s="210"/>
      <c r="CN43" s="210"/>
      <c r="CO43" s="348"/>
      <c r="CP43" s="215"/>
      <c r="CQ43" s="216"/>
      <c r="CR43" s="217"/>
      <c r="CS43" s="218">
        <f t="shared" si="48"/>
        <v>0</v>
      </c>
      <c r="CT43" s="146"/>
      <c r="CU43" s="147">
        <f t="shared" si="4"/>
        <v>0</v>
      </c>
      <c r="CV43" s="156"/>
      <c r="CW43" s="157" t="e">
        <f t="shared" si="5"/>
        <v>#DIV/0!</v>
      </c>
      <c r="CX43" s="157" t="e">
        <f t="shared" si="6"/>
        <v>#DIV/0!</v>
      </c>
      <c r="CY43" s="157" t="e">
        <f t="shared" si="7"/>
        <v>#DIV/0!</v>
      </c>
      <c r="CZ43" s="157" t="e">
        <f t="shared" si="8"/>
        <v>#DIV/0!</v>
      </c>
      <c r="DA43" s="157" t="e">
        <f t="shared" si="9"/>
        <v>#DIV/0!</v>
      </c>
      <c r="DB43" s="158" t="e">
        <f t="shared" si="10"/>
        <v>#DIV/0!</v>
      </c>
      <c r="DC43" s="131"/>
      <c r="DD43" s="159">
        <f t="shared" si="11"/>
        <v>0</v>
      </c>
      <c r="DE43" s="160">
        <f t="shared" si="12"/>
        <v>0</v>
      </c>
      <c r="DF43" s="161">
        <f t="shared" si="13"/>
        <v>0</v>
      </c>
      <c r="DG43" s="162" t="e">
        <f t="shared" si="14"/>
        <v>#DIV/0!</v>
      </c>
      <c r="DH43" s="163">
        <f t="shared" si="15"/>
        <v>0</v>
      </c>
      <c r="DI43" s="164"/>
      <c r="DJ43" s="165">
        <f t="shared" si="50"/>
        <v>0</v>
      </c>
      <c r="DK43" s="166">
        <f t="shared" si="50"/>
        <v>0</v>
      </c>
      <c r="DL43" s="167" t="e">
        <f t="shared" si="17"/>
        <v>#DIV/0!</v>
      </c>
      <c r="DM43" s="168" t="e">
        <f t="shared" si="18"/>
        <v>#DIV/0!</v>
      </c>
      <c r="DN43" s="163" t="e">
        <f t="shared" si="19"/>
        <v>#DIV/0!</v>
      </c>
      <c r="DO43" s="169"/>
      <c r="DP43" s="170"/>
      <c r="DQ43" s="171"/>
      <c r="DR43" s="172">
        <f t="shared" si="20"/>
        <v>0</v>
      </c>
      <c r="DS43" s="173" t="e">
        <f t="shared" si="21"/>
        <v>#DIV/0!</v>
      </c>
      <c r="DT43" s="163" t="e">
        <f t="shared" si="22"/>
        <v>#DIV/0!</v>
      </c>
      <c r="DU43" s="174"/>
      <c r="DV43" s="175" t="e">
        <f t="shared" si="23"/>
        <v>#DIV/0!</v>
      </c>
      <c r="DW43" s="163">
        <f t="shared" si="24"/>
        <v>0</v>
      </c>
      <c r="DX43" s="164"/>
      <c r="DY43" s="176">
        <f t="shared" si="25"/>
        <v>0</v>
      </c>
      <c r="DZ43" s="177">
        <f t="shared" si="26"/>
        <v>0</v>
      </c>
      <c r="EA43" s="178">
        <f t="shared" si="27"/>
        <v>0</v>
      </c>
      <c r="EB43" s="179">
        <f t="shared" si="28"/>
        <v>0</v>
      </c>
      <c r="EC43" s="180"/>
      <c r="ED43" s="175" t="e">
        <f t="shared" si="29"/>
        <v>#DIV/0!</v>
      </c>
      <c r="EE43" s="163">
        <f t="shared" si="30"/>
        <v>0</v>
      </c>
      <c r="EF43" s="164"/>
      <c r="EG43" s="181">
        <f t="shared" si="31"/>
        <v>0</v>
      </c>
      <c r="EH43" s="182">
        <f t="shared" si="32"/>
        <v>0</v>
      </c>
      <c r="EI43" s="182">
        <f t="shared" si="33"/>
        <v>0</v>
      </c>
      <c r="EJ43" s="182">
        <f t="shared" si="34"/>
        <v>0</v>
      </c>
      <c r="EK43" s="183">
        <f t="shared" si="35"/>
        <v>0</v>
      </c>
      <c r="EL43" s="184" t="e">
        <f t="shared" si="36"/>
        <v>#DIV/0!</v>
      </c>
      <c r="EM43" s="185">
        <f t="shared" si="37"/>
        <v>0</v>
      </c>
      <c r="EN43" s="164"/>
      <c r="EO43" s="181">
        <f t="shared" si="38"/>
        <v>0</v>
      </c>
      <c r="EP43" s="183">
        <f t="shared" si="39"/>
        <v>0</v>
      </c>
      <c r="EQ43" s="184" t="e">
        <f t="shared" si="40"/>
        <v>#DIV/0!</v>
      </c>
      <c r="ER43" s="185">
        <f t="shared" si="41"/>
        <v>0</v>
      </c>
      <c r="ES43" s="164"/>
      <c r="ET43" s="164"/>
      <c r="EU43" s="186">
        <f t="shared" si="42"/>
        <v>0</v>
      </c>
      <c r="EV43" s="186">
        <f t="shared" si="43"/>
        <v>0</v>
      </c>
      <c r="EW43" s="186">
        <f t="shared" si="44"/>
        <v>0</v>
      </c>
      <c r="EX43" s="186">
        <f t="shared" si="45"/>
        <v>0</v>
      </c>
      <c r="EY43" s="131"/>
      <c r="EZ43" s="187">
        <f t="shared" si="46"/>
        <v>0</v>
      </c>
      <c r="FA43" s="188" t="e">
        <f t="shared" si="47"/>
        <v>#DIV/0!</v>
      </c>
      <c r="FB43" s="189"/>
      <c r="FC43" s="131"/>
      <c r="FD43" s="131"/>
      <c r="FE43" s="131"/>
      <c r="FF43" s="131"/>
      <c r="FG43" s="131"/>
    </row>
    <row r="44" spans="2:163" s="169" customFormat="1" ht="18" customHeight="1" outlineLevel="1" thickBot="1" x14ac:dyDescent="0.4">
      <c r="B44" s="356"/>
      <c r="C44" s="353"/>
      <c r="D44" s="133"/>
      <c r="E44" s="134"/>
      <c r="F44" s="135"/>
      <c r="G44" s="136"/>
      <c r="H44" s="137"/>
      <c r="I44" s="138">
        <f t="shared" si="0"/>
        <v>0</v>
      </c>
      <c r="J44" s="139"/>
      <c r="K44" s="140">
        <f t="shared" si="49"/>
        <v>0</v>
      </c>
      <c r="L44" s="141"/>
      <c r="M44" s="142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2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5">
        <f t="shared" si="2"/>
        <v>0</v>
      </c>
      <c r="AO44" s="146"/>
      <c r="AP44" s="147">
        <f t="shared" si="3"/>
        <v>0</v>
      </c>
      <c r="AQ44" s="148"/>
      <c r="AR44" s="149"/>
      <c r="AS44" s="149"/>
      <c r="AT44" s="135"/>
      <c r="AU44" s="150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0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4"/>
      <c r="CD44" s="150"/>
      <c r="CE44" s="142"/>
      <c r="CF44" s="143"/>
      <c r="CG44" s="143"/>
      <c r="CH44" s="143"/>
      <c r="CI44" s="143"/>
      <c r="CJ44" s="143"/>
      <c r="CK44" s="143"/>
      <c r="CL44" s="143"/>
      <c r="CM44" s="143"/>
      <c r="CN44" s="143"/>
      <c r="CO44" s="346"/>
      <c r="CP44" s="151"/>
      <c r="CQ44" s="152"/>
      <c r="CR44" s="154"/>
      <c r="CS44" s="155">
        <f t="shared" si="48"/>
        <v>0</v>
      </c>
      <c r="CT44" s="146"/>
      <c r="CU44" s="147">
        <f t="shared" si="4"/>
        <v>0</v>
      </c>
      <c r="CV44" s="156"/>
      <c r="CW44" s="157" t="e">
        <f t="shared" si="5"/>
        <v>#DIV/0!</v>
      </c>
      <c r="CX44" s="157" t="e">
        <f t="shared" si="6"/>
        <v>#DIV/0!</v>
      </c>
      <c r="CY44" s="157" t="e">
        <f t="shared" si="7"/>
        <v>#DIV/0!</v>
      </c>
      <c r="CZ44" s="157" t="e">
        <f t="shared" si="8"/>
        <v>#DIV/0!</v>
      </c>
      <c r="DA44" s="157" t="e">
        <f t="shared" si="9"/>
        <v>#DIV/0!</v>
      </c>
      <c r="DB44" s="158" t="e">
        <f t="shared" si="10"/>
        <v>#DIV/0!</v>
      </c>
      <c r="DC44" s="131"/>
      <c r="DD44" s="159">
        <f t="shared" si="11"/>
        <v>0</v>
      </c>
      <c r="DE44" s="160">
        <f t="shared" si="12"/>
        <v>0</v>
      </c>
      <c r="DF44" s="161">
        <f t="shared" si="13"/>
        <v>0</v>
      </c>
      <c r="DG44" s="162" t="e">
        <f t="shared" si="14"/>
        <v>#DIV/0!</v>
      </c>
      <c r="DH44" s="163">
        <f t="shared" si="15"/>
        <v>0</v>
      </c>
      <c r="DI44" s="164"/>
      <c r="DJ44" s="165">
        <f t="shared" si="50"/>
        <v>0</v>
      </c>
      <c r="DK44" s="166">
        <f t="shared" si="50"/>
        <v>0</v>
      </c>
      <c r="DL44" s="167" t="e">
        <f t="shared" si="17"/>
        <v>#DIV/0!</v>
      </c>
      <c r="DM44" s="168" t="e">
        <f t="shared" si="18"/>
        <v>#DIV/0!</v>
      </c>
      <c r="DN44" s="163" t="e">
        <f t="shared" si="19"/>
        <v>#DIV/0!</v>
      </c>
      <c r="DP44" s="170"/>
      <c r="DQ44" s="171"/>
      <c r="DR44" s="172">
        <f t="shared" si="20"/>
        <v>0</v>
      </c>
      <c r="DS44" s="173" t="e">
        <f t="shared" si="21"/>
        <v>#DIV/0!</v>
      </c>
      <c r="DT44" s="163" t="e">
        <f t="shared" si="22"/>
        <v>#DIV/0!</v>
      </c>
      <c r="DU44" s="174"/>
      <c r="DV44" s="175" t="e">
        <f t="shared" si="23"/>
        <v>#DIV/0!</v>
      </c>
      <c r="DW44" s="163">
        <f t="shared" si="24"/>
        <v>0</v>
      </c>
      <c r="DX44" s="164"/>
      <c r="DY44" s="176">
        <f t="shared" si="25"/>
        <v>0</v>
      </c>
      <c r="DZ44" s="177">
        <f t="shared" si="26"/>
        <v>0</v>
      </c>
      <c r="EA44" s="178">
        <f t="shared" si="27"/>
        <v>0</v>
      </c>
      <c r="EB44" s="179">
        <f t="shared" si="28"/>
        <v>0</v>
      </c>
      <c r="EC44" s="180"/>
      <c r="ED44" s="175" t="e">
        <f t="shared" si="29"/>
        <v>#DIV/0!</v>
      </c>
      <c r="EE44" s="163">
        <f t="shared" si="30"/>
        <v>0</v>
      </c>
      <c r="EF44" s="164"/>
      <c r="EG44" s="181">
        <f t="shared" si="31"/>
        <v>0</v>
      </c>
      <c r="EH44" s="182">
        <f t="shared" si="32"/>
        <v>0</v>
      </c>
      <c r="EI44" s="182">
        <f t="shared" si="33"/>
        <v>0</v>
      </c>
      <c r="EJ44" s="182">
        <f t="shared" si="34"/>
        <v>0</v>
      </c>
      <c r="EK44" s="183">
        <f t="shared" si="35"/>
        <v>0</v>
      </c>
      <c r="EL44" s="184" t="e">
        <f t="shared" si="36"/>
        <v>#DIV/0!</v>
      </c>
      <c r="EM44" s="185">
        <f t="shared" si="37"/>
        <v>0</v>
      </c>
      <c r="EN44" s="164"/>
      <c r="EO44" s="181">
        <f t="shared" si="38"/>
        <v>0</v>
      </c>
      <c r="EP44" s="183">
        <f t="shared" si="39"/>
        <v>0</v>
      </c>
      <c r="EQ44" s="184" t="e">
        <f t="shared" si="40"/>
        <v>#DIV/0!</v>
      </c>
      <c r="ER44" s="185">
        <f t="shared" si="41"/>
        <v>0</v>
      </c>
      <c r="ES44" s="164"/>
      <c r="ET44" s="164"/>
      <c r="EU44" s="186">
        <f t="shared" si="42"/>
        <v>0</v>
      </c>
      <c r="EV44" s="186">
        <f t="shared" si="43"/>
        <v>0</v>
      </c>
      <c r="EW44" s="186">
        <f t="shared" si="44"/>
        <v>0</v>
      </c>
      <c r="EX44" s="186">
        <f t="shared" si="45"/>
        <v>0</v>
      </c>
      <c r="EY44" s="131"/>
      <c r="EZ44" s="187">
        <f t="shared" si="46"/>
        <v>0</v>
      </c>
      <c r="FA44" s="188" t="e">
        <f t="shared" si="47"/>
        <v>#DIV/0!</v>
      </c>
      <c r="FB44" s="189"/>
      <c r="FC44" s="131"/>
      <c r="FD44" s="131"/>
      <c r="FE44" s="131"/>
      <c r="FF44" s="131"/>
      <c r="FG44" s="131"/>
    </row>
    <row r="45" spans="2:163" s="169" customFormat="1" ht="16" outlineLevel="1" thickBot="1" x14ac:dyDescent="0.4">
      <c r="B45" s="357"/>
      <c r="C45" s="354"/>
      <c r="D45" s="190"/>
      <c r="E45" s="191"/>
      <c r="F45" s="135"/>
      <c r="G45" s="192"/>
      <c r="H45" s="137"/>
      <c r="I45" s="138">
        <f t="shared" si="0"/>
        <v>0</v>
      </c>
      <c r="J45" s="139"/>
      <c r="K45" s="193">
        <f t="shared" si="49"/>
        <v>0</v>
      </c>
      <c r="L45" s="141"/>
      <c r="M45" s="194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4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6"/>
      <c r="AN45" s="197">
        <f t="shared" si="2"/>
        <v>0</v>
      </c>
      <c r="AO45" s="146"/>
      <c r="AP45" s="147">
        <f t="shared" si="3"/>
        <v>0</v>
      </c>
      <c r="AQ45" s="148"/>
      <c r="AR45" s="198"/>
      <c r="AS45" s="198"/>
      <c r="AT45" s="135"/>
      <c r="AU45" s="199"/>
      <c r="AV45" s="200"/>
      <c r="AW45" s="200"/>
      <c r="AX45" s="200"/>
      <c r="AY45" s="200"/>
      <c r="AZ45" s="200"/>
      <c r="BA45" s="200"/>
      <c r="BB45" s="200"/>
      <c r="BC45" s="200"/>
      <c r="BD45" s="200"/>
      <c r="BE45" s="200"/>
      <c r="BF45" s="201"/>
      <c r="BG45" s="201"/>
      <c r="BH45" s="201"/>
      <c r="BI45" s="201"/>
      <c r="BJ45" s="201"/>
      <c r="BK45" s="201"/>
      <c r="BL45" s="201"/>
      <c r="BM45" s="201"/>
      <c r="BN45" s="201"/>
      <c r="BO45" s="201"/>
      <c r="BP45" s="201"/>
      <c r="BQ45" s="201"/>
      <c r="BR45" s="199"/>
      <c r="BS45" s="200"/>
      <c r="BT45" s="200"/>
      <c r="BU45" s="200"/>
      <c r="BV45" s="200"/>
      <c r="BW45" s="200"/>
      <c r="BX45" s="200"/>
      <c r="BY45" s="200"/>
      <c r="BZ45" s="200"/>
      <c r="CA45" s="200"/>
      <c r="CB45" s="200"/>
      <c r="CC45" s="202"/>
      <c r="CD45" s="199"/>
      <c r="CE45" s="194"/>
      <c r="CF45" s="195"/>
      <c r="CG45" s="195"/>
      <c r="CH45" s="195"/>
      <c r="CI45" s="195"/>
      <c r="CJ45" s="195"/>
      <c r="CK45" s="195"/>
      <c r="CL45" s="195"/>
      <c r="CM45" s="195"/>
      <c r="CN45" s="195"/>
      <c r="CO45" s="347"/>
      <c r="CP45" s="200"/>
      <c r="CQ45" s="201"/>
      <c r="CR45" s="202"/>
      <c r="CS45" s="203">
        <f t="shared" si="48"/>
        <v>0</v>
      </c>
      <c r="CT45" s="146"/>
      <c r="CU45" s="147">
        <f t="shared" si="4"/>
        <v>0</v>
      </c>
      <c r="CV45" s="156"/>
      <c r="CW45" s="157" t="e">
        <f t="shared" si="5"/>
        <v>#DIV/0!</v>
      </c>
      <c r="CX45" s="157" t="e">
        <f t="shared" si="6"/>
        <v>#DIV/0!</v>
      </c>
      <c r="CY45" s="157" t="e">
        <f t="shared" si="7"/>
        <v>#DIV/0!</v>
      </c>
      <c r="CZ45" s="157" t="e">
        <f t="shared" si="8"/>
        <v>#DIV/0!</v>
      </c>
      <c r="DA45" s="157" t="e">
        <f t="shared" si="9"/>
        <v>#DIV/0!</v>
      </c>
      <c r="DB45" s="158" t="e">
        <f t="shared" si="10"/>
        <v>#DIV/0!</v>
      </c>
      <c r="DC45" s="131"/>
      <c r="DD45" s="159">
        <f t="shared" si="11"/>
        <v>0</v>
      </c>
      <c r="DE45" s="160">
        <f t="shared" si="12"/>
        <v>0</v>
      </c>
      <c r="DF45" s="161">
        <f t="shared" si="13"/>
        <v>0</v>
      </c>
      <c r="DG45" s="162" t="e">
        <f t="shared" si="14"/>
        <v>#DIV/0!</v>
      </c>
      <c r="DH45" s="163">
        <f t="shared" si="15"/>
        <v>0</v>
      </c>
      <c r="DI45" s="164"/>
      <c r="DJ45" s="165">
        <f t="shared" si="50"/>
        <v>0</v>
      </c>
      <c r="DK45" s="166">
        <f t="shared" si="50"/>
        <v>0</v>
      </c>
      <c r="DL45" s="167" t="e">
        <f t="shared" si="17"/>
        <v>#DIV/0!</v>
      </c>
      <c r="DM45" s="168" t="e">
        <f t="shared" si="18"/>
        <v>#DIV/0!</v>
      </c>
      <c r="DN45" s="163" t="e">
        <f t="shared" si="19"/>
        <v>#DIV/0!</v>
      </c>
      <c r="DP45" s="170"/>
      <c r="DQ45" s="171"/>
      <c r="DR45" s="172">
        <f t="shared" si="20"/>
        <v>0</v>
      </c>
      <c r="DS45" s="173" t="e">
        <f t="shared" si="21"/>
        <v>#DIV/0!</v>
      </c>
      <c r="DT45" s="163" t="e">
        <f t="shared" si="22"/>
        <v>#DIV/0!</v>
      </c>
      <c r="DU45" s="174"/>
      <c r="DV45" s="175" t="e">
        <f t="shared" si="23"/>
        <v>#DIV/0!</v>
      </c>
      <c r="DW45" s="163">
        <f t="shared" si="24"/>
        <v>0</v>
      </c>
      <c r="DX45" s="164"/>
      <c r="DY45" s="176">
        <f t="shared" si="25"/>
        <v>0</v>
      </c>
      <c r="DZ45" s="177">
        <f t="shared" si="26"/>
        <v>0</v>
      </c>
      <c r="EA45" s="178">
        <f t="shared" si="27"/>
        <v>0</v>
      </c>
      <c r="EB45" s="179">
        <f t="shared" si="28"/>
        <v>0</v>
      </c>
      <c r="EC45" s="180"/>
      <c r="ED45" s="175" t="e">
        <f t="shared" si="29"/>
        <v>#DIV/0!</v>
      </c>
      <c r="EE45" s="163">
        <f t="shared" si="30"/>
        <v>0</v>
      </c>
      <c r="EF45" s="164"/>
      <c r="EG45" s="181">
        <f t="shared" si="31"/>
        <v>0</v>
      </c>
      <c r="EH45" s="182">
        <f t="shared" si="32"/>
        <v>0</v>
      </c>
      <c r="EI45" s="182">
        <f t="shared" si="33"/>
        <v>0</v>
      </c>
      <c r="EJ45" s="182">
        <f t="shared" si="34"/>
        <v>0</v>
      </c>
      <c r="EK45" s="183">
        <f t="shared" si="35"/>
        <v>0</v>
      </c>
      <c r="EL45" s="184" t="e">
        <f t="shared" si="36"/>
        <v>#DIV/0!</v>
      </c>
      <c r="EM45" s="185">
        <f t="shared" si="37"/>
        <v>0</v>
      </c>
      <c r="EN45" s="164"/>
      <c r="EO45" s="181">
        <f t="shared" si="38"/>
        <v>0</v>
      </c>
      <c r="EP45" s="183">
        <f t="shared" si="39"/>
        <v>0</v>
      </c>
      <c r="EQ45" s="184" t="e">
        <f t="shared" si="40"/>
        <v>#DIV/0!</v>
      </c>
      <c r="ER45" s="185">
        <f t="shared" si="41"/>
        <v>0</v>
      </c>
      <c r="ES45" s="164"/>
      <c r="ET45" s="164"/>
      <c r="EU45" s="186">
        <f t="shared" si="42"/>
        <v>0</v>
      </c>
      <c r="EV45" s="186">
        <f t="shared" si="43"/>
        <v>0</v>
      </c>
      <c r="EW45" s="186">
        <f t="shared" si="44"/>
        <v>0</v>
      </c>
      <c r="EX45" s="186">
        <f t="shared" si="45"/>
        <v>0</v>
      </c>
      <c r="EY45" s="131"/>
      <c r="EZ45" s="187">
        <f t="shared" si="46"/>
        <v>0</v>
      </c>
      <c r="FA45" s="188" t="e">
        <f t="shared" si="47"/>
        <v>#DIV/0!</v>
      </c>
      <c r="FB45" s="189"/>
      <c r="FC45" s="131"/>
      <c r="FD45" s="131"/>
      <c r="FE45" s="131"/>
      <c r="FF45" s="131"/>
      <c r="FG45" s="131"/>
    </row>
    <row r="46" spans="2:163" s="169" customFormat="1" ht="16" outlineLevel="1" thickBot="1" x14ac:dyDescent="0.4">
      <c r="B46" s="358"/>
      <c r="C46" s="355"/>
      <c r="D46" s="204"/>
      <c r="E46" s="205"/>
      <c r="F46" s="135"/>
      <c r="G46" s="206"/>
      <c r="H46" s="207"/>
      <c r="I46" s="138">
        <f t="shared" si="0"/>
        <v>0</v>
      </c>
      <c r="J46" s="139"/>
      <c r="K46" s="208">
        <f t="shared" si="49"/>
        <v>0</v>
      </c>
      <c r="L46" s="141"/>
      <c r="M46" s="209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09"/>
      <c r="AB46" s="210"/>
      <c r="AC46" s="210"/>
      <c r="AD46" s="210"/>
      <c r="AE46" s="210"/>
      <c r="AF46" s="210"/>
      <c r="AG46" s="210"/>
      <c r="AH46" s="210"/>
      <c r="AI46" s="210"/>
      <c r="AJ46" s="210"/>
      <c r="AK46" s="210"/>
      <c r="AL46" s="210"/>
      <c r="AM46" s="211"/>
      <c r="AN46" s="212">
        <f t="shared" si="2"/>
        <v>0</v>
      </c>
      <c r="AO46" s="146"/>
      <c r="AP46" s="147">
        <f t="shared" si="3"/>
        <v>0</v>
      </c>
      <c r="AQ46" s="148"/>
      <c r="AR46" s="213"/>
      <c r="AS46" s="213"/>
      <c r="AT46" s="135"/>
      <c r="AU46" s="214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6"/>
      <c r="BG46" s="216"/>
      <c r="BH46" s="216"/>
      <c r="BI46" s="216"/>
      <c r="BJ46" s="216"/>
      <c r="BK46" s="216"/>
      <c r="BL46" s="216"/>
      <c r="BM46" s="216"/>
      <c r="BN46" s="216"/>
      <c r="BO46" s="216"/>
      <c r="BP46" s="216"/>
      <c r="BQ46" s="216"/>
      <c r="BR46" s="214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7"/>
      <c r="CD46" s="214"/>
      <c r="CE46" s="209"/>
      <c r="CF46" s="210"/>
      <c r="CG46" s="210"/>
      <c r="CH46" s="210"/>
      <c r="CI46" s="210"/>
      <c r="CJ46" s="210"/>
      <c r="CK46" s="210"/>
      <c r="CL46" s="210"/>
      <c r="CM46" s="210"/>
      <c r="CN46" s="210"/>
      <c r="CO46" s="348"/>
      <c r="CP46" s="215"/>
      <c r="CQ46" s="216"/>
      <c r="CR46" s="217"/>
      <c r="CS46" s="218">
        <f t="shared" si="48"/>
        <v>0</v>
      </c>
      <c r="CT46" s="146"/>
      <c r="CU46" s="147">
        <f t="shared" si="4"/>
        <v>0</v>
      </c>
      <c r="CV46" s="156"/>
      <c r="CW46" s="157" t="e">
        <f t="shared" si="5"/>
        <v>#DIV/0!</v>
      </c>
      <c r="CX46" s="157" t="e">
        <f t="shared" si="6"/>
        <v>#DIV/0!</v>
      </c>
      <c r="CY46" s="157" t="e">
        <f t="shared" si="7"/>
        <v>#DIV/0!</v>
      </c>
      <c r="CZ46" s="157" t="e">
        <f t="shared" si="8"/>
        <v>#DIV/0!</v>
      </c>
      <c r="DA46" s="157" t="e">
        <f t="shared" si="9"/>
        <v>#DIV/0!</v>
      </c>
      <c r="DB46" s="158" t="e">
        <f t="shared" si="10"/>
        <v>#DIV/0!</v>
      </c>
      <c r="DC46" s="131"/>
      <c r="DD46" s="159">
        <f t="shared" si="11"/>
        <v>0</v>
      </c>
      <c r="DE46" s="160">
        <f t="shared" si="12"/>
        <v>0</v>
      </c>
      <c r="DF46" s="161">
        <f t="shared" si="13"/>
        <v>0</v>
      </c>
      <c r="DG46" s="162" t="e">
        <f t="shared" si="14"/>
        <v>#DIV/0!</v>
      </c>
      <c r="DH46" s="163">
        <f t="shared" si="15"/>
        <v>0</v>
      </c>
      <c r="DI46" s="164"/>
      <c r="DJ46" s="165">
        <f t="shared" si="50"/>
        <v>0</v>
      </c>
      <c r="DK46" s="166">
        <f t="shared" si="50"/>
        <v>0</v>
      </c>
      <c r="DL46" s="167" t="e">
        <f t="shared" si="17"/>
        <v>#DIV/0!</v>
      </c>
      <c r="DM46" s="168" t="e">
        <f t="shared" si="18"/>
        <v>#DIV/0!</v>
      </c>
      <c r="DN46" s="163" t="e">
        <f t="shared" si="19"/>
        <v>#DIV/0!</v>
      </c>
      <c r="DP46" s="170"/>
      <c r="DQ46" s="171"/>
      <c r="DR46" s="172">
        <f t="shared" si="20"/>
        <v>0</v>
      </c>
      <c r="DS46" s="173" t="e">
        <f t="shared" si="21"/>
        <v>#DIV/0!</v>
      </c>
      <c r="DT46" s="163" t="e">
        <f t="shared" si="22"/>
        <v>#DIV/0!</v>
      </c>
      <c r="DU46" s="174"/>
      <c r="DV46" s="175" t="e">
        <f t="shared" si="23"/>
        <v>#DIV/0!</v>
      </c>
      <c r="DW46" s="163">
        <f t="shared" si="24"/>
        <v>0</v>
      </c>
      <c r="DX46" s="164"/>
      <c r="DY46" s="176">
        <f t="shared" si="25"/>
        <v>0</v>
      </c>
      <c r="DZ46" s="177">
        <f t="shared" si="26"/>
        <v>0</v>
      </c>
      <c r="EA46" s="178">
        <f t="shared" si="27"/>
        <v>0</v>
      </c>
      <c r="EB46" s="179">
        <f t="shared" si="28"/>
        <v>0</v>
      </c>
      <c r="EC46" s="180"/>
      <c r="ED46" s="175" t="e">
        <f t="shared" si="29"/>
        <v>#DIV/0!</v>
      </c>
      <c r="EE46" s="163">
        <f t="shared" si="30"/>
        <v>0</v>
      </c>
      <c r="EF46" s="164"/>
      <c r="EG46" s="181">
        <f t="shared" si="31"/>
        <v>0</v>
      </c>
      <c r="EH46" s="182">
        <f t="shared" si="32"/>
        <v>0</v>
      </c>
      <c r="EI46" s="182">
        <f t="shared" si="33"/>
        <v>0</v>
      </c>
      <c r="EJ46" s="182">
        <f t="shared" si="34"/>
        <v>0</v>
      </c>
      <c r="EK46" s="183">
        <f t="shared" si="35"/>
        <v>0</v>
      </c>
      <c r="EL46" s="184" t="e">
        <f t="shared" si="36"/>
        <v>#DIV/0!</v>
      </c>
      <c r="EM46" s="185">
        <f t="shared" si="37"/>
        <v>0</v>
      </c>
      <c r="EN46" s="164"/>
      <c r="EO46" s="181">
        <f t="shared" si="38"/>
        <v>0</v>
      </c>
      <c r="EP46" s="183">
        <f t="shared" si="39"/>
        <v>0</v>
      </c>
      <c r="EQ46" s="184" t="e">
        <f t="shared" si="40"/>
        <v>#DIV/0!</v>
      </c>
      <c r="ER46" s="185">
        <f t="shared" si="41"/>
        <v>0</v>
      </c>
      <c r="ES46" s="164"/>
      <c r="ET46" s="164"/>
      <c r="EU46" s="186">
        <f t="shared" si="42"/>
        <v>0</v>
      </c>
      <c r="EV46" s="186">
        <f t="shared" si="43"/>
        <v>0</v>
      </c>
      <c r="EW46" s="186">
        <f t="shared" si="44"/>
        <v>0</v>
      </c>
      <c r="EX46" s="186">
        <f t="shared" si="45"/>
        <v>0</v>
      </c>
      <c r="EY46" s="131"/>
      <c r="EZ46" s="187">
        <f t="shared" si="46"/>
        <v>0</v>
      </c>
      <c r="FA46" s="188" t="e">
        <f t="shared" si="47"/>
        <v>#DIV/0!</v>
      </c>
      <c r="FB46" s="189"/>
      <c r="FC46" s="131"/>
      <c r="FD46" s="131"/>
      <c r="FE46" s="131"/>
      <c r="FF46" s="131"/>
      <c r="FG46" s="131"/>
    </row>
    <row r="47" spans="2:163" ht="16" outlineLevel="1" thickBot="1" x14ac:dyDescent="0.4">
      <c r="B47" s="356"/>
      <c r="C47" s="353"/>
      <c r="D47" s="133"/>
      <c r="E47" s="134"/>
      <c r="F47" s="135"/>
      <c r="G47" s="136"/>
      <c r="H47" s="137"/>
      <c r="I47" s="138">
        <f>IF(E47&gt;0.0001,11,0)</f>
        <v>0</v>
      </c>
      <c r="J47" s="139"/>
      <c r="K47" s="140">
        <f t="shared" si="49"/>
        <v>0</v>
      </c>
      <c r="L47" s="141"/>
      <c r="M47" s="142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2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4"/>
      <c r="AN47" s="145">
        <f t="shared" si="2"/>
        <v>0</v>
      </c>
      <c r="AO47" s="146"/>
      <c r="AP47" s="147">
        <f t="shared" si="3"/>
        <v>0</v>
      </c>
      <c r="AQ47" s="148"/>
      <c r="AR47" s="149"/>
      <c r="AS47" s="149"/>
      <c r="AT47" s="135"/>
      <c r="AU47" s="150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0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4"/>
      <c r="CD47" s="150"/>
      <c r="CE47" s="142"/>
      <c r="CF47" s="143"/>
      <c r="CG47" s="143"/>
      <c r="CH47" s="143"/>
      <c r="CI47" s="143"/>
      <c r="CJ47" s="143"/>
      <c r="CK47" s="143"/>
      <c r="CL47" s="143"/>
      <c r="CM47" s="143"/>
      <c r="CN47" s="143"/>
      <c r="CO47" s="346"/>
      <c r="CP47" s="151"/>
      <c r="CQ47" s="152"/>
      <c r="CR47" s="154"/>
      <c r="CS47" s="155">
        <f t="shared" si="48"/>
        <v>0</v>
      </c>
      <c r="CT47" s="146"/>
      <c r="CU47" s="147">
        <f t="shared" si="4"/>
        <v>0</v>
      </c>
      <c r="CV47" s="156"/>
      <c r="CW47" s="157" t="e">
        <f t="shared" si="5"/>
        <v>#DIV/0!</v>
      </c>
      <c r="CX47" s="157" t="e">
        <f t="shared" si="6"/>
        <v>#DIV/0!</v>
      </c>
      <c r="CY47" s="157" t="e">
        <f t="shared" si="7"/>
        <v>#DIV/0!</v>
      </c>
      <c r="CZ47" s="157" t="e">
        <f t="shared" si="8"/>
        <v>#DIV/0!</v>
      </c>
      <c r="DA47" s="157" t="e">
        <f t="shared" si="9"/>
        <v>#DIV/0!</v>
      </c>
      <c r="DB47" s="158" t="e">
        <f t="shared" si="10"/>
        <v>#DIV/0!</v>
      </c>
      <c r="DC47" s="131"/>
      <c r="DD47" s="159">
        <f t="shared" si="11"/>
        <v>0</v>
      </c>
      <c r="DE47" s="160">
        <f t="shared" si="12"/>
        <v>0</v>
      </c>
      <c r="DF47" s="161">
        <f t="shared" si="13"/>
        <v>0</v>
      </c>
      <c r="DG47" s="162" t="e">
        <f t="shared" si="14"/>
        <v>#DIV/0!</v>
      </c>
      <c r="DH47" s="163">
        <f t="shared" si="15"/>
        <v>0</v>
      </c>
      <c r="DI47" s="164"/>
      <c r="DJ47" s="165">
        <f t="shared" si="50"/>
        <v>0</v>
      </c>
      <c r="DK47" s="166">
        <f t="shared" si="50"/>
        <v>0</v>
      </c>
      <c r="DL47" s="167" t="e">
        <f t="shared" si="17"/>
        <v>#DIV/0!</v>
      </c>
      <c r="DM47" s="168" t="e">
        <f t="shared" si="18"/>
        <v>#DIV/0!</v>
      </c>
      <c r="DN47" s="163" t="e">
        <f t="shared" si="19"/>
        <v>#DIV/0!</v>
      </c>
      <c r="DO47" s="169"/>
      <c r="DP47" s="170"/>
      <c r="DQ47" s="171"/>
      <c r="DR47" s="172">
        <f t="shared" si="20"/>
        <v>0</v>
      </c>
      <c r="DS47" s="173" t="e">
        <f t="shared" si="21"/>
        <v>#DIV/0!</v>
      </c>
      <c r="DT47" s="163" t="e">
        <f t="shared" si="22"/>
        <v>#DIV/0!</v>
      </c>
      <c r="DU47" s="174"/>
      <c r="DV47" s="175" t="e">
        <f t="shared" si="23"/>
        <v>#DIV/0!</v>
      </c>
      <c r="DW47" s="163">
        <f t="shared" si="24"/>
        <v>0</v>
      </c>
      <c r="DX47" s="164"/>
      <c r="DY47" s="176">
        <f t="shared" si="25"/>
        <v>0</v>
      </c>
      <c r="DZ47" s="177">
        <f t="shared" si="26"/>
        <v>0</v>
      </c>
      <c r="EA47" s="178">
        <f t="shared" si="27"/>
        <v>0</v>
      </c>
      <c r="EB47" s="179">
        <f t="shared" si="28"/>
        <v>0</v>
      </c>
      <c r="EC47" s="180"/>
      <c r="ED47" s="175" t="e">
        <f t="shared" si="29"/>
        <v>#DIV/0!</v>
      </c>
      <c r="EE47" s="163">
        <f t="shared" si="30"/>
        <v>0</v>
      </c>
      <c r="EF47" s="164"/>
      <c r="EG47" s="181">
        <f t="shared" si="31"/>
        <v>0</v>
      </c>
      <c r="EH47" s="182">
        <f t="shared" si="32"/>
        <v>0</v>
      </c>
      <c r="EI47" s="182">
        <f t="shared" si="33"/>
        <v>0</v>
      </c>
      <c r="EJ47" s="182">
        <f t="shared" si="34"/>
        <v>0</v>
      </c>
      <c r="EK47" s="183">
        <f t="shared" si="35"/>
        <v>0</v>
      </c>
      <c r="EL47" s="184" t="e">
        <f t="shared" si="36"/>
        <v>#DIV/0!</v>
      </c>
      <c r="EM47" s="185">
        <f t="shared" si="37"/>
        <v>0</v>
      </c>
      <c r="EN47" s="164"/>
      <c r="EO47" s="181">
        <f t="shared" si="38"/>
        <v>0</v>
      </c>
      <c r="EP47" s="183">
        <f t="shared" si="39"/>
        <v>0</v>
      </c>
      <c r="EQ47" s="184" t="e">
        <f t="shared" si="40"/>
        <v>#DIV/0!</v>
      </c>
      <c r="ER47" s="185">
        <f t="shared" si="41"/>
        <v>0</v>
      </c>
      <c r="ES47" s="164"/>
      <c r="ET47" s="164"/>
      <c r="EU47" s="186">
        <f t="shared" si="42"/>
        <v>0</v>
      </c>
      <c r="EV47" s="186">
        <f t="shared" si="43"/>
        <v>0</v>
      </c>
      <c r="EW47" s="186">
        <f t="shared" si="44"/>
        <v>0</v>
      </c>
      <c r="EX47" s="186">
        <f t="shared" si="45"/>
        <v>0</v>
      </c>
      <c r="EY47" s="131"/>
      <c r="EZ47" s="187">
        <f t="shared" si="46"/>
        <v>0</v>
      </c>
      <c r="FA47" s="188" t="e">
        <f t="shared" si="47"/>
        <v>#DIV/0!</v>
      </c>
      <c r="FB47" s="189"/>
      <c r="FC47" s="131"/>
      <c r="FD47" s="131"/>
      <c r="FE47" s="131"/>
      <c r="FF47" s="131"/>
      <c r="FG47" s="131"/>
    </row>
    <row r="48" spans="2:163" ht="16" outlineLevel="1" thickBot="1" x14ac:dyDescent="0.4">
      <c r="B48" s="357"/>
      <c r="C48" s="354"/>
      <c r="D48" s="190"/>
      <c r="E48" s="191"/>
      <c r="F48" s="135"/>
      <c r="G48" s="192"/>
      <c r="H48" s="137"/>
      <c r="I48" s="138">
        <f t="shared" si="0"/>
        <v>0</v>
      </c>
      <c r="J48" s="139"/>
      <c r="K48" s="193">
        <f t="shared" si="49"/>
        <v>0</v>
      </c>
      <c r="L48" s="141"/>
      <c r="M48" s="194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4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6"/>
      <c r="AN48" s="197">
        <f t="shared" si="2"/>
        <v>0</v>
      </c>
      <c r="AO48" s="146"/>
      <c r="AP48" s="147">
        <f t="shared" si="3"/>
        <v>0</v>
      </c>
      <c r="AQ48" s="148"/>
      <c r="AR48" s="198"/>
      <c r="AS48" s="198"/>
      <c r="AT48" s="135"/>
      <c r="AU48" s="199"/>
      <c r="AV48" s="200"/>
      <c r="AW48" s="200"/>
      <c r="AX48" s="200"/>
      <c r="AY48" s="200"/>
      <c r="AZ48" s="200"/>
      <c r="BA48" s="200"/>
      <c r="BB48" s="200"/>
      <c r="BC48" s="200"/>
      <c r="BD48" s="200"/>
      <c r="BE48" s="200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199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2"/>
      <c r="CD48" s="199"/>
      <c r="CE48" s="194"/>
      <c r="CF48" s="195"/>
      <c r="CG48" s="195"/>
      <c r="CH48" s="195"/>
      <c r="CI48" s="195"/>
      <c r="CJ48" s="195"/>
      <c r="CK48" s="195"/>
      <c r="CL48" s="195"/>
      <c r="CM48" s="195"/>
      <c r="CN48" s="195"/>
      <c r="CO48" s="347"/>
      <c r="CP48" s="200"/>
      <c r="CQ48" s="201"/>
      <c r="CR48" s="202"/>
      <c r="CS48" s="203">
        <f t="shared" si="48"/>
        <v>0</v>
      </c>
      <c r="CT48" s="146"/>
      <c r="CU48" s="147">
        <f t="shared" si="4"/>
        <v>0</v>
      </c>
      <c r="CV48" s="156"/>
      <c r="CW48" s="157" t="e">
        <f t="shared" si="5"/>
        <v>#DIV/0!</v>
      </c>
      <c r="CX48" s="157" t="e">
        <f t="shared" si="6"/>
        <v>#DIV/0!</v>
      </c>
      <c r="CY48" s="157" t="e">
        <f t="shared" si="7"/>
        <v>#DIV/0!</v>
      </c>
      <c r="CZ48" s="157" t="e">
        <f t="shared" si="8"/>
        <v>#DIV/0!</v>
      </c>
      <c r="DA48" s="157" t="e">
        <f t="shared" si="9"/>
        <v>#DIV/0!</v>
      </c>
      <c r="DB48" s="158" t="e">
        <f t="shared" si="10"/>
        <v>#DIV/0!</v>
      </c>
      <c r="DC48" s="131"/>
      <c r="DD48" s="159">
        <f t="shared" si="11"/>
        <v>0</v>
      </c>
      <c r="DE48" s="160">
        <f t="shared" si="12"/>
        <v>0</v>
      </c>
      <c r="DF48" s="161">
        <f t="shared" si="13"/>
        <v>0</v>
      </c>
      <c r="DG48" s="162" t="e">
        <f t="shared" si="14"/>
        <v>#DIV/0!</v>
      </c>
      <c r="DH48" s="163">
        <f t="shared" si="15"/>
        <v>0</v>
      </c>
      <c r="DI48" s="164"/>
      <c r="DJ48" s="165">
        <f t="shared" si="50"/>
        <v>0</v>
      </c>
      <c r="DK48" s="166">
        <f t="shared" si="50"/>
        <v>0</v>
      </c>
      <c r="DL48" s="167" t="e">
        <f t="shared" si="17"/>
        <v>#DIV/0!</v>
      </c>
      <c r="DM48" s="168" t="e">
        <f t="shared" si="18"/>
        <v>#DIV/0!</v>
      </c>
      <c r="DN48" s="163" t="e">
        <f t="shared" si="19"/>
        <v>#DIV/0!</v>
      </c>
      <c r="DO48" s="169"/>
      <c r="DP48" s="170"/>
      <c r="DQ48" s="171"/>
      <c r="DR48" s="172">
        <f t="shared" si="20"/>
        <v>0</v>
      </c>
      <c r="DS48" s="173" t="e">
        <f t="shared" si="21"/>
        <v>#DIV/0!</v>
      </c>
      <c r="DT48" s="163" t="e">
        <f t="shared" si="22"/>
        <v>#DIV/0!</v>
      </c>
      <c r="DU48" s="174"/>
      <c r="DV48" s="175" t="e">
        <f t="shared" si="23"/>
        <v>#DIV/0!</v>
      </c>
      <c r="DW48" s="163">
        <f t="shared" si="24"/>
        <v>0</v>
      </c>
      <c r="DX48" s="164"/>
      <c r="DY48" s="176">
        <f t="shared" si="25"/>
        <v>0</v>
      </c>
      <c r="DZ48" s="177">
        <f t="shared" si="26"/>
        <v>0</v>
      </c>
      <c r="EA48" s="178">
        <f t="shared" si="27"/>
        <v>0</v>
      </c>
      <c r="EB48" s="179">
        <f t="shared" si="28"/>
        <v>0</v>
      </c>
      <c r="EC48" s="180"/>
      <c r="ED48" s="175" t="e">
        <f t="shared" si="29"/>
        <v>#DIV/0!</v>
      </c>
      <c r="EE48" s="163">
        <f t="shared" si="30"/>
        <v>0</v>
      </c>
      <c r="EF48" s="164"/>
      <c r="EG48" s="181">
        <f t="shared" si="31"/>
        <v>0</v>
      </c>
      <c r="EH48" s="182">
        <f t="shared" si="32"/>
        <v>0</v>
      </c>
      <c r="EI48" s="182">
        <f t="shared" si="33"/>
        <v>0</v>
      </c>
      <c r="EJ48" s="182">
        <f t="shared" si="34"/>
        <v>0</v>
      </c>
      <c r="EK48" s="183">
        <f t="shared" si="35"/>
        <v>0</v>
      </c>
      <c r="EL48" s="184" t="e">
        <f t="shared" si="36"/>
        <v>#DIV/0!</v>
      </c>
      <c r="EM48" s="185">
        <f t="shared" si="37"/>
        <v>0</v>
      </c>
      <c r="EN48" s="164"/>
      <c r="EO48" s="181">
        <f t="shared" si="38"/>
        <v>0</v>
      </c>
      <c r="EP48" s="183">
        <f t="shared" si="39"/>
        <v>0</v>
      </c>
      <c r="EQ48" s="184" t="e">
        <f t="shared" si="40"/>
        <v>#DIV/0!</v>
      </c>
      <c r="ER48" s="185">
        <f t="shared" si="41"/>
        <v>0</v>
      </c>
      <c r="ES48" s="164"/>
      <c r="ET48" s="164"/>
      <c r="EU48" s="186">
        <f t="shared" si="42"/>
        <v>0</v>
      </c>
      <c r="EV48" s="186">
        <f t="shared" si="43"/>
        <v>0</v>
      </c>
      <c r="EW48" s="186">
        <f t="shared" si="44"/>
        <v>0</v>
      </c>
      <c r="EX48" s="186">
        <f t="shared" si="45"/>
        <v>0</v>
      </c>
      <c r="EY48" s="131"/>
      <c r="EZ48" s="187">
        <f t="shared" si="46"/>
        <v>0</v>
      </c>
      <c r="FA48" s="188" t="e">
        <f t="shared" si="47"/>
        <v>#DIV/0!</v>
      </c>
      <c r="FB48" s="189"/>
      <c r="FC48" s="131"/>
      <c r="FD48" s="131"/>
      <c r="FE48" s="131"/>
      <c r="FF48" s="131"/>
      <c r="FG48" s="131"/>
    </row>
    <row r="49" spans="2:163" ht="16" outlineLevel="1" thickBot="1" x14ac:dyDescent="0.4">
      <c r="B49" s="358"/>
      <c r="C49" s="355"/>
      <c r="D49" s="238"/>
      <c r="E49" s="239"/>
      <c r="F49" s="135"/>
      <c r="G49" s="192"/>
      <c r="H49" s="207"/>
      <c r="I49" s="138">
        <f t="shared" si="0"/>
        <v>0</v>
      </c>
      <c r="J49" s="139"/>
      <c r="K49" s="208">
        <f t="shared" si="49"/>
        <v>0</v>
      </c>
      <c r="L49" s="141"/>
      <c r="M49" s="209"/>
      <c r="N49" s="210"/>
      <c r="O49" s="210"/>
      <c r="P49" s="210"/>
      <c r="Q49" s="195"/>
      <c r="R49" s="210"/>
      <c r="S49" s="210"/>
      <c r="T49" s="210"/>
      <c r="U49" s="210"/>
      <c r="V49" s="210"/>
      <c r="W49" s="210"/>
      <c r="X49" s="210"/>
      <c r="Y49" s="210"/>
      <c r="Z49" s="210"/>
      <c r="AA49" s="209"/>
      <c r="AB49" s="210"/>
      <c r="AC49" s="210"/>
      <c r="AD49" s="210"/>
      <c r="AE49" s="210"/>
      <c r="AF49" s="210"/>
      <c r="AG49" s="210"/>
      <c r="AH49" s="210"/>
      <c r="AI49" s="210"/>
      <c r="AJ49" s="210"/>
      <c r="AK49" s="210"/>
      <c r="AL49" s="210"/>
      <c r="AM49" s="211"/>
      <c r="AN49" s="212">
        <f t="shared" si="2"/>
        <v>0</v>
      </c>
      <c r="AO49" s="146"/>
      <c r="AP49" s="147">
        <f t="shared" si="3"/>
        <v>0</v>
      </c>
      <c r="AQ49" s="148"/>
      <c r="AR49" s="213"/>
      <c r="AS49" s="213"/>
      <c r="AT49" s="135"/>
      <c r="AU49" s="214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6"/>
      <c r="BG49" s="216"/>
      <c r="BH49" s="216"/>
      <c r="BI49" s="216"/>
      <c r="BJ49" s="216"/>
      <c r="BK49" s="216"/>
      <c r="BL49" s="216"/>
      <c r="BM49" s="216"/>
      <c r="BN49" s="216"/>
      <c r="BO49" s="216"/>
      <c r="BP49" s="216"/>
      <c r="BQ49" s="216"/>
      <c r="BR49" s="214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7"/>
      <c r="CD49" s="214"/>
      <c r="CE49" s="209"/>
      <c r="CF49" s="210"/>
      <c r="CG49" s="210"/>
      <c r="CH49" s="210"/>
      <c r="CI49" s="210"/>
      <c r="CJ49" s="210"/>
      <c r="CK49" s="210"/>
      <c r="CL49" s="210"/>
      <c r="CM49" s="210"/>
      <c r="CN49" s="210"/>
      <c r="CO49" s="348"/>
      <c r="CP49" s="215"/>
      <c r="CQ49" s="216"/>
      <c r="CR49" s="217"/>
      <c r="CS49" s="218">
        <f t="shared" si="48"/>
        <v>0</v>
      </c>
      <c r="CT49" s="146"/>
      <c r="CU49" s="147">
        <f t="shared" si="4"/>
        <v>0</v>
      </c>
      <c r="CV49" s="156"/>
      <c r="CW49" s="157" t="e">
        <f t="shared" si="5"/>
        <v>#DIV/0!</v>
      </c>
      <c r="CX49" s="157" t="e">
        <f t="shared" si="6"/>
        <v>#DIV/0!</v>
      </c>
      <c r="CY49" s="157" t="e">
        <f t="shared" si="7"/>
        <v>#DIV/0!</v>
      </c>
      <c r="CZ49" s="157" t="e">
        <f t="shared" si="8"/>
        <v>#DIV/0!</v>
      </c>
      <c r="DA49" s="157" t="e">
        <f t="shared" si="9"/>
        <v>#DIV/0!</v>
      </c>
      <c r="DB49" s="158" t="e">
        <f t="shared" si="10"/>
        <v>#DIV/0!</v>
      </c>
      <c r="DC49" s="131"/>
      <c r="DD49" s="159">
        <f t="shared" si="11"/>
        <v>0</v>
      </c>
      <c r="DE49" s="160">
        <f t="shared" si="12"/>
        <v>0</v>
      </c>
      <c r="DF49" s="161">
        <f t="shared" si="13"/>
        <v>0</v>
      </c>
      <c r="DG49" s="162" t="e">
        <f t="shared" si="14"/>
        <v>#DIV/0!</v>
      </c>
      <c r="DH49" s="163">
        <f t="shared" si="15"/>
        <v>0</v>
      </c>
      <c r="DI49" s="164"/>
      <c r="DJ49" s="165">
        <f t="shared" si="50"/>
        <v>0</v>
      </c>
      <c r="DK49" s="166">
        <f t="shared" si="50"/>
        <v>0</v>
      </c>
      <c r="DL49" s="167" t="e">
        <f t="shared" si="17"/>
        <v>#DIV/0!</v>
      </c>
      <c r="DM49" s="168" t="e">
        <f t="shared" si="18"/>
        <v>#DIV/0!</v>
      </c>
      <c r="DN49" s="163" t="e">
        <f t="shared" si="19"/>
        <v>#DIV/0!</v>
      </c>
      <c r="DO49" s="169"/>
      <c r="DP49" s="170"/>
      <c r="DQ49" s="171"/>
      <c r="DR49" s="172">
        <f t="shared" si="20"/>
        <v>0</v>
      </c>
      <c r="DS49" s="173" t="e">
        <f t="shared" si="21"/>
        <v>#DIV/0!</v>
      </c>
      <c r="DT49" s="163" t="e">
        <f t="shared" si="22"/>
        <v>#DIV/0!</v>
      </c>
      <c r="DU49" s="174"/>
      <c r="DV49" s="175" t="e">
        <f t="shared" si="23"/>
        <v>#DIV/0!</v>
      </c>
      <c r="DW49" s="163">
        <f t="shared" si="24"/>
        <v>0</v>
      </c>
      <c r="DX49" s="164"/>
      <c r="DY49" s="176">
        <f t="shared" si="25"/>
        <v>0</v>
      </c>
      <c r="DZ49" s="177">
        <f t="shared" si="26"/>
        <v>0</v>
      </c>
      <c r="EA49" s="178">
        <f t="shared" si="27"/>
        <v>0</v>
      </c>
      <c r="EB49" s="179">
        <f t="shared" si="28"/>
        <v>0</v>
      </c>
      <c r="EC49" s="180"/>
      <c r="ED49" s="175" t="e">
        <f t="shared" si="29"/>
        <v>#DIV/0!</v>
      </c>
      <c r="EE49" s="163">
        <f t="shared" si="30"/>
        <v>0</v>
      </c>
      <c r="EF49" s="164"/>
      <c r="EG49" s="181">
        <f t="shared" si="31"/>
        <v>0</v>
      </c>
      <c r="EH49" s="182">
        <f t="shared" si="32"/>
        <v>0</v>
      </c>
      <c r="EI49" s="182">
        <f t="shared" si="33"/>
        <v>0</v>
      </c>
      <c r="EJ49" s="182">
        <f t="shared" si="34"/>
        <v>0</v>
      </c>
      <c r="EK49" s="183">
        <f t="shared" si="35"/>
        <v>0</v>
      </c>
      <c r="EL49" s="184" t="e">
        <f t="shared" si="36"/>
        <v>#DIV/0!</v>
      </c>
      <c r="EM49" s="185">
        <f t="shared" si="37"/>
        <v>0</v>
      </c>
      <c r="EN49" s="164"/>
      <c r="EO49" s="181">
        <f t="shared" si="38"/>
        <v>0</v>
      </c>
      <c r="EP49" s="183">
        <f t="shared" si="39"/>
        <v>0</v>
      </c>
      <c r="EQ49" s="184" t="e">
        <f t="shared" si="40"/>
        <v>#DIV/0!</v>
      </c>
      <c r="ER49" s="185">
        <f t="shared" si="41"/>
        <v>0</v>
      </c>
      <c r="ES49" s="164"/>
      <c r="ET49" s="164"/>
      <c r="EU49" s="186">
        <f t="shared" si="42"/>
        <v>0</v>
      </c>
      <c r="EV49" s="186">
        <f t="shared" si="43"/>
        <v>0</v>
      </c>
      <c r="EW49" s="186">
        <f t="shared" si="44"/>
        <v>0</v>
      </c>
      <c r="EX49" s="186">
        <f t="shared" si="45"/>
        <v>0</v>
      </c>
      <c r="EY49" s="131"/>
      <c r="EZ49" s="187">
        <f t="shared" si="46"/>
        <v>0</v>
      </c>
      <c r="FA49" s="188" t="e">
        <f t="shared" si="47"/>
        <v>#DIV/0!</v>
      </c>
      <c r="FB49" s="189"/>
      <c r="FC49" s="131"/>
      <c r="FD49" s="131"/>
      <c r="FE49" s="131"/>
      <c r="FF49" s="131"/>
      <c r="FG49" s="131"/>
    </row>
    <row r="50" spans="2:163" ht="16" outlineLevel="1" thickBot="1" x14ac:dyDescent="0.4">
      <c r="B50" s="356"/>
      <c r="C50" s="353"/>
      <c r="D50" s="133"/>
      <c r="E50" s="134"/>
      <c r="F50" s="135"/>
      <c r="G50" s="136"/>
      <c r="H50" s="137"/>
      <c r="I50" s="138">
        <f t="shared" si="0"/>
        <v>0</v>
      </c>
      <c r="J50" s="139"/>
      <c r="K50" s="140">
        <f t="shared" si="49"/>
        <v>0</v>
      </c>
      <c r="L50" s="141"/>
      <c r="M50" s="142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2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4"/>
      <c r="AN50" s="145">
        <f t="shared" si="2"/>
        <v>0</v>
      </c>
      <c r="AO50" s="146"/>
      <c r="AP50" s="147">
        <f t="shared" si="3"/>
        <v>0</v>
      </c>
      <c r="AQ50" s="148"/>
      <c r="AR50" s="149"/>
      <c r="AS50" s="149"/>
      <c r="AT50" s="135"/>
      <c r="AU50" s="150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R50" s="150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4"/>
      <c r="CD50" s="150"/>
      <c r="CE50" s="194"/>
      <c r="CF50" s="195"/>
      <c r="CG50" s="195"/>
      <c r="CH50" s="195"/>
      <c r="CI50" s="195"/>
      <c r="CJ50" s="195"/>
      <c r="CK50" s="195"/>
      <c r="CL50" s="195"/>
      <c r="CM50" s="195"/>
      <c r="CN50" s="143"/>
      <c r="CO50" s="346"/>
      <c r="CP50" s="151"/>
      <c r="CQ50" s="152"/>
      <c r="CR50" s="154"/>
      <c r="CS50" s="155">
        <f t="shared" si="48"/>
        <v>0</v>
      </c>
      <c r="CT50" s="146"/>
      <c r="CU50" s="147">
        <f t="shared" si="4"/>
        <v>0</v>
      </c>
      <c r="CV50" s="156"/>
      <c r="CW50" s="157" t="e">
        <f t="shared" si="5"/>
        <v>#DIV/0!</v>
      </c>
      <c r="CX50" s="157" t="e">
        <f t="shared" si="6"/>
        <v>#DIV/0!</v>
      </c>
      <c r="CY50" s="157" t="e">
        <f t="shared" si="7"/>
        <v>#DIV/0!</v>
      </c>
      <c r="CZ50" s="157" t="e">
        <f t="shared" si="8"/>
        <v>#DIV/0!</v>
      </c>
      <c r="DA50" s="157" t="e">
        <f t="shared" si="9"/>
        <v>#DIV/0!</v>
      </c>
      <c r="DB50" s="158" t="e">
        <f t="shared" si="10"/>
        <v>#DIV/0!</v>
      </c>
      <c r="DC50" s="131"/>
      <c r="DD50" s="159">
        <f t="shared" si="11"/>
        <v>0</v>
      </c>
      <c r="DE50" s="160">
        <f t="shared" si="12"/>
        <v>0</v>
      </c>
      <c r="DF50" s="161">
        <f t="shared" si="13"/>
        <v>0</v>
      </c>
      <c r="DG50" s="162" t="e">
        <f t="shared" si="14"/>
        <v>#DIV/0!</v>
      </c>
      <c r="DH50" s="163">
        <f t="shared" si="15"/>
        <v>0</v>
      </c>
      <c r="DI50" s="164"/>
      <c r="DJ50" s="165">
        <f t="shared" si="50"/>
        <v>0</v>
      </c>
      <c r="DK50" s="166">
        <f t="shared" si="50"/>
        <v>0</v>
      </c>
      <c r="DL50" s="167" t="e">
        <f t="shared" si="17"/>
        <v>#DIV/0!</v>
      </c>
      <c r="DM50" s="168" t="e">
        <f t="shared" si="18"/>
        <v>#DIV/0!</v>
      </c>
      <c r="DN50" s="163" t="e">
        <f t="shared" si="19"/>
        <v>#DIV/0!</v>
      </c>
      <c r="DO50" s="169"/>
      <c r="DP50" s="170"/>
      <c r="DQ50" s="171"/>
      <c r="DR50" s="172">
        <f t="shared" si="20"/>
        <v>0</v>
      </c>
      <c r="DS50" s="173" t="e">
        <f t="shared" si="21"/>
        <v>#DIV/0!</v>
      </c>
      <c r="DT50" s="163" t="e">
        <f t="shared" si="22"/>
        <v>#DIV/0!</v>
      </c>
      <c r="DU50" s="174"/>
      <c r="DV50" s="175" t="e">
        <f t="shared" si="23"/>
        <v>#DIV/0!</v>
      </c>
      <c r="DW50" s="163">
        <f t="shared" si="24"/>
        <v>0</v>
      </c>
      <c r="DX50" s="164"/>
      <c r="DY50" s="176">
        <f t="shared" si="25"/>
        <v>0</v>
      </c>
      <c r="DZ50" s="177">
        <f t="shared" si="26"/>
        <v>0</v>
      </c>
      <c r="EA50" s="178">
        <f t="shared" si="27"/>
        <v>0</v>
      </c>
      <c r="EB50" s="179">
        <f t="shared" si="28"/>
        <v>0</v>
      </c>
      <c r="EC50" s="180"/>
      <c r="ED50" s="175" t="e">
        <f t="shared" si="29"/>
        <v>#DIV/0!</v>
      </c>
      <c r="EE50" s="163">
        <f t="shared" si="30"/>
        <v>0</v>
      </c>
      <c r="EF50" s="164"/>
      <c r="EG50" s="181">
        <f t="shared" si="31"/>
        <v>0</v>
      </c>
      <c r="EH50" s="182">
        <f t="shared" si="32"/>
        <v>0</v>
      </c>
      <c r="EI50" s="182">
        <f t="shared" si="33"/>
        <v>0</v>
      </c>
      <c r="EJ50" s="182">
        <f t="shared" si="34"/>
        <v>0</v>
      </c>
      <c r="EK50" s="183">
        <f t="shared" si="35"/>
        <v>0</v>
      </c>
      <c r="EL50" s="184" t="e">
        <f t="shared" si="36"/>
        <v>#DIV/0!</v>
      </c>
      <c r="EM50" s="185">
        <f t="shared" si="37"/>
        <v>0</v>
      </c>
      <c r="EN50" s="164"/>
      <c r="EO50" s="181">
        <f t="shared" si="38"/>
        <v>0</v>
      </c>
      <c r="EP50" s="183">
        <f t="shared" si="39"/>
        <v>0</v>
      </c>
      <c r="EQ50" s="184" t="e">
        <f t="shared" si="40"/>
        <v>#DIV/0!</v>
      </c>
      <c r="ER50" s="185">
        <f t="shared" si="41"/>
        <v>0</v>
      </c>
      <c r="ES50" s="164"/>
      <c r="ET50" s="164"/>
      <c r="EU50" s="186">
        <f t="shared" si="42"/>
        <v>0</v>
      </c>
      <c r="EV50" s="186">
        <f t="shared" si="43"/>
        <v>0</v>
      </c>
      <c r="EW50" s="186">
        <f t="shared" si="44"/>
        <v>0</v>
      </c>
      <c r="EX50" s="186">
        <f t="shared" si="45"/>
        <v>0</v>
      </c>
      <c r="EY50" s="131"/>
      <c r="EZ50" s="187">
        <f t="shared" si="46"/>
        <v>0</v>
      </c>
      <c r="FA50" s="188" t="e">
        <f t="shared" si="47"/>
        <v>#DIV/0!</v>
      </c>
      <c r="FB50" s="189"/>
      <c r="FC50" s="131"/>
      <c r="FD50" s="131"/>
      <c r="FE50" s="131"/>
      <c r="FF50" s="131"/>
      <c r="FG50" s="131"/>
    </row>
    <row r="51" spans="2:163" ht="16" outlineLevel="1" thickBot="1" x14ac:dyDescent="0.4">
      <c r="B51" s="357"/>
      <c r="C51" s="354"/>
      <c r="D51" s="190"/>
      <c r="E51" s="191"/>
      <c r="F51" s="135"/>
      <c r="G51" s="192"/>
      <c r="H51" s="137"/>
      <c r="I51" s="138">
        <f t="shared" si="0"/>
        <v>0</v>
      </c>
      <c r="J51" s="139"/>
      <c r="K51" s="193">
        <f t="shared" si="49"/>
        <v>0</v>
      </c>
      <c r="L51" s="141"/>
      <c r="M51" s="194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  <c r="AA51" s="194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6"/>
      <c r="AN51" s="197">
        <f t="shared" si="2"/>
        <v>0</v>
      </c>
      <c r="AO51" s="146"/>
      <c r="AP51" s="147">
        <f t="shared" si="3"/>
        <v>0</v>
      </c>
      <c r="AQ51" s="148"/>
      <c r="AR51" s="198"/>
      <c r="AS51" s="198"/>
      <c r="AT51" s="135"/>
      <c r="AU51" s="199"/>
      <c r="AV51" s="200"/>
      <c r="AW51" s="200"/>
      <c r="AX51" s="200"/>
      <c r="AY51" s="200"/>
      <c r="AZ51" s="200"/>
      <c r="BA51" s="200"/>
      <c r="BB51" s="200"/>
      <c r="BC51" s="200"/>
      <c r="BD51" s="200"/>
      <c r="BE51" s="200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199"/>
      <c r="BS51" s="200"/>
      <c r="BT51" s="200"/>
      <c r="BU51" s="200"/>
      <c r="BV51" s="200"/>
      <c r="BW51" s="200"/>
      <c r="BX51" s="200"/>
      <c r="BY51" s="200"/>
      <c r="BZ51" s="200"/>
      <c r="CA51" s="200"/>
      <c r="CB51" s="200"/>
      <c r="CC51" s="202"/>
      <c r="CD51" s="199"/>
      <c r="CE51" s="194"/>
      <c r="CF51" s="195"/>
      <c r="CG51" s="195"/>
      <c r="CH51" s="195"/>
      <c r="CI51" s="195"/>
      <c r="CJ51" s="195"/>
      <c r="CK51" s="195"/>
      <c r="CL51" s="195"/>
      <c r="CM51" s="195"/>
      <c r="CN51" s="195"/>
      <c r="CO51" s="347"/>
      <c r="CP51" s="200"/>
      <c r="CQ51" s="201"/>
      <c r="CR51" s="202"/>
      <c r="CS51" s="203">
        <f t="shared" si="48"/>
        <v>0</v>
      </c>
      <c r="CT51" s="146"/>
      <c r="CU51" s="147">
        <f t="shared" si="4"/>
        <v>0</v>
      </c>
      <c r="CV51" s="156"/>
      <c r="CW51" s="157" t="e">
        <f t="shared" si="5"/>
        <v>#DIV/0!</v>
      </c>
      <c r="CX51" s="157" t="e">
        <f t="shared" si="6"/>
        <v>#DIV/0!</v>
      </c>
      <c r="CY51" s="157" t="e">
        <f t="shared" si="7"/>
        <v>#DIV/0!</v>
      </c>
      <c r="CZ51" s="157" t="e">
        <f t="shared" si="8"/>
        <v>#DIV/0!</v>
      </c>
      <c r="DA51" s="157" t="e">
        <f t="shared" si="9"/>
        <v>#DIV/0!</v>
      </c>
      <c r="DB51" s="158" t="e">
        <f t="shared" si="10"/>
        <v>#DIV/0!</v>
      </c>
      <c r="DC51" s="131"/>
      <c r="DD51" s="159">
        <f t="shared" si="11"/>
        <v>0</v>
      </c>
      <c r="DE51" s="160">
        <f t="shared" si="12"/>
        <v>0</v>
      </c>
      <c r="DF51" s="161">
        <f t="shared" si="13"/>
        <v>0</v>
      </c>
      <c r="DG51" s="162" t="e">
        <f t="shared" si="14"/>
        <v>#DIV/0!</v>
      </c>
      <c r="DH51" s="163">
        <f t="shared" si="15"/>
        <v>0</v>
      </c>
      <c r="DI51" s="164"/>
      <c r="DJ51" s="165">
        <f t="shared" si="50"/>
        <v>0</v>
      </c>
      <c r="DK51" s="166">
        <f t="shared" si="50"/>
        <v>0</v>
      </c>
      <c r="DL51" s="167" t="e">
        <f t="shared" si="17"/>
        <v>#DIV/0!</v>
      </c>
      <c r="DM51" s="168" t="e">
        <f t="shared" si="18"/>
        <v>#DIV/0!</v>
      </c>
      <c r="DN51" s="163" t="e">
        <f t="shared" si="19"/>
        <v>#DIV/0!</v>
      </c>
      <c r="DO51" s="169"/>
      <c r="DP51" s="170"/>
      <c r="DQ51" s="171"/>
      <c r="DR51" s="172">
        <f t="shared" si="20"/>
        <v>0</v>
      </c>
      <c r="DS51" s="173" t="e">
        <f t="shared" si="21"/>
        <v>#DIV/0!</v>
      </c>
      <c r="DT51" s="163" t="e">
        <f t="shared" si="22"/>
        <v>#DIV/0!</v>
      </c>
      <c r="DU51" s="174"/>
      <c r="DV51" s="175" t="e">
        <f t="shared" si="23"/>
        <v>#DIV/0!</v>
      </c>
      <c r="DW51" s="163">
        <f t="shared" si="24"/>
        <v>0</v>
      </c>
      <c r="DX51" s="164"/>
      <c r="DY51" s="176">
        <f t="shared" si="25"/>
        <v>0</v>
      </c>
      <c r="DZ51" s="177">
        <f t="shared" si="26"/>
        <v>0</v>
      </c>
      <c r="EA51" s="178">
        <f t="shared" si="27"/>
        <v>0</v>
      </c>
      <c r="EB51" s="179">
        <f t="shared" si="28"/>
        <v>0</v>
      </c>
      <c r="EC51" s="180"/>
      <c r="ED51" s="175" t="e">
        <f t="shared" si="29"/>
        <v>#DIV/0!</v>
      </c>
      <c r="EE51" s="163">
        <f t="shared" si="30"/>
        <v>0</v>
      </c>
      <c r="EF51" s="164"/>
      <c r="EG51" s="181">
        <f t="shared" si="31"/>
        <v>0</v>
      </c>
      <c r="EH51" s="182">
        <f t="shared" si="32"/>
        <v>0</v>
      </c>
      <c r="EI51" s="182">
        <f t="shared" si="33"/>
        <v>0</v>
      </c>
      <c r="EJ51" s="182">
        <f t="shared" si="34"/>
        <v>0</v>
      </c>
      <c r="EK51" s="183">
        <f t="shared" si="35"/>
        <v>0</v>
      </c>
      <c r="EL51" s="184" t="e">
        <f t="shared" si="36"/>
        <v>#DIV/0!</v>
      </c>
      <c r="EM51" s="185">
        <f t="shared" si="37"/>
        <v>0</v>
      </c>
      <c r="EN51" s="164"/>
      <c r="EO51" s="181">
        <f t="shared" si="38"/>
        <v>0</v>
      </c>
      <c r="EP51" s="183">
        <f t="shared" si="39"/>
        <v>0</v>
      </c>
      <c r="EQ51" s="184" t="e">
        <f t="shared" si="40"/>
        <v>#DIV/0!</v>
      </c>
      <c r="ER51" s="185">
        <f t="shared" si="41"/>
        <v>0</v>
      </c>
      <c r="ES51" s="164"/>
      <c r="ET51" s="164"/>
      <c r="EU51" s="186">
        <f t="shared" si="42"/>
        <v>0</v>
      </c>
      <c r="EV51" s="186">
        <f t="shared" si="43"/>
        <v>0</v>
      </c>
      <c r="EW51" s="186">
        <f t="shared" si="44"/>
        <v>0</v>
      </c>
      <c r="EX51" s="186">
        <f t="shared" si="45"/>
        <v>0</v>
      </c>
      <c r="EY51" s="131"/>
      <c r="EZ51" s="187">
        <f t="shared" si="46"/>
        <v>0</v>
      </c>
      <c r="FA51" s="188" t="e">
        <f t="shared" si="47"/>
        <v>#DIV/0!</v>
      </c>
      <c r="FB51" s="189"/>
      <c r="FC51" s="131"/>
      <c r="FD51" s="131"/>
      <c r="FE51" s="131"/>
      <c r="FF51" s="131"/>
      <c r="FG51" s="131"/>
    </row>
    <row r="52" spans="2:163" ht="16" outlineLevel="1" thickBot="1" x14ac:dyDescent="0.4">
      <c r="B52" s="358"/>
      <c r="C52" s="355"/>
      <c r="D52" s="238"/>
      <c r="E52" s="239"/>
      <c r="F52" s="135"/>
      <c r="G52" s="192"/>
      <c r="H52" s="207"/>
      <c r="I52" s="138">
        <f t="shared" si="0"/>
        <v>0</v>
      </c>
      <c r="J52" s="139"/>
      <c r="K52" s="208">
        <f t="shared" si="49"/>
        <v>0</v>
      </c>
      <c r="L52" s="141"/>
      <c r="M52" s="209"/>
      <c r="N52" s="210"/>
      <c r="O52" s="210"/>
      <c r="P52" s="210"/>
      <c r="Q52" s="195"/>
      <c r="R52" s="210"/>
      <c r="S52" s="210"/>
      <c r="T52" s="210"/>
      <c r="U52" s="210"/>
      <c r="V52" s="210"/>
      <c r="W52" s="210"/>
      <c r="X52" s="210"/>
      <c r="Y52" s="210"/>
      <c r="Z52" s="210"/>
      <c r="AA52" s="209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1"/>
      <c r="AN52" s="212">
        <f t="shared" si="2"/>
        <v>0</v>
      </c>
      <c r="AO52" s="146"/>
      <c r="AP52" s="147">
        <f t="shared" si="3"/>
        <v>0</v>
      </c>
      <c r="AQ52" s="148"/>
      <c r="AR52" s="213"/>
      <c r="AS52" s="213"/>
      <c r="AT52" s="135"/>
      <c r="AU52" s="214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6"/>
      <c r="BG52" s="216"/>
      <c r="BH52" s="216"/>
      <c r="BI52" s="216"/>
      <c r="BJ52" s="216"/>
      <c r="BK52" s="216"/>
      <c r="BL52" s="216"/>
      <c r="BM52" s="216"/>
      <c r="BN52" s="216"/>
      <c r="BO52" s="216"/>
      <c r="BP52" s="216"/>
      <c r="BQ52" s="216"/>
      <c r="BR52" s="214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7"/>
      <c r="CD52" s="214"/>
      <c r="CE52" s="194"/>
      <c r="CF52" s="195"/>
      <c r="CG52" s="195"/>
      <c r="CH52" s="195"/>
      <c r="CI52" s="195"/>
      <c r="CJ52" s="195"/>
      <c r="CK52" s="195"/>
      <c r="CL52" s="195"/>
      <c r="CM52" s="195"/>
      <c r="CN52" s="210"/>
      <c r="CO52" s="348"/>
      <c r="CP52" s="215"/>
      <c r="CQ52" s="216"/>
      <c r="CR52" s="217"/>
      <c r="CS52" s="218">
        <f t="shared" si="48"/>
        <v>0</v>
      </c>
      <c r="CT52" s="146"/>
      <c r="CU52" s="147">
        <f t="shared" si="4"/>
        <v>0</v>
      </c>
      <c r="CV52" s="156"/>
      <c r="CW52" s="157" t="e">
        <f t="shared" si="5"/>
        <v>#DIV/0!</v>
      </c>
      <c r="CX52" s="157" t="e">
        <f t="shared" si="6"/>
        <v>#DIV/0!</v>
      </c>
      <c r="CY52" s="157" t="e">
        <f t="shared" si="7"/>
        <v>#DIV/0!</v>
      </c>
      <c r="CZ52" s="157" t="e">
        <f t="shared" si="8"/>
        <v>#DIV/0!</v>
      </c>
      <c r="DA52" s="157" t="e">
        <f t="shared" si="9"/>
        <v>#DIV/0!</v>
      </c>
      <c r="DB52" s="158" t="e">
        <f t="shared" si="10"/>
        <v>#DIV/0!</v>
      </c>
      <c r="DC52" s="131"/>
      <c r="DD52" s="159">
        <f t="shared" si="11"/>
        <v>0</v>
      </c>
      <c r="DE52" s="160">
        <f t="shared" si="12"/>
        <v>0</v>
      </c>
      <c r="DF52" s="161">
        <f t="shared" si="13"/>
        <v>0</v>
      </c>
      <c r="DG52" s="162" t="e">
        <f t="shared" si="14"/>
        <v>#DIV/0!</v>
      </c>
      <c r="DH52" s="163">
        <f t="shared" si="15"/>
        <v>0</v>
      </c>
      <c r="DI52" s="164"/>
      <c r="DJ52" s="165">
        <f t="shared" si="50"/>
        <v>0</v>
      </c>
      <c r="DK52" s="166">
        <f t="shared" si="50"/>
        <v>0</v>
      </c>
      <c r="DL52" s="167" t="e">
        <f t="shared" si="17"/>
        <v>#DIV/0!</v>
      </c>
      <c r="DM52" s="168" t="e">
        <f t="shared" si="18"/>
        <v>#DIV/0!</v>
      </c>
      <c r="DN52" s="163" t="e">
        <f t="shared" si="19"/>
        <v>#DIV/0!</v>
      </c>
      <c r="DO52" s="169"/>
      <c r="DP52" s="170"/>
      <c r="DQ52" s="171"/>
      <c r="DR52" s="172">
        <f t="shared" si="20"/>
        <v>0</v>
      </c>
      <c r="DS52" s="173" t="e">
        <f t="shared" si="21"/>
        <v>#DIV/0!</v>
      </c>
      <c r="DT52" s="163" t="e">
        <f t="shared" si="22"/>
        <v>#DIV/0!</v>
      </c>
      <c r="DU52" s="174"/>
      <c r="DV52" s="175" t="e">
        <f t="shared" si="23"/>
        <v>#DIV/0!</v>
      </c>
      <c r="DW52" s="163">
        <f t="shared" si="24"/>
        <v>0</v>
      </c>
      <c r="DX52" s="164"/>
      <c r="DY52" s="176">
        <f t="shared" si="25"/>
        <v>0</v>
      </c>
      <c r="DZ52" s="177">
        <f t="shared" si="26"/>
        <v>0</v>
      </c>
      <c r="EA52" s="178">
        <f t="shared" si="27"/>
        <v>0</v>
      </c>
      <c r="EB52" s="179">
        <f t="shared" si="28"/>
        <v>0</v>
      </c>
      <c r="EC52" s="180"/>
      <c r="ED52" s="175" t="e">
        <f t="shared" si="29"/>
        <v>#DIV/0!</v>
      </c>
      <c r="EE52" s="163">
        <f t="shared" si="30"/>
        <v>0</v>
      </c>
      <c r="EF52" s="164"/>
      <c r="EG52" s="181">
        <f t="shared" si="31"/>
        <v>0</v>
      </c>
      <c r="EH52" s="182">
        <f t="shared" si="32"/>
        <v>0</v>
      </c>
      <c r="EI52" s="182">
        <f t="shared" si="33"/>
        <v>0</v>
      </c>
      <c r="EJ52" s="182">
        <f t="shared" si="34"/>
        <v>0</v>
      </c>
      <c r="EK52" s="183">
        <f t="shared" si="35"/>
        <v>0</v>
      </c>
      <c r="EL52" s="184" t="e">
        <f t="shared" si="36"/>
        <v>#DIV/0!</v>
      </c>
      <c r="EM52" s="185">
        <f t="shared" si="37"/>
        <v>0</v>
      </c>
      <c r="EN52" s="164"/>
      <c r="EO52" s="181">
        <f t="shared" si="38"/>
        <v>0</v>
      </c>
      <c r="EP52" s="183">
        <f t="shared" si="39"/>
        <v>0</v>
      </c>
      <c r="EQ52" s="184" t="e">
        <f t="shared" si="40"/>
        <v>#DIV/0!</v>
      </c>
      <c r="ER52" s="185">
        <f t="shared" si="41"/>
        <v>0</v>
      </c>
      <c r="ES52" s="164"/>
      <c r="ET52" s="164"/>
      <c r="EU52" s="186">
        <f t="shared" si="42"/>
        <v>0</v>
      </c>
      <c r="EV52" s="186">
        <f t="shared" si="43"/>
        <v>0</v>
      </c>
      <c r="EW52" s="186">
        <f t="shared" si="44"/>
        <v>0</v>
      </c>
      <c r="EX52" s="186">
        <f t="shared" si="45"/>
        <v>0</v>
      </c>
      <c r="EY52" s="131"/>
      <c r="EZ52" s="187">
        <f t="shared" si="46"/>
        <v>0</v>
      </c>
      <c r="FA52" s="188" t="e">
        <f t="shared" si="47"/>
        <v>#DIV/0!</v>
      </c>
      <c r="FB52" s="189"/>
      <c r="FC52" s="131"/>
      <c r="FD52" s="131"/>
      <c r="FE52" s="131"/>
      <c r="FF52" s="131"/>
      <c r="FG52" s="131"/>
    </row>
    <row r="53" spans="2:163" ht="16" outlineLevel="1" thickBot="1" x14ac:dyDescent="0.4">
      <c r="B53" s="356"/>
      <c r="C53" s="353"/>
      <c r="D53" s="133"/>
      <c r="E53" s="134"/>
      <c r="F53" s="135"/>
      <c r="G53" s="136"/>
      <c r="H53" s="137"/>
      <c r="I53" s="138">
        <f>IF(E53&gt;0.0001,11,0)</f>
        <v>0</v>
      </c>
      <c r="J53" s="139"/>
      <c r="K53" s="140">
        <f t="shared" si="49"/>
        <v>0</v>
      </c>
      <c r="L53" s="141"/>
      <c r="M53" s="142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2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4"/>
      <c r="AN53" s="145">
        <f t="shared" si="2"/>
        <v>0</v>
      </c>
      <c r="AO53" s="146"/>
      <c r="AP53" s="147">
        <f t="shared" si="3"/>
        <v>0</v>
      </c>
      <c r="AQ53" s="148"/>
      <c r="AR53" s="149"/>
      <c r="AS53" s="149"/>
      <c r="AT53" s="135"/>
      <c r="AU53" s="150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2"/>
      <c r="BG53" s="152"/>
      <c r="BH53" s="152"/>
      <c r="BI53" s="152"/>
      <c r="BJ53" s="152"/>
      <c r="BK53" s="152"/>
      <c r="BL53" s="152"/>
      <c r="BM53" s="152"/>
      <c r="BN53" s="152"/>
      <c r="BO53" s="152"/>
      <c r="BP53" s="152"/>
      <c r="BQ53" s="152"/>
      <c r="BR53" s="150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4"/>
      <c r="CD53" s="150"/>
      <c r="CE53" s="142"/>
      <c r="CF53" s="143"/>
      <c r="CG53" s="143"/>
      <c r="CH53" s="143"/>
      <c r="CI53" s="143"/>
      <c r="CJ53" s="143"/>
      <c r="CK53" s="143"/>
      <c r="CL53" s="143"/>
      <c r="CM53" s="143"/>
      <c r="CN53" s="143"/>
      <c r="CO53" s="346"/>
      <c r="CP53" s="151"/>
      <c r="CQ53" s="152"/>
      <c r="CR53" s="154"/>
      <c r="CS53" s="155">
        <f t="shared" si="48"/>
        <v>0</v>
      </c>
      <c r="CT53" s="146"/>
      <c r="CU53" s="147">
        <f t="shared" si="4"/>
        <v>0</v>
      </c>
      <c r="CV53" s="156"/>
      <c r="CW53" s="157" t="e">
        <f t="shared" si="5"/>
        <v>#DIV/0!</v>
      </c>
      <c r="CX53" s="157" t="e">
        <f t="shared" si="6"/>
        <v>#DIV/0!</v>
      </c>
      <c r="CY53" s="157" t="e">
        <f t="shared" si="7"/>
        <v>#DIV/0!</v>
      </c>
      <c r="CZ53" s="157" t="e">
        <f t="shared" si="8"/>
        <v>#DIV/0!</v>
      </c>
      <c r="DA53" s="157" t="e">
        <f t="shared" si="9"/>
        <v>#DIV/0!</v>
      </c>
      <c r="DB53" s="158" t="e">
        <f t="shared" si="10"/>
        <v>#DIV/0!</v>
      </c>
      <c r="DC53" s="131"/>
      <c r="DD53" s="159">
        <f t="shared" si="11"/>
        <v>0</v>
      </c>
      <c r="DE53" s="160">
        <f t="shared" si="12"/>
        <v>0</v>
      </c>
      <c r="DF53" s="161">
        <f t="shared" si="13"/>
        <v>0</v>
      </c>
      <c r="DG53" s="162" t="e">
        <f t="shared" si="14"/>
        <v>#DIV/0!</v>
      </c>
      <c r="DH53" s="163">
        <f t="shared" si="15"/>
        <v>0</v>
      </c>
      <c r="DI53" s="164"/>
      <c r="DJ53" s="165">
        <f t="shared" si="50"/>
        <v>0</v>
      </c>
      <c r="DK53" s="166">
        <f t="shared" si="50"/>
        <v>0</v>
      </c>
      <c r="DL53" s="167" t="e">
        <f t="shared" si="17"/>
        <v>#DIV/0!</v>
      </c>
      <c r="DM53" s="168" t="e">
        <f t="shared" si="18"/>
        <v>#DIV/0!</v>
      </c>
      <c r="DN53" s="163" t="e">
        <f t="shared" si="19"/>
        <v>#DIV/0!</v>
      </c>
      <c r="DO53" s="169"/>
      <c r="DP53" s="170"/>
      <c r="DQ53" s="171"/>
      <c r="DR53" s="172">
        <f t="shared" si="20"/>
        <v>0</v>
      </c>
      <c r="DS53" s="173" t="e">
        <f t="shared" si="21"/>
        <v>#DIV/0!</v>
      </c>
      <c r="DT53" s="163" t="e">
        <f t="shared" si="22"/>
        <v>#DIV/0!</v>
      </c>
      <c r="DU53" s="174"/>
      <c r="DV53" s="175" t="e">
        <f t="shared" si="23"/>
        <v>#DIV/0!</v>
      </c>
      <c r="DW53" s="163">
        <f t="shared" si="24"/>
        <v>0</v>
      </c>
      <c r="DX53" s="164"/>
      <c r="DY53" s="176">
        <f t="shared" si="25"/>
        <v>0</v>
      </c>
      <c r="DZ53" s="177">
        <f t="shared" si="26"/>
        <v>0</v>
      </c>
      <c r="EA53" s="178">
        <f t="shared" si="27"/>
        <v>0</v>
      </c>
      <c r="EB53" s="179">
        <f t="shared" si="28"/>
        <v>0</v>
      </c>
      <c r="EC53" s="180"/>
      <c r="ED53" s="175" t="e">
        <f t="shared" si="29"/>
        <v>#DIV/0!</v>
      </c>
      <c r="EE53" s="163">
        <f t="shared" si="30"/>
        <v>0</v>
      </c>
      <c r="EF53" s="164"/>
      <c r="EG53" s="181">
        <f t="shared" si="31"/>
        <v>0</v>
      </c>
      <c r="EH53" s="182">
        <f t="shared" si="32"/>
        <v>0</v>
      </c>
      <c r="EI53" s="182">
        <f t="shared" si="33"/>
        <v>0</v>
      </c>
      <c r="EJ53" s="182">
        <f t="shared" si="34"/>
        <v>0</v>
      </c>
      <c r="EK53" s="183">
        <f t="shared" si="35"/>
        <v>0</v>
      </c>
      <c r="EL53" s="184" t="e">
        <f t="shared" si="36"/>
        <v>#DIV/0!</v>
      </c>
      <c r="EM53" s="185">
        <f t="shared" si="37"/>
        <v>0</v>
      </c>
      <c r="EN53" s="164"/>
      <c r="EO53" s="181">
        <f t="shared" si="38"/>
        <v>0</v>
      </c>
      <c r="EP53" s="183">
        <f t="shared" si="39"/>
        <v>0</v>
      </c>
      <c r="EQ53" s="184" t="e">
        <f t="shared" si="40"/>
        <v>#DIV/0!</v>
      </c>
      <c r="ER53" s="185">
        <f t="shared" si="41"/>
        <v>0</v>
      </c>
      <c r="ES53" s="164"/>
      <c r="ET53" s="164"/>
      <c r="EU53" s="186">
        <f t="shared" si="42"/>
        <v>0</v>
      </c>
      <c r="EV53" s="186">
        <f t="shared" si="43"/>
        <v>0</v>
      </c>
      <c r="EW53" s="186">
        <f t="shared" si="44"/>
        <v>0</v>
      </c>
      <c r="EX53" s="186">
        <f t="shared" si="45"/>
        <v>0</v>
      </c>
      <c r="EY53" s="131"/>
      <c r="EZ53" s="187">
        <f t="shared" si="46"/>
        <v>0</v>
      </c>
      <c r="FA53" s="188" t="e">
        <f t="shared" si="47"/>
        <v>#DIV/0!</v>
      </c>
      <c r="FB53" s="189"/>
      <c r="FC53" s="131"/>
      <c r="FD53" s="131"/>
      <c r="FE53" s="131"/>
      <c r="FF53" s="131"/>
      <c r="FG53" s="131"/>
    </row>
    <row r="54" spans="2:163" ht="16" outlineLevel="1" thickBot="1" x14ac:dyDescent="0.4">
      <c r="B54" s="357"/>
      <c r="C54" s="354"/>
      <c r="D54" s="190"/>
      <c r="E54" s="191"/>
      <c r="F54" s="135"/>
      <c r="G54" s="192"/>
      <c r="H54" s="137"/>
      <c r="I54" s="138">
        <f>IF(E54&gt;0.0001,11,0)</f>
        <v>0</v>
      </c>
      <c r="J54" s="139"/>
      <c r="K54" s="193">
        <f t="shared" si="49"/>
        <v>0</v>
      </c>
      <c r="L54" s="141"/>
      <c r="M54" s="194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4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6"/>
      <c r="AN54" s="197">
        <f t="shared" si="2"/>
        <v>0</v>
      </c>
      <c r="AO54" s="146"/>
      <c r="AP54" s="147">
        <f t="shared" si="3"/>
        <v>0</v>
      </c>
      <c r="AQ54" s="148"/>
      <c r="AR54" s="198"/>
      <c r="AS54" s="198"/>
      <c r="AT54" s="135"/>
      <c r="AU54" s="199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1"/>
      <c r="BG54" s="201"/>
      <c r="BH54" s="201"/>
      <c r="BI54" s="201"/>
      <c r="BJ54" s="201"/>
      <c r="BK54" s="201"/>
      <c r="BL54" s="201"/>
      <c r="BM54" s="201"/>
      <c r="BN54" s="201"/>
      <c r="BO54" s="201"/>
      <c r="BP54" s="201"/>
      <c r="BQ54" s="201"/>
      <c r="BR54" s="199"/>
      <c r="BS54" s="200"/>
      <c r="BT54" s="200"/>
      <c r="BU54" s="200"/>
      <c r="BV54" s="200"/>
      <c r="BW54" s="200"/>
      <c r="BX54" s="200"/>
      <c r="BY54" s="200"/>
      <c r="BZ54" s="200"/>
      <c r="CA54" s="200"/>
      <c r="CB54" s="200"/>
      <c r="CC54" s="202"/>
      <c r="CD54" s="199"/>
      <c r="CE54" s="194"/>
      <c r="CF54" s="195"/>
      <c r="CG54" s="195"/>
      <c r="CH54" s="195"/>
      <c r="CI54" s="195"/>
      <c r="CJ54" s="195"/>
      <c r="CK54" s="195"/>
      <c r="CL54" s="195"/>
      <c r="CM54" s="195"/>
      <c r="CN54" s="195"/>
      <c r="CO54" s="347"/>
      <c r="CP54" s="200"/>
      <c r="CQ54" s="201"/>
      <c r="CR54" s="202"/>
      <c r="CS54" s="203">
        <f t="shared" si="48"/>
        <v>0</v>
      </c>
      <c r="CT54" s="146"/>
      <c r="CU54" s="147">
        <f t="shared" si="4"/>
        <v>0</v>
      </c>
      <c r="CV54" s="156"/>
      <c r="CW54" s="157" t="e">
        <f t="shared" si="5"/>
        <v>#DIV/0!</v>
      </c>
      <c r="CX54" s="157" t="e">
        <f t="shared" si="6"/>
        <v>#DIV/0!</v>
      </c>
      <c r="CY54" s="157" t="e">
        <f t="shared" si="7"/>
        <v>#DIV/0!</v>
      </c>
      <c r="CZ54" s="157" t="e">
        <f t="shared" si="8"/>
        <v>#DIV/0!</v>
      </c>
      <c r="DA54" s="157" t="e">
        <f t="shared" si="9"/>
        <v>#DIV/0!</v>
      </c>
      <c r="DB54" s="158" t="e">
        <f t="shared" si="10"/>
        <v>#DIV/0!</v>
      </c>
      <c r="DC54" s="131"/>
      <c r="DD54" s="159">
        <f t="shared" si="11"/>
        <v>0</v>
      </c>
      <c r="DE54" s="160">
        <f t="shared" si="12"/>
        <v>0</v>
      </c>
      <c r="DF54" s="161">
        <f t="shared" si="13"/>
        <v>0</v>
      </c>
      <c r="DG54" s="162" t="e">
        <f t="shared" si="14"/>
        <v>#DIV/0!</v>
      </c>
      <c r="DH54" s="163">
        <f t="shared" si="15"/>
        <v>0</v>
      </c>
      <c r="DI54" s="164"/>
      <c r="DJ54" s="165">
        <f t="shared" si="50"/>
        <v>0</v>
      </c>
      <c r="DK54" s="166">
        <f t="shared" si="50"/>
        <v>0</v>
      </c>
      <c r="DL54" s="167" t="e">
        <f t="shared" si="17"/>
        <v>#DIV/0!</v>
      </c>
      <c r="DM54" s="168" t="e">
        <f t="shared" si="18"/>
        <v>#DIV/0!</v>
      </c>
      <c r="DN54" s="163" t="e">
        <f t="shared" si="19"/>
        <v>#DIV/0!</v>
      </c>
      <c r="DO54" s="169"/>
      <c r="DP54" s="170"/>
      <c r="DQ54" s="171"/>
      <c r="DR54" s="172">
        <f t="shared" si="20"/>
        <v>0</v>
      </c>
      <c r="DS54" s="173" t="e">
        <f t="shared" si="21"/>
        <v>#DIV/0!</v>
      </c>
      <c r="DT54" s="163" t="e">
        <f t="shared" si="22"/>
        <v>#DIV/0!</v>
      </c>
      <c r="DU54" s="174"/>
      <c r="DV54" s="175" t="e">
        <f t="shared" si="23"/>
        <v>#DIV/0!</v>
      </c>
      <c r="DW54" s="163">
        <f t="shared" si="24"/>
        <v>0</v>
      </c>
      <c r="DX54" s="164"/>
      <c r="DY54" s="176">
        <f t="shared" si="25"/>
        <v>0</v>
      </c>
      <c r="DZ54" s="177">
        <f t="shared" si="26"/>
        <v>0</v>
      </c>
      <c r="EA54" s="178">
        <f t="shared" si="27"/>
        <v>0</v>
      </c>
      <c r="EB54" s="179">
        <f t="shared" si="28"/>
        <v>0</v>
      </c>
      <c r="EC54" s="180"/>
      <c r="ED54" s="175" t="e">
        <f t="shared" si="29"/>
        <v>#DIV/0!</v>
      </c>
      <c r="EE54" s="163">
        <f t="shared" si="30"/>
        <v>0</v>
      </c>
      <c r="EF54" s="164"/>
      <c r="EG54" s="181">
        <f t="shared" si="31"/>
        <v>0</v>
      </c>
      <c r="EH54" s="182">
        <f t="shared" si="32"/>
        <v>0</v>
      </c>
      <c r="EI54" s="182">
        <f t="shared" si="33"/>
        <v>0</v>
      </c>
      <c r="EJ54" s="182">
        <f t="shared" si="34"/>
        <v>0</v>
      </c>
      <c r="EK54" s="183">
        <f t="shared" si="35"/>
        <v>0</v>
      </c>
      <c r="EL54" s="184" t="e">
        <f t="shared" si="36"/>
        <v>#DIV/0!</v>
      </c>
      <c r="EM54" s="185">
        <f t="shared" si="37"/>
        <v>0</v>
      </c>
      <c r="EN54" s="164"/>
      <c r="EO54" s="181">
        <f t="shared" si="38"/>
        <v>0</v>
      </c>
      <c r="EP54" s="183">
        <f t="shared" si="39"/>
        <v>0</v>
      </c>
      <c r="EQ54" s="184" t="e">
        <f t="shared" si="40"/>
        <v>#DIV/0!</v>
      </c>
      <c r="ER54" s="185">
        <f t="shared" si="41"/>
        <v>0</v>
      </c>
      <c r="ES54" s="164"/>
      <c r="ET54" s="164"/>
      <c r="EU54" s="186">
        <f t="shared" si="42"/>
        <v>0</v>
      </c>
      <c r="EV54" s="186">
        <f t="shared" si="43"/>
        <v>0</v>
      </c>
      <c r="EW54" s="186">
        <f t="shared" si="44"/>
        <v>0</v>
      </c>
      <c r="EX54" s="186">
        <f t="shared" si="45"/>
        <v>0</v>
      </c>
      <c r="EY54" s="131"/>
      <c r="EZ54" s="187">
        <f t="shared" si="46"/>
        <v>0</v>
      </c>
      <c r="FA54" s="188" t="e">
        <f t="shared" si="47"/>
        <v>#DIV/0!</v>
      </c>
      <c r="FB54" s="189"/>
      <c r="FC54" s="131"/>
      <c r="FD54" s="131"/>
      <c r="FE54" s="131"/>
      <c r="FF54" s="131"/>
      <c r="FG54" s="131"/>
    </row>
    <row r="55" spans="2:163" ht="16" outlineLevel="1" thickBot="1" x14ac:dyDescent="0.4">
      <c r="B55" s="358"/>
      <c r="C55" s="355"/>
      <c r="D55" s="204"/>
      <c r="E55" s="205"/>
      <c r="F55" s="135"/>
      <c r="G55" s="206"/>
      <c r="H55" s="137"/>
      <c r="I55" s="138">
        <f t="shared" si="0"/>
        <v>0</v>
      </c>
      <c r="J55" s="139"/>
      <c r="K55" s="208">
        <f t="shared" si="49"/>
        <v>0</v>
      </c>
      <c r="L55" s="141"/>
      <c r="M55" s="209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09"/>
      <c r="AB55" s="210"/>
      <c r="AC55" s="210"/>
      <c r="AD55" s="210"/>
      <c r="AE55" s="210"/>
      <c r="AF55" s="210"/>
      <c r="AG55" s="210"/>
      <c r="AH55" s="210"/>
      <c r="AI55" s="210"/>
      <c r="AJ55" s="210"/>
      <c r="AK55" s="210"/>
      <c r="AL55" s="210"/>
      <c r="AM55" s="211"/>
      <c r="AN55" s="197">
        <f t="shared" si="2"/>
        <v>0</v>
      </c>
      <c r="AO55" s="146"/>
      <c r="AP55" s="147">
        <f t="shared" si="3"/>
        <v>0</v>
      </c>
      <c r="AQ55" s="148"/>
      <c r="AR55" s="198"/>
      <c r="AS55" s="198"/>
      <c r="AT55" s="135"/>
      <c r="AU55" s="199"/>
      <c r="AV55" s="200"/>
      <c r="AW55" s="200"/>
      <c r="AX55" s="200"/>
      <c r="AY55" s="200"/>
      <c r="AZ55" s="200"/>
      <c r="BA55" s="200"/>
      <c r="BB55" s="200"/>
      <c r="BC55" s="200"/>
      <c r="BD55" s="200"/>
      <c r="BE55" s="200"/>
      <c r="BF55" s="201"/>
      <c r="BG55" s="201"/>
      <c r="BH55" s="201"/>
      <c r="BI55" s="201"/>
      <c r="BJ55" s="201"/>
      <c r="BK55" s="201"/>
      <c r="BL55" s="201"/>
      <c r="BM55" s="201"/>
      <c r="BN55" s="201"/>
      <c r="BO55" s="201"/>
      <c r="BP55" s="201"/>
      <c r="BQ55" s="201"/>
      <c r="BR55" s="199"/>
      <c r="BS55" s="200"/>
      <c r="BT55" s="200"/>
      <c r="BU55" s="200"/>
      <c r="BV55" s="200"/>
      <c r="BW55" s="200"/>
      <c r="BX55" s="200"/>
      <c r="BY55" s="200"/>
      <c r="BZ55" s="200"/>
      <c r="CA55" s="200"/>
      <c r="CB55" s="200"/>
      <c r="CC55" s="202"/>
      <c r="CD55" s="199"/>
      <c r="CE55" s="194"/>
      <c r="CF55" s="195"/>
      <c r="CG55" s="195"/>
      <c r="CH55" s="195"/>
      <c r="CI55" s="195"/>
      <c r="CJ55" s="195"/>
      <c r="CK55" s="195"/>
      <c r="CL55" s="195"/>
      <c r="CM55" s="195"/>
      <c r="CN55" s="195"/>
      <c r="CO55" s="347"/>
      <c r="CP55" s="200"/>
      <c r="CQ55" s="201"/>
      <c r="CR55" s="202"/>
      <c r="CS55" s="203">
        <f>SUM(AU55:CR55)</f>
        <v>0</v>
      </c>
      <c r="CT55" s="146"/>
      <c r="CU55" s="147">
        <f t="shared" si="4"/>
        <v>0</v>
      </c>
      <c r="CV55" s="156"/>
      <c r="CW55" s="157" t="e">
        <f t="shared" si="5"/>
        <v>#DIV/0!</v>
      </c>
      <c r="CX55" s="157" t="e">
        <f t="shared" si="6"/>
        <v>#DIV/0!</v>
      </c>
      <c r="CY55" s="157" t="e">
        <f>(SUM(AU55:BQ55))/$K55</f>
        <v>#DIV/0!</v>
      </c>
      <c r="CZ55" s="157" t="e">
        <f t="shared" si="8"/>
        <v>#DIV/0!</v>
      </c>
      <c r="DA55" s="157" t="e">
        <f t="shared" si="9"/>
        <v>#DIV/0!</v>
      </c>
      <c r="DB55" s="158" t="e">
        <f t="shared" si="10"/>
        <v>#DIV/0!</v>
      </c>
      <c r="DC55" s="131"/>
      <c r="DD55" s="159">
        <f>AP55</f>
        <v>0</v>
      </c>
      <c r="DE55" s="160">
        <f>CS55</f>
        <v>0</v>
      </c>
      <c r="DF55" s="161">
        <f>$DD55-DE55</f>
        <v>0</v>
      </c>
      <c r="DG55" s="162" t="e">
        <f>DF55/$DD55</f>
        <v>#DIV/0!</v>
      </c>
      <c r="DH55" s="163">
        <f>IF(AP55&gt;0.01,1,0)</f>
        <v>0</v>
      </c>
      <c r="DI55" s="164"/>
      <c r="DJ55" s="165">
        <f t="shared" si="50"/>
        <v>0</v>
      </c>
      <c r="DK55" s="166">
        <f t="shared" si="50"/>
        <v>0</v>
      </c>
      <c r="DL55" s="167" t="e">
        <f>DR55/DF55</f>
        <v>#DIV/0!</v>
      </c>
      <c r="DM55" s="168" t="e">
        <f>DL55/DK55</f>
        <v>#DIV/0!</v>
      </c>
      <c r="DN55" s="163" t="e">
        <f>IF(DM55&gt;0.01,1,0)</f>
        <v>#DIV/0!</v>
      </c>
      <c r="DO55" s="169"/>
      <c r="DP55" s="170"/>
      <c r="DQ55" s="171"/>
      <c r="DR55" s="172">
        <f>DP55+DQ55</f>
        <v>0</v>
      </c>
      <c r="DS55" s="173" t="e">
        <f>IF(DL55=0,0,DP55/DR55)</f>
        <v>#DIV/0!</v>
      </c>
      <c r="DT55" s="163" t="e">
        <f>IF(DS55&gt;0.01,1,0)</f>
        <v>#DIV/0!</v>
      </c>
      <c r="DU55" s="174"/>
      <c r="DV55" s="175" t="e">
        <f>DG55*DM55*DS55</f>
        <v>#DIV/0!</v>
      </c>
      <c r="DW55" s="163">
        <f t="shared" si="24"/>
        <v>0</v>
      </c>
      <c r="DX55" s="164"/>
      <c r="DY55" s="176">
        <f>DP55</f>
        <v>0</v>
      </c>
      <c r="DZ55" s="177">
        <f>DK55</f>
        <v>0</v>
      </c>
      <c r="EA55" s="178">
        <f>+AP55</f>
        <v>0</v>
      </c>
      <c r="EB55" s="179">
        <f>DZ55*EA55</f>
        <v>0</v>
      </c>
      <c r="EC55" s="180"/>
      <c r="ED55" s="175" t="e">
        <f>DY55/EB55</f>
        <v>#DIV/0!</v>
      </c>
      <c r="EE55" s="163">
        <f t="shared" si="30"/>
        <v>0</v>
      </c>
      <c r="EF55" s="164"/>
      <c r="EG55" s="181">
        <f>DP55</f>
        <v>0</v>
      </c>
      <c r="EH55" s="182">
        <f t="shared" si="32"/>
        <v>0</v>
      </c>
      <c r="EI55" s="182">
        <f t="shared" si="33"/>
        <v>0</v>
      </c>
      <c r="EJ55" s="182">
        <f t="shared" si="34"/>
        <v>0</v>
      </c>
      <c r="EK55" s="183">
        <f>(EH55-EI55)*EJ55</f>
        <v>0</v>
      </c>
      <c r="EL55" s="184" t="e">
        <f>EG55/EK55</f>
        <v>#DIV/0!</v>
      </c>
      <c r="EM55" s="185">
        <f>IF(EK55&gt;0.01,1,0)</f>
        <v>0</v>
      </c>
      <c r="EN55" s="164"/>
      <c r="EO55" s="181">
        <f>EG55</f>
        <v>0</v>
      </c>
      <c r="EP55" s="183">
        <f>EJ55</f>
        <v>0</v>
      </c>
      <c r="EQ55" s="184" t="e">
        <f t="shared" si="40"/>
        <v>#DIV/0!</v>
      </c>
      <c r="ER55" s="185">
        <f t="shared" si="41"/>
        <v>0</v>
      </c>
      <c r="ES55" s="164"/>
      <c r="ET55" s="164"/>
      <c r="EU55" s="186">
        <f>DK55</f>
        <v>0</v>
      </c>
      <c r="EV55" s="186">
        <f>CU55</f>
        <v>0</v>
      </c>
      <c r="EW55" s="186">
        <f t="shared" si="44"/>
        <v>0</v>
      </c>
      <c r="EX55" s="186">
        <f>DR55</f>
        <v>0</v>
      </c>
      <c r="EY55" s="131"/>
      <c r="EZ55" s="187">
        <f>EW55-EX55</f>
        <v>0</v>
      </c>
      <c r="FA55" s="188" t="e">
        <f t="shared" si="47"/>
        <v>#DIV/0!</v>
      </c>
      <c r="FB55" s="189"/>
      <c r="FC55" s="131"/>
      <c r="FD55" s="131"/>
      <c r="FE55" s="131"/>
      <c r="FF55" s="131"/>
      <c r="FG55" s="131"/>
    </row>
    <row r="56" spans="2:163" ht="16" outlineLevel="1" thickBot="1" x14ac:dyDescent="0.4">
      <c r="B56" s="356"/>
      <c r="C56" s="353"/>
      <c r="D56" s="133"/>
      <c r="E56" s="134"/>
      <c r="F56" s="135"/>
      <c r="G56" s="136"/>
      <c r="H56" s="137"/>
      <c r="I56" s="138">
        <f>IF(E56&gt;0.0001,11,0)</f>
        <v>0</v>
      </c>
      <c r="J56" s="139"/>
      <c r="K56" s="140">
        <f>E56*60</f>
        <v>0</v>
      </c>
      <c r="L56" s="141"/>
      <c r="M56" s="142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2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4"/>
      <c r="AN56" s="145">
        <f t="shared" si="2"/>
        <v>0</v>
      </c>
      <c r="AO56" s="146"/>
      <c r="AP56" s="147">
        <f t="shared" si="3"/>
        <v>0</v>
      </c>
      <c r="AQ56" s="148"/>
      <c r="AR56" s="149"/>
      <c r="AS56" s="149"/>
      <c r="AT56" s="135"/>
      <c r="AU56" s="150"/>
      <c r="AV56" s="151"/>
      <c r="AW56" s="151"/>
      <c r="AX56" s="151"/>
      <c r="AY56" s="151"/>
      <c r="AZ56" s="151"/>
      <c r="BA56" s="151"/>
      <c r="BB56" s="151"/>
      <c r="BC56" s="151"/>
      <c r="BD56" s="151"/>
      <c r="BE56" s="151"/>
      <c r="BF56" s="152"/>
      <c r="BG56" s="152"/>
      <c r="BH56" s="152"/>
      <c r="BI56" s="152"/>
      <c r="BJ56" s="152"/>
      <c r="BK56" s="152"/>
      <c r="BL56" s="152"/>
      <c r="BM56" s="152"/>
      <c r="BN56" s="152"/>
      <c r="BO56" s="152"/>
      <c r="BP56" s="152"/>
      <c r="BQ56" s="152"/>
      <c r="BR56" s="150"/>
      <c r="BS56" s="151"/>
      <c r="BT56" s="151"/>
      <c r="BU56" s="151"/>
      <c r="BV56" s="151"/>
      <c r="BW56" s="151"/>
      <c r="BX56" s="151"/>
      <c r="BY56" s="151"/>
      <c r="BZ56" s="151"/>
      <c r="CA56" s="151"/>
      <c r="CB56" s="151"/>
      <c r="CC56" s="154"/>
      <c r="CD56" s="150"/>
      <c r="CE56" s="142"/>
      <c r="CF56" s="143"/>
      <c r="CG56" s="143"/>
      <c r="CH56" s="143"/>
      <c r="CI56" s="143"/>
      <c r="CJ56" s="143"/>
      <c r="CK56" s="143"/>
      <c r="CL56" s="143"/>
      <c r="CM56" s="143"/>
      <c r="CN56" s="143"/>
      <c r="CO56" s="346"/>
      <c r="CP56" s="151"/>
      <c r="CQ56" s="152"/>
      <c r="CR56" s="154"/>
      <c r="CS56" s="155">
        <f t="shared" si="48"/>
        <v>0</v>
      </c>
      <c r="CT56" s="146"/>
      <c r="CU56" s="147">
        <f t="shared" si="4"/>
        <v>0</v>
      </c>
      <c r="CV56" s="156"/>
      <c r="CW56" s="157" t="e">
        <f t="shared" si="5"/>
        <v>#DIV/0!</v>
      </c>
      <c r="CX56" s="157" t="e">
        <f t="shared" si="6"/>
        <v>#DIV/0!</v>
      </c>
      <c r="CY56" s="157" t="e">
        <f t="shared" si="7"/>
        <v>#DIV/0!</v>
      </c>
      <c r="CZ56" s="157" t="e">
        <f t="shared" si="8"/>
        <v>#DIV/0!</v>
      </c>
      <c r="DA56" s="157" t="e">
        <f t="shared" si="9"/>
        <v>#DIV/0!</v>
      </c>
      <c r="DB56" s="158" t="e">
        <f t="shared" si="10"/>
        <v>#DIV/0!</v>
      </c>
      <c r="DC56" s="131"/>
      <c r="DD56" s="159">
        <f t="shared" si="11"/>
        <v>0</v>
      </c>
      <c r="DE56" s="160">
        <f t="shared" si="12"/>
        <v>0</v>
      </c>
      <c r="DF56" s="161">
        <f t="shared" si="13"/>
        <v>0</v>
      </c>
      <c r="DG56" s="162" t="e">
        <f t="shared" si="14"/>
        <v>#DIV/0!</v>
      </c>
      <c r="DH56" s="163">
        <f t="shared" si="15"/>
        <v>0</v>
      </c>
      <c r="DI56" s="164"/>
      <c r="DJ56" s="165">
        <f t="shared" si="50"/>
        <v>0</v>
      </c>
      <c r="DK56" s="166">
        <f t="shared" si="50"/>
        <v>0</v>
      </c>
      <c r="DL56" s="167" t="e">
        <f t="shared" si="17"/>
        <v>#DIV/0!</v>
      </c>
      <c r="DM56" s="168" t="e">
        <f t="shared" si="18"/>
        <v>#DIV/0!</v>
      </c>
      <c r="DN56" s="163" t="e">
        <f t="shared" si="19"/>
        <v>#DIV/0!</v>
      </c>
      <c r="DO56" s="169"/>
      <c r="DP56" s="170"/>
      <c r="DQ56" s="171"/>
      <c r="DR56" s="172">
        <f t="shared" si="20"/>
        <v>0</v>
      </c>
      <c r="DS56" s="173" t="e">
        <f t="shared" si="21"/>
        <v>#DIV/0!</v>
      </c>
      <c r="DT56" s="163" t="e">
        <f t="shared" si="22"/>
        <v>#DIV/0!</v>
      </c>
      <c r="DU56" s="174"/>
      <c r="DV56" s="175" t="e">
        <f t="shared" si="23"/>
        <v>#DIV/0!</v>
      </c>
      <c r="DW56" s="163">
        <f t="shared" si="24"/>
        <v>0</v>
      </c>
      <c r="DX56" s="164"/>
      <c r="DY56" s="176">
        <f t="shared" si="25"/>
        <v>0</v>
      </c>
      <c r="DZ56" s="177">
        <f t="shared" si="26"/>
        <v>0</v>
      </c>
      <c r="EA56" s="178">
        <f t="shared" si="27"/>
        <v>0</v>
      </c>
      <c r="EB56" s="179">
        <f t="shared" si="28"/>
        <v>0</v>
      </c>
      <c r="EC56" s="180"/>
      <c r="ED56" s="175" t="e">
        <f t="shared" si="29"/>
        <v>#DIV/0!</v>
      </c>
      <c r="EE56" s="163">
        <f t="shared" si="30"/>
        <v>0</v>
      </c>
      <c r="EF56" s="164"/>
      <c r="EG56" s="181">
        <f t="shared" si="31"/>
        <v>0</v>
      </c>
      <c r="EH56" s="182">
        <f t="shared" si="32"/>
        <v>0</v>
      </c>
      <c r="EI56" s="182">
        <f t="shared" si="33"/>
        <v>0</v>
      </c>
      <c r="EJ56" s="182">
        <f t="shared" si="34"/>
        <v>0</v>
      </c>
      <c r="EK56" s="183">
        <f t="shared" si="35"/>
        <v>0</v>
      </c>
      <c r="EL56" s="184" t="e">
        <f t="shared" si="36"/>
        <v>#DIV/0!</v>
      </c>
      <c r="EM56" s="185">
        <f t="shared" si="37"/>
        <v>0</v>
      </c>
      <c r="EN56" s="164"/>
      <c r="EO56" s="181">
        <f t="shared" si="38"/>
        <v>0</v>
      </c>
      <c r="EP56" s="183">
        <f t="shared" si="39"/>
        <v>0</v>
      </c>
      <c r="EQ56" s="184" t="e">
        <f t="shared" si="40"/>
        <v>#DIV/0!</v>
      </c>
      <c r="ER56" s="185">
        <f t="shared" si="41"/>
        <v>0</v>
      </c>
      <c r="ES56" s="164"/>
      <c r="ET56" s="164"/>
      <c r="EU56" s="186">
        <f t="shared" si="42"/>
        <v>0</v>
      </c>
      <c r="EV56" s="186">
        <f t="shared" si="43"/>
        <v>0</v>
      </c>
      <c r="EW56" s="186">
        <f t="shared" si="44"/>
        <v>0</v>
      </c>
      <c r="EX56" s="186">
        <f t="shared" si="45"/>
        <v>0</v>
      </c>
      <c r="EY56" s="131"/>
      <c r="EZ56" s="187">
        <f t="shared" si="46"/>
        <v>0</v>
      </c>
      <c r="FA56" s="188" t="e">
        <f t="shared" si="47"/>
        <v>#DIV/0!</v>
      </c>
      <c r="FB56" s="189"/>
      <c r="FC56" s="131"/>
      <c r="FD56" s="131"/>
      <c r="FE56" s="131"/>
      <c r="FF56" s="131"/>
      <c r="FG56" s="131"/>
    </row>
    <row r="57" spans="2:163" s="220" customFormat="1" ht="16" outlineLevel="1" thickBot="1" x14ac:dyDescent="0.4">
      <c r="B57" s="357"/>
      <c r="C57" s="354"/>
      <c r="D57" s="240"/>
      <c r="E57" s="191"/>
      <c r="F57" s="135"/>
      <c r="G57" s="192"/>
      <c r="H57" s="137"/>
      <c r="I57" s="138">
        <f>IF(E57&gt;0.0001,11,0)</f>
        <v>0</v>
      </c>
      <c r="J57" s="139"/>
      <c r="K57" s="193">
        <f t="shared" ref="K57:K58" si="51">E57*60</f>
        <v>0</v>
      </c>
      <c r="L57" s="141"/>
      <c r="M57" s="194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4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6"/>
      <c r="AN57" s="197">
        <f t="shared" si="2"/>
        <v>0</v>
      </c>
      <c r="AO57" s="146"/>
      <c r="AP57" s="147">
        <f t="shared" si="3"/>
        <v>0</v>
      </c>
      <c r="AQ57" s="221"/>
      <c r="AR57" s="198"/>
      <c r="AS57" s="198"/>
      <c r="AT57" s="222"/>
      <c r="AU57" s="228"/>
      <c r="AV57" s="229"/>
      <c r="AW57" s="229"/>
      <c r="AX57" s="229"/>
      <c r="AY57" s="229"/>
      <c r="AZ57" s="229"/>
      <c r="BA57" s="229"/>
      <c r="BB57" s="229"/>
      <c r="BC57" s="229"/>
      <c r="BD57" s="229"/>
      <c r="BE57" s="229"/>
      <c r="BF57" s="230"/>
      <c r="BG57" s="230"/>
      <c r="BH57" s="230"/>
      <c r="BI57" s="230"/>
      <c r="BJ57" s="230"/>
      <c r="BK57" s="230"/>
      <c r="BL57" s="230"/>
      <c r="BM57" s="230"/>
      <c r="BN57" s="230"/>
      <c r="BO57" s="230"/>
      <c r="BP57" s="230"/>
      <c r="BQ57" s="230"/>
      <c r="BR57" s="228"/>
      <c r="BS57" s="229"/>
      <c r="BT57" s="229"/>
      <c r="BU57" s="229"/>
      <c r="BV57" s="229"/>
      <c r="BW57" s="229"/>
      <c r="BX57" s="229"/>
      <c r="BY57" s="229"/>
      <c r="BZ57" s="229"/>
      <c r="CA57" s="229"/>
      <c r="CB57" s="229"/>
      <c r="CC57" s="231"/>
      <c r="CD57" s="228"/>
      <c r="CE57" s="194"/>
      <c r="CF57" s="195"/>
      <c r="CG57" s="195"/>
      <c r="CH57" s="195"/>
      <c r="CI57" s="195"/>
      <c r="CJ57" s="195"/>
      <c r="CK57" s="195"/>
      <c r="CL57" s="195"/>
      <c r="CM57" s="195"/>
      <c r="CN57" s="195"/>
      <c r="CO57" s="350"/>
      <c r="CP57" s="229"/>
      <c r="CQ57" s="230"/>
      <c r="CR57" s="231"/>
      <c r="CS57" s="232">
        <f t="shared" si="48"/>
        <v>0</v>
      </c>
      <c r="CT57" s="146"/>
      <c r="CU57" s="147">
        <f t="shared" si="4"/>
        <v>0</v>
      </c>
      <c r="CV57" s="156"/>
      <c r="CW57" s="157" t="e">
        <f t="shared" si="5"/>
        <v>#DIV/0!</v>
      </c>
      <c r="CX57" s="157" t="e">
        <f t="shared" si="6"/>
        <v>#DIV/0!</v>
      </c>
      <c r="CY57" s="157" t="e">
        <f t="shared" si="7"/>
        <v>#DIV/0!</v>
      </c>
      <c r="CZ57" s="157" t="e">
        <f t="shared" si="8"/>
        <v>#DIV/0!</v>
      </c>
      <c r="DA57" s="157" t="e">
        <f t="shared" si="9"/>
        <v>#DIV/0!</v>
      </c>
      <c r="DB57" s="158" t="e">
        <f t="shared" si="10"/>
        <v>#DIV/0!</v>
      </c>
      <c r="DC57" s="131"/>
      <c r="DD57" s="159">
        <f t="shared" si="11"/>
        <v>0</v>
      </c>
      <c r="DE57" s="160">
        <f t="shared" si="12"/>
        <v>0</v>
      </c>
      <c r="DF57" s="161">
        <f t="shared" si="13"/>
        <v>0</v>
      </c>
      <c r="DG57" s="162" t="e">
        <f t="shared" si="14"/>
        <v>#DIV/0!</v>
      </c>
      <c r="DH57" s="163">
        <f t="shared" si="15"/>
        <v>0</v>
      </c>
      <c r="DI57" s="164"/>
      <c r="DJ57" s="165">
        <f t="shared" si="50"/>
        <v>0</v>
      </c>
      <c r="DK57" s="166">
        <f t="shared" si="50"/>
        <v>0</v>
      </c>
      <c r="DL57" s="167" t="e">
        <f t="shared" si="17"/>
        <v>#DIV/0!</v>
      </c>
      <c r="DM57" s="168" t="e">
        <f t="shared" si="18"/>
        <v>#DIV/0!</v>
      </c>
      <c r="DN57" s="163" t="e">
        <f t="shared" si="19"/>
        <v>#DIV/0!</v>
      </c>
      <c r="DO57" s="169"/>
      <c r="DP57" s="170"/>
      <c r="DQ57" s="171"/>
      <c r="DR57" s="172">
        <f t="shared" si="20"/>
        <v>0</v>
      </c>
      <c r="DS57" s="173" t="e">
        <f t="shared" si="21"/>
        <v>#DIV/0!</v>
      </c>
      <c r="DT57" s="163" t="e">
        <f t="shared" si="22"/>
        <v>#DIV/0!</v>
      </c>
      <c r="DU57" s="174"/>
      <c r="DV57" s="175" t="e">
        <f t="shared" si="23"/>
        <v>#DIV/0!</v>
      </c>
      <c r="DW57" s="163">
        <f t="shared" si="24"/>
        <v>0</v>
      </c>
      <c r="DX57" s="164"/>
      <c r="DY57" s="176">
        <f t="shared" si="25"/>
        <v>0</v>
      </c>
      <c r="DZ57" s="177">
        <f t="shared" si="26"/>
        <v>0</v>
      </c>
      <c r="EA57" s="178">
        <f t="shared" si="27"/>
        <v>0</v>
      </c>
      <c r="EB57" s="179">
        <f t="shared" si="28"/>
        <v>0</v>
      </c>
      <c r="EC57" s="180"/>
      <c r="ED57" s="175" t="e">
        <f t="shared" si="29"/>
        <v>#DIV/0!</v>
      </c>
      <c r="EE57" s="163">
        <f t="shared" si="30"/>
        <v>0</v>
      </c>
      <c r="EF57" s="164"/>
      <c r="EG57" s="181">
        <f t="shared" si="31"/>
        <v>0</v>
      </c>
      <c r="EH57" s="182">
        <f t="shared" si="32"/>
        <v>0</v>
      </c>
      <c r="EI57" s="182">
        <f t="shared" si="33"/>
        <v>0</v>
      </c>
      <c r="EJ57" s="182">
        <f t="shared" si="34"/>
        <v>0</v>
      </c>
      <c r="EK57" s="183">
        <f t="shared" si="35"/>
        <v>0</v>
      </c>
      <c r="EL57" s="184" t="e">
        <f t="shared" si="36"/>
        <v>#DIV/0!</v>
      </c>
      <c r="EM57" s="185">
        <f t="shared" si="37"/>
        <v>0</v>
      </c>
      <c r="EN57" s="164"/>
      <c r="EO57" s="181">
        <f t="shared" si="38"/>
        <v>0</v>
      </c>
      <c r="EP57" s="183">
        <f t="shared" si="39"/>
        <v>0</v>
      </c>
      <c r="EQ57" s="184" t="e">
        <f t="shared" si="40"/>
        <v>#DIV/0!</v>
      </c>
      <c r="ER57" s="185">
        <f t="shared" si="41"/>
        <v>0</v>
      </c>
      <c r="ES57" s="164"/>
      <c r="ET57" s="164"/>
      <c r="EU57" s="186">
        <f t="shared" si="42"/>
        <v>0</v>
      </c>
      <c r="EV57" s="186">
        <f t="shared" si="43"/>
        <v>0</v>
      </c>
      <c r="EW57" s="186">
        <f t="shared" si="44"/>
        <v>0</v>
      </c>
      <c r="EX57" s="186">
        <f t="shared" si="45"/>
        <v>0</v>
      </c>
      <c r="EY57" s="131"/>
      <c r="EZ57" s="187">
        <f t="shared" si="46"/>
        <v>0</v>
      </c>
      <c r="FA57" s="188" t="e">
        <f t="shared" si="47"/>
        <v>#DIV/0!</v>
      </c>
      <c r="FB57" s="189"/>
      <c r="FC57" s="219"/>
      <c r="FD57" s="219"/>
      <c r="FE57" s="219"/>
      <c r="FF57" s="219"/>
      <c r="FG57" s="219"/>
    </row>
    <row r="58" spans="2:163" ht="16" outlineLevel="1" thickBot="1" x14ac:dyDescent="0.4">
      <c r="B58" s="358"/>
      <c r="C58" s="355"/>
      <c r="D58" s="243"/>
      <c r="E58" s="244"/>
      <c r="F58" s="135"/>
      <c r="G58" s="192"/>
      <c r="H58" s="137"/>
      <c r="I58" s="138">
        <f t="shared" si="0"/>
        <v>0</v>
      </c>
      <c r="J58" s="139"/>
      <c r="K58" s="208">
        <f t="shared" si="51"/>
        <v>0</v>
      </c>
      <c r="L58" s="141"/>
      <c r="M58" s="209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09"/>
      <c r="AB58" s="210"/>
      <c r="AC58" s="210"/>
      <c r="AD58" s="210"/>
      <c r="AE58" s="210"/>
      <c r="AF58" s="210"/>
      <c r="AG58" s="210"/>
      <c r="AH58" s="210"/>
      <c r="AI58" s="210"/>
      <c r="AJ58" s="210"/>
      <c r="AK58" s="210"/>
      <c r="AL58" s="210"/>
      <c r="AM58" s="211"/>
      <c r="AN58" s="212">
        <f t="shared" si="2"/>
        <v>0</v>
      </c>
      <c r="AO58" s="146"/>
      <c r="AP58" s="147">
        <f t="shared" si="3"/>
        <v>0</v>
      </c>
      <c r="AQ58" s="148"/>
      <c r="AR58" s="213"/>
      <c r="AS58" s="213"/>
      <c r="AT58" s="135"/>
      <c r="AU58" s="214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6"/>
      <c r="BG58" s="216"/>
      <c r="BH58" s="216"/>
      <c r="BI58" s="216"/>
      <c r="BJ58" s="216"/>
      <c r="BK58" s="216"/>
      <c r="BL58" s="216"/>
      <c r="BM58" s="216"/>
      <c r="BN58" s="216"/>
      <c r="BO58" s="216"/>
      <c r="BP58" s="216"/>
      <c r="BQ58" s="216"/>
      <c r="BR58" s="214"/>
      <c r="BS58" s="215"/>
      <c r="BT58" s="215"/>
      <c r="BU58" s="215"/>
      <c r="BV58" s="215"/>
      <c r="BW58" s="215"/>
      <c r="BX58" s="215"/>
      <c r="BY58" s="215"/>
      <c r="BZ58" s="215"/>
      <c r="CA58" s="215"/>
      <c r="CB58" s="215"/>
      <c r="CC58" s="217"/>
      <c r="CD58" s="214"/>
      <c r="CE58" s="209"/>
      <c r="CF58" s="210"/>
      <c r="CG58" s="210"/>
      <c r="CH58" s="210"/>
      <c r="CI58" s="210"/>
      <c r="CJ58" s="210"/>
      <c r="CK58" s="210"/>
      <c r="CL58" s="210"/>
      <c r="CM58" s="210"/>
      <c r="CN58" s="210"/>
      <c r="CO58" s="348"/>
      <c r="CP58" s="215"/>
      <c r="CQ58" s="216"/>
      <c r="CR58" s="217"/>
      <c r="CS58" s="218">
        <f t="shared" si="48"/>
        <v>0</v>
      </c>
      <c r="CT58" s="146"/>
      <c r="CU58" s="147">
        <f t="shared" si="4"/>
        <v>0</v>
      </c>
      <c r="CV58" s="156"/>
      <c r="CW58" s="157" t="e">
        <f t="shared" si="5"/>
        <v>#DIV/0!</v>
      </c>
      <c r="CX58" s="157" t="e">
        <f t="shared" si="6"/>
        <v>#DIV/0!</v>
      </c>
      <c r="CY58" s="157" t="e">
        <f t="shared" si="7"/>
        <v>#DIV/0!</v>
      </c>
      <c r="CZ58" s="157" t="e">
        <f t="shared" si="8"/>
        <v>#DIV/0!</v>
      </c>
      <c r="DA58" s="157" t="e">
        <f t="shared" si="9"/>
        <v>#DIV/0!</v>
      </c>
      <c r="DB58" s="158" t="e">
        <f t="shared" si="10"/>
        <v>#DIV/0!</v>
      </c>
      <c r="DC58" s="131"/>
      <c r="DD58" s="159">
        <f t="shared" si="11"/>
        <v>0</v>
      </c>
      <c r="DE58" s="160">
        <f t="shared" si="12"/>
        <v>0</v>
      </c>
      <c r="DF58" s="161">
        <f t="shared" si="13"/>
        <v>0</v>
      </c>
      <c r="DG58" s="162" t="e">
        <f t="shared" si="14"/>
        <v>#DIV/0!</v>
      </c>
      <c r="DH58" s="163">
        <f t="shared" si="15"/>
        <v>0</v>
      </c>
      <c r="DI58" s="164"/>
      <c r="DJ58" s="165">
        <f t="shared" si="50"/>
        <v>0</v>
      </c>
      <c r="DK58" s="166">
        <f t="shared" si="50"/>
        <v>0</v>
      </c>
      <c r="DL58" s="167" t="e">
        <f t="shared" si="17"/>
        <v>#DIV/0!</v>
      </c>
      <c r="DM58" s="168" t="e">
        <f t="shared" si="18"/>
        <v>#DIV/0!</v>
      </c>
      <c r="DN58" s="163" t="e">
        <f t="shared" si="19"/>
        <v>#DIV/0!</v>
      </c>
      <c r="DO58" s="169"/>
      <c r="DP58" s="170"/>
      <c r="DQ58" s="171"/>
      <c r="DR58" s="172">
        <f t="shared" si="20"/>
        <v>0</v>
      </c>
      <c r="DS58" s="173" t="e">
        <f t="shared" si="21"/>
        <v>#DIV/0!</v>
      </c>
      <c r="DT58" s="163" t="e">
        <f t="shared" si="22"/>
        <v>#DIV/0!</v>
      </c>
      <c r="DU58" s="174"/>
      <c r="DV58" s="175" t="e">
        <f t="shared" si="23"/>
        <v>#DIV/0!</v>
      </c>
      <c r="DW58" s="163">
        <f t="shared" si="24"/>
        <v>0</v>
      </c>
      <c r="DX58" s="164"/>
      <c r="DY58" s="176">
        <f t="shared" si="25"/>
        <v>0</v>
      </c>
      <c r="DZ58" s="177">
        <f t="shared" si="26"/>
        <v>0</v>
      </c>
      <c r="EA58" s="178">
        <f t="shared" si="27"/>
        <v>0</v>
      </c>
      <c r="EB58" s="179">
        <f t="shared" si="28"/>
        <v>0</v>
      </c>
      <c r="EC58" s="180"/>
      <c r="ED58" s="175" t="e">
        <f t="shared" si="29"/>
        <v>#DIV/0!</v>
      </c>
      <c r="EE58" s="163">
        <f t="shared" si="30"/>
        <v>0</v>
      </c>
      <c r="EF58" s="164"/>
      <c r="EG58" s="181">
        <f t="shared" si="31"/>
        <v>0</v>
      </c>
      <c r="EH58" s="182">
        <f t="shared" si="32"/>
        <v>0</v>
      </c>
      <c r="EI58" s="182">
        <f t="shared" si="33"/>
        <v>0</v>
      </c>
      <c r="EJ58" s="182">
        <f t="shared" si="34"/>
        <v>0</v>
      </c>
      <c r="EK58" s="183">
        <f t="shared" si="35"/>
        <v>0</v>
      </c>
      <c r="EL58" s="184" t="e">
        <f t="shared" si="36"/>
        <v>#DIV/0!</v>
      </c>
      <c r="EM58" s="185">
        <f t="shared" si="37"/>
        <v>0</v>
      </c>
      <c r="EN58" s="164"/>
      <c r="EO58" s="181">
        <f t="shared" si="38"/>
        <v>0</v>
      </c>
      <c r="EP58" s="183">
        <f t="shared" si="39"/>
        <v>0</v>
      </c>
      <c r="EQ58" s="184" t="e">
        <f t="shared" si="40"/>
        <v>#DIV/0!</v>
      </c>
      <c r="ER58" s="185">
        <f t="shared" si="41"/>
        <v>0</v>
      </c>
      <c r="ES58" s="164"/>
      <c r="ET58" s="164"/>
      <c r="EU58" s="186">
        <f t="shared" si="42"/>
        <v>0</v>
      </c>
      <c r="EV58" s="186">
        <f t="shared" si="43"/>
        <v>0</v>
      </c>
      <c r="EW58" s="186">
        <f t="shared" si="44"/>
        <v>0</v>
      </c>
      <c r="EX58" s="186">
        <f t="shared" si="45"/>
        <v>0</v>
      </c>
      <c r="EY58" s="131"/>
      <c r="EZ58" s="187">
        <f t="shared" si="46"/>
        <v>0</v>
      </c>
      <c r="FA58" s="188" t="e">
        <f t="shared" si="47"/>
        <v>#DIV/0!</v>
      </c>
      <c r="FB58" s="189"/>
      <c r="FC58" s="219"/>
      <c r="FD58" s="219"/>
      <c r="FE58" s="131"/>
      <c r="FF58" s="131"/>
      <c r="FG58" s="131"/>
    </row>
    <row r="59" spans="2:163" s="220" customFormat="1" ht="16" outlineLevel="1" thickBot="1" x14ac:dyDescent="0.4">
      <c r="B59" s="356"/>
      <c r="C59" s="353"/>
      <c r="D59" s="133"/>
      <c r="E59" s="134"/>
      <c r="F59" s="135"/>
      <c r="G59" s="136"/>
      <c r="H59" s="137"/>
      <c r="I59" s="138">
        <f t="shared" si="0"/>
        <v>0</v>
      </c>
      <c r="J59" s="139"/>
      <c r="K59" s="140">
        <f>E59*60</f>
        <v>0</v>
      </c>
      <c r="L59" s="141"/>
      <c r="M59" s="142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2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4"/>
      <c r="AN59" s="145">
        <f t="shared" si="2"/>
        <v>0</v>
      </c>
      <c r="AO59" s="146"/>
      <c r="AP59" s="147">
        <f t="shared" si="3"/>
        <v>0</v>
      </c>
      <c r="AQ59" s="221"/>
      <c r="AR59" s="149"/>
      <c r="AS59" s="149"/>
      <c r="AT59" s="222"/>
      <c r="AU59" s="223"/>
      <c r="AV59" s="224"/>
      <c r="AW59" s="224"/>
      <c r="AX59" s="224"/>
      <c r="AY59" s="224"/>
      <c r="AZ59" s="224"/>
      <c r="BA59" s="224"/>
      <c r="BB59" s="224"/>
      <c r="BC59" s="224"/>
      <c r="BD59" s="224"/>
      <c r="BE59" s="224"/>
      <c r="BF59" s="225"/>
      <c r="BG59" s="225"/>
      <c r="BH59" s="225"/>
      <c r="BI59" s="225"/>
      <c r="BJ59" s="225"/>
      <c r="BK59" s="225"/>
      <c r="BL59" s="225"/>
      <c r="BM59" s="225"/>
      <c r="BN59" s="225"/>
      <c r="BO59" s="225"/>
      <c r="BP59" s="225"/>
      <c r="BQ59" s="225"/>
      <c r="BR59" s="223"/>
      <c r="BS59" s="224"/>
      <c r="BT59" s="224"/>
      <c r="BU59" s="224"/>
      <c r="BV59" s="224"/>
      <c r="BW59" s="224"/>
      <c r="BX59" s="224"/>
      <c r="BY59" s="224"/>
      <c r="BZ59" s="224"/>
      <c r="CA59" s="224"/>
      <c r="CB59" s="224"/>
      <c r="CC59" s="226"/>
      <c r="CD59" s="223"/>
      <c r="CE59" s="142"/>
      <c r="CF59" s="143"/>
      <c r="CG59" s="143"/>
      <c r="CH59" s="143"/>
      <c r="CI59" s="143"/>
      <c r="CJ59" s="143"/>
      <c r="CK59" s="143"/>
      <c r="CL59" s="143"/>
      <c r="CM59" s="143"/>
      <c r="CN59" s="143"/>
      <c r="CO59" s="349"/>
      <c r="CP59" s="224"/>
      <c r="CQ59" s="225"/>
      <c r="CR59" s="226"/>
      <c r="CS59" s="227">
        <f t="shared" si="48"/>
        <v>0</v>
      </c>
      <c r="CT59" s="146"/>
      <c r="CU59" s="147">
        <f t="shared" si="4"/>
        <v>0</v>
      </c>
      <c r="CV59" s="156"/>
      <c r="CW59" s="157" t="e">
        <f t="shared" si="5"/>
        <v>#DIV/0!</v>
      </c>
      <c r="CX59" s="157" t="e">
        <f t="shared" si="6"/>
        <v>#DIV/0!</v>
      </c>
      <c r="CY59" s="157" t="e">
        <f t="shared" si="7"/>
        <v>#DIV/0!</v>
      </c>
      <c r="CZ59" s="157" t="e">
        <f t="shared" si="8"/>
        <v>#DIV/0!</v>
      </c>
      <c r="DA59" s="157" t="e">
        <f t="shared" si="9"/>
        <v>#DIV/0!</v>
      </c>
      <c r="DB59" s="158" t="e">
        <f t="shared" si="10"/>
        <v>#DIV/0!</v>
      </c>
      <c r="DC59" s="131"/>
      <c r="DD59" s="159">
        <f t="shared" si="11"/>
        <v>0</v>
      </c>
      <c r="DE59" s="160">
        <f t="shared" si="12"/>
        <v>0</v>
      </c>
      <c r="DF59" s="161">
        <f t="shared" si="13"/>
        <v>0</v>
      </c>
      <c r="DG59" s="162" t="e">
        <f t="shared" si="14"/>
        <v>#DIV/0!</v>
      </c>
      <c r="DH59" s="163">
        <f t="shared" si="15"/>
        <v>0</v>
      </c>
      <c r="DI59" s="164"/>
      <c r="DJ59" s="165">
        <f t="shared" si="50"/>
        <v>0</v>
      </c>
      <c r="DK59" s="166">
        <f t="shared" si="50"/>
        <v>0</v>
      </c>
      <c r="DL59" s="167" t="e">
        <f t="shared" si="17"/>
        <v>#DIV/0!</v>
      </c>
      <c r="DM59" s="168" t="e">
        <f t="shared" si="18"/>
        <v>#DIV/0!</v>
      </c>
      <c r="DN59" s="163" t="e">
        <f t="shared" si="19"/>
        <v>#DIV/0!</v>
      </c>
      <c r="DO59" s="169"/>
      <c r="DP59" s="170"/>
      <c r="DQ59" s="171"/>
      <c r="DR59" s="172">
        <f t="shared" si="20"/>
        <v>0</v>
      </c>
      <c r="DS59" s="173" t="e">
        <f t="shared" si="21"/>
        <v>#DIV/0!</v>
      </c>
      <c r="DT59" s="163" t="e">
        <f t="shared" si="22"/>
        <v>#DIV/0!</v>
      </c>
      <c r="DU59" s="174"/>
      <c r="DV59" s="175" t="e">
        <f t="shared" si="23"/>
        <v>#DIV/0!</v>
      </c>
      <c r="DW59" s="163">
        <f t="shared" si="24"/>
        <v>0</v>
      </c>
      <c r="DX59" s="164"/>
      <c r="DY59" s="176">
        <f t="shared" si="25"/>
        <v>0</v>
      </c>
      <c r="DZ59" s="177">
        <f t="shared" si="26"/>
        <v>0</v>
      </c>
      <c r="EA59" s="178">
        <f t="shared" si="27"/>
        <v>0</v>
      </c>
      <c r="EB59" s="179">
        <f t="shared" si="28"/>
        <v>0</v>
      </c>
      <c r="EC59" s="180"/>
      <c r="ED59" s="175" t="e">
        <f t="shared" si="29"/>
        <v>#DIV/0!</v>
      </c>
      <c r="EE59" s="163">
        <f t="shared" si="30"/>
        <v>0</v>
      </c>
      <c r="EF59" s="164"/>
      <c r="EG59" s="181">
        <f t="shared" si="31"/>
        <v>0</v>
      </c>
      <c r="EH59" s="182">
        <f t="shared" si="32"/>
        <v>0</v>
      </c>
      <c r="EI59" s="182">
        <f t="shared" si="33"/>
        <v>0</v>
      </c>
      <c r="EJ59" s="182">
        <f t="shared" si="34"/>
        <v>0</v>
      </c>
      <c r="EK59" s="183">
        <f t="shared" si="35"/>
        <v>0</v>
      </c>
      <c r="EL59" s="184" t="e">
        <f t="shared" si="36"/>
        <v>#DIV/0!</v>
      </c>
      <c r="EM59" s="185">
        <f t="shared" si="37"/>
        <v>0</v>
      </c>
      <c r="EN59" s="164"/>
      <c r="EO59" s="181">
        <f t="shared" si="38"/>
        <v>0</v>
      </c>
      <c r="EP59" s="183">
        <f t="shared" si="39"/>
        <v>0</v>
      </c>
      <c r="EQ59" s="184" t="e">
        <f t="shared" si="40"/>
        <v>#DIV/0!</v>
      </c>
      <c r="ER59" s="185">
        <f t="shared" si="41"/>
        <v>0</v>
      </c>
      <c r="ES59" s="164"/>
      <c r="ET59" s="164"/>
      <c r="EU59" s="186">
        <f t="shared" si="42"/>
        <v>0</v>
      </c>
      <c r="EV59" s="186">
        <f t="shared" si="43"/>
        <v>0</v>
      </c>
      <c r="EW59" s="186">
        <f t="shared" si="44"/>
        <v>0</v>
      </c>
      <c r="EX59" s="186">
        <f t="shared" si="45"/>
        <v>0</v>
      </c>
      <c r="EY59" s="131"/>
      <c r="EZ59" s="187">
        <f t="shared" si="46"/>
        <v>0</v>
      </c>
      <c r="FA59" s="188" t="e">
        <f t="shared" si="47"/>
        <v>#DIV/0!</v>
      </c>
      <c r="FB59" s="189"/>
      <c r="FC59" s="219"/>
      <c r="FD59" s="219"/>
      <c r="FE59" s="219"/>
      <c r="FF59" s="219"/>
      <c r="FG59" s="219"/>
    </row>
    <row r="60" spans="2:163" s="220" customFormat="1" ht="16" outlineLevel="1" thickBot="1" x14ac:dyDescent="0.4">
      <c r="B60" s="357"/>
      <c r="C60" s="354"/>
      <c r="D60" s="240"/>
      <c r="E60" s="241"/>
      <c r="F60" s="135"/>
      <c r="G60" s="192"/>
      <c r="H60" s="242"/>
      <c r="I60" s="138">
        <f t="shared" si="0"/>
        <v>0</v>
      </c>
      <c r="J60" s="139"/>
      <c r="K60" s="193">
        <f t="shared" ref="K60:K61" si="52">E60*60</f>
        <v>0</v>
      </c>
      <c r="L60" s="141"/>
      <c r="M60" s="194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4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6"/>
      <c r="AN60" s="197">
        <f t="shared" si="2"/>
        <v>0</v>
      </c>
      <c r="AO60" s="146"/>
      <c r="AP60" s="147">
        <f t="shared" si="3"/>
        <v>0</v>
      </c>
      <c r="AQ60" s="221"/>
      <c r="AR60" s="198"/>
      <c r="AS60" s="198"/>
      <c r="AT60" s="222"/>
      <c r="AU60" s="228"/>
      <c r="AV60" s="229"/>
      <c r="AW60" s="229"/>
      <c r="AX60" s="229"/>
      <c r="AY60" s="229"/>
      <c r="AZ60" s="229"/>
      <c r="BA60" s="229"/>
      <c r="BB60" s="229"/>
      <c r="BC60" s="229"/>
      <c r="BD60" s="229"/>
      <c r="BE60" s="229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28"/>
      <c r="BS60" s="229"/>
      <c r="BT60" s="229"/>
      <c r="BU60" s="229"/>
      <c r="BV60" s="229"/>
      <c r="BW60" s="229"/>
      <c r="BX60" s="229"/>
      <c r="BY60" s="229"/>
      <c r="BZ60" s="229"/>
      <c r="CA60" s="229"/>
      <c r="CB60" s="229"/>
      <c r="CC60" s="231"/>
      <c r="CD60" s="228"/>
      <c r="CE60" s="194"/>
      <c r="CF60" s="195"/>
      <c r="CG60" s="195"/>
      <c r="CH60" s="195"/>
      <c r="CI60" s="195"/>
      <c r="CJ60" s="195"/>
      <c r="CK60" s="195"/>
      <c r="CL60" s="195"/>
      <c r="CM60" s="195"/>
      <c r="CN60" s="195"/>
      <c r="CO60" s="350"/>
      <c r="CP60" s="229"/>
      <c r="CQ60" s="230"/>
      <c r="CR60" s="231"/>
      <c r="CS60" s="232">
        <f t="shared" si="48"/>
        <v>0</v>
      </c>
      <c r="CT60" s="146"/>
      <c r="CU60" s="147">
        <f t="shared" si="4"/>
        <v>0</v>
      </c>
      <c r="CV60" s="156"/>
      <c r="CW60" s="157" t="e">
        <f t="shared" si="5"/>
        <v>#DIV/0!</v>
      </c>
      <c r="CX60" s="157" t="e">
        <f t="shared" si="6"/>
        <v>#DIV/0!</v>
      </c>
      <c r="CY60" s="157" t="e">
        <f t="shared" si="7"/>
        <v>#DIV/0!</v>
      </c>
      <c r="CZ60" s="157" t="e">
        <f t="shared" si="8"/>
        <v>#DIV/0!</v>
      </c>
      <c r="DA60" s="157" t="e">
        <f t="shared" si="9"/>
        <v>#DIV/0!</v>
      </c>
      <c r="DB60" s="158" t="e">
        <f t="shared" si="10"/>
        <v>#DIV/0!</v>
      </c>
      <c r="DC60" s="131"/>
      <c r="DD60" s="159">
        <f t="shared" si="11"/>
        <v>0</v>
      </c>
      <c r="DE60" s="160">
        <f t="shared" si="12"/>
        <v>0</v>
      </c>
      <c r="DF60" s="161">
        <f t="shared" si="13"/>
        <v>0</v>
      </c>
      <c r="DG60" s="162" t="e">
        <f t="shared" si="14"/>
        <v>#DIV/0!</v>
      </c>
      <c r="DH60" s="163">
        <f t="shared" si="15"/>
        <v>0</v>
      </c>
      <c r="DI60" s="164"/>
      <c r="DJ60" s="165">
        <f t="shared" si="50"/>
        <v>0</v>
      </c>
      <c r="DK60" s="166">
        <f t="shared" si="50"/>
        <v>0</v>
      </c>
      <c r="DL60" s="167" t="e">
        <f t="shared" si="17"/>
        <v>#DIV/0!</v>
      </c>
      <c r="DM60" s="168" t="e">
        <f t="shared" si="18"/>
        <v>#DIV/0!</v>
      </c>
      <c r="DN60" s="163" t="e">
        <f t="shared" si="19"/>
        <v>#DIV/0!</v>
      </c>
      <c r="DO60" s="169"/>
      <c r="DP60" s="170"/>
      <c r="DQ60" s="171"/>
      <c r="DR60" s="172">
        <f t="shared" si="20"/>
        <v>0</v>
      </c>
      <c r="DS60" s="173" t="e">
        <f t="shared" si="21"/>
        <v>#DIV/0!</v>
      </c>
      <c r="DT60" s="163" t="e">
        <f t="shared" si="22"/>
        <v>#DIV/0!</v>
      </c>
      <c r="DU60" s="174"/>
      <c r="DV60" s="175" t="e">
        <f t="shared" si="23"/>
        <v>#DIV/0!</v>
      </c>
      <c r="DW60" s="163">
        <f t="shared" si="24"/>
        <v>0</v>
      </c>
      <c r="DX60" s="164"/>
      <c r="DY60" s="176">
        <f t="shared" si="25"/>
        <v>0</v>
      </c>
      <c r="DZ60" s="177">
        <f t="shared" si="26"/>
        <v>0</v>
      </c>
      <c r="EA60" s="178">
        <f t="shared" si="27"/>
        <v>0</v>
      </c>
      <c r="EB60" s="179">
        <f t="shared" si="28"/>
        <v>0</v>
      </c>
      <c r="EC60" s="180"/>
      <c r="ED60" s="175" t="e">
        <f t="shared" si="29"/>
        <v>#DIV/0!</v>
      </c>
      <c r="EE60" s="163">
        <f t="shared" si="30"/>
        <v>0</v>
      </c>
      <c r="EF60" s="164"/>
      <c r="EG60" s="181">
        <f t="shared" si="31"/>
        <v>0</v>
      </c>
      <c r="EH60" s="182">
        <f t="shared" si="32"/>
        <v>0</v>
      </c>
      <c r="EI60" s="182">
        <f t="shared" si="33"/>
        <v>0</v>
      </c>
      <c r="EJ60" s="182">
        <f t="shared" si="34"/>
        <v>0</v>
      </c>
      <c r="EK60" s="183">
        <f t="shared" si="35"/>
        <v>0</v>
      </c>
      <c r="EL60" s="184" t="e">
        <f t="shared" si="36"/>
        <v>#DIV/0!</v>
      </c>
      <c r="EM60" s="185">
        <f t="shared" si="37"/>
        <v>0</v>
      </c>
      <c r="EN60" s="164"/>
      <c r="EO60" s="181">
        <f t="shared" si="38"/>
        <v>0</v>
      </c>
      <c r="EP60" s="183">
        <f t="shared" si="39"/>
        <v>0</v>
      </c>
      <c r="EQ60" s="184" t="e">
        <f t="shared" si="40"/>
        <v>#DIV/0!</v>
      </c>
      <c r="ER60" s="185">
        <f t="shared" si="41"/>
        <v>0</v>
      </c>
      <c r="ES60" s="164"/>
      <c r="ET60" s="164"/>
      <c r="EU60" s="186">
        <f t="shared" si="42"/>
        <v>0</v>
      </c>
      <c r="EV60" s="186">
        <f t="shared" si="43"/>
        <v>0</v>
      </c>
      <c r="EW60" s="186">
        <f t="shared" si="44"/>
        <v>0</v>
      </c>
      <c r="EX60" s="186">
        <f t="shared" si="45"/>
        <v>0</v>
      </c>
      <c r="EY60" s="131"/>
      <c r="EZ60" s="187">
        <f t="shared" si="46"/>
        <v>0</v>
      </c>
      <c r="FA60" s="188" t="e">
        <f t="shared" si="47"/>
        <v>#DIV/0!</v>
      </c>
      <c r="FB60" s="189"/>
      <c r="FC60" s="219"/>
      <c r="FD60" s="219"/>
      <c r="FE60" s="219"/>
      <c r="FF60" s="219"/>
      <c r="FG60" s="219"/>
    </row>
    <row r="61" spans="2:163" s="220" customFormat="1" ht="16" outlineLevel="1" thickBot="1" x14ac:dyDescent="0.4">
      <c r="B61" s="358"/>
      <c r="C61" s="355"/>
      <c r="D61" s="243"/>
      <c r="E61" s="244"/>
      <c r="F61" s="135"/>
      <c r="G61" s="192"/>
      <c r="H61" s="245"/>
      <c r="I61" s="138">
        <f t="shared" si="0"/>
        <v>0</v>
      </c>
      <c r="J61" s="139"/>
      <c r="K61" s="208">
        <f t="shared" si="52"/>
        <v>0</v>
      </c>
      <c r="L61" s="141"/>
      <c r="M61" s="209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09"/>
      <c r="AB61" s="210"/>
      <c r="AC61" s="210"/>
      <c r="AD61" s="210"/>
      <c r="AE61" s="210"/>
      <c r="AF61" s="210"/>
      <c r="AG61" s="210"/>
      <c r="AH61" s="210"/>
      <c r="AI61" s="210"/>
      <c r="AJ61" s="210"/>
      <c r="AK61" s="210"/>
      <c r="AL61" s="210"/>
      <c r="AM61" s="211"/>
      <c r="AN61" s="212">
        <f t="shared" si="2"/>
        <v>0</v>
      </c>
      <c r="AO61" s="146"/>
      <c r="AP61" s="147">
        <f t="shared" si="3"/>
        <v>0</v>
      </c>
      <c r="AQ61" s="221"/>
      <c r="AR61" s="213"/>
      <c r="AS61" s="213"/>
      <c r="AT61" s="222"/>
      <c r="AU61" s="233"/>
      <c r="AV61" s="234"/>
      <c r="AW61" s="234"/>
      <c r="AX61" s="234"/>
      <c r="AY61" s="234"/>
      <c r="AZ61" s="234"/>
      <c r="BA61" s="234"/>
      <c r="BB61" s="234"/>
      <c r="BC61" s="234"/>
      <c r="BD61" s="234"/>
      <c r="BE61" s="234"/>
      <c r="BF61" s="235"/>
      <c r="BG61" s="235"/>
      <c r="BH61" s="235"/>
      <c r="BI61" s="235"/>
      <c r="BJ61" s="235"/>
      <c r="BK61" s="235"/>
      <c r="BL61" s="235"/>
      <c r="BM61" s="235"/>
      <c r="BN61" s="235"/>
      <c r="BO61" s="235"/>
      <c r="BP61" s="235"/>
      <c r="BQ61" s="235"/>
      <c r="BR61" s="233"/>
      <c r="BS61" s="234"/>
      <c r="BT61" s="234"/>
      <c r="BU61" s="234"/>
      <c r="BV61" s="234"/>
      <c r="BW61" s="234"/>
      <c r="BX61" s="234"/>
      <c r="BY61" s="234"/>
      <c r="BZ61" s="234"/>
      <c r="CA61" s="234"/>
      <c r="CB61" s="234"/>
      <c r="CC61" s="236"/>
      <c r="CD61" s="233"/>
      <c r="CE61" s="209"/>
      <c r="CF61" s="210"/>
      <c r="CG61" s="210"/>
      <c r="CH61" s="210"/>
      <c r="CI61" s="210"/>
      <c r="CJ61" s="210"/>
      <c r="CK61" s="210"/>
      <c r="CL61" s="210"/>
      <c r="CM61" s="210"/>
      <c r="CN61" s="210"/>
      <c r="CO61" s="351"/>
      <c r="CP61" s="234"/>
      <c r="CQ61" s="235"/>
      <c r="CR61" s="236"/>
      <c r="CS61" s="237">
        <f t="shared" si="48"/>
        <v>0</v>
      </c>
      <c r="CT61" s="146"/>
      <c r="CU61" s="147">
        <f t="shared" si="4"/>
        <v>0</v>
      </c>
      <c r="CV61" s="156"/>
      <c r="CW61" s="157" t="e">
        <f t="shared" si="5"/>
        <v>#DIV/0!</v>
      </c>
      <c r="CX61" s="157" t="e">
        <f t="shared" si="6"/>
        <v>#DIV/0!</v>
      </c>
      <c r="CY61" s="157" t="e">
        <f t="shared" si="7"/>
        <v>#DIV/0!</v>
      </c>
      <c r="CZ61" s="157" t="e">
        <f t="shared" si="8"/>
        <v>#DIV/0!</v>
      </c>
      <c r="DA61" s="157" t="e">
        <f t="shared" si="9"/>
        <v>#DIV/0!</v>
      </c>
      <c r="DB61" s="158" t="e">
        <f t="shared" si="10"/>
        <v>#DIV/0!</v>
      </c>
      <c r="DC61" s="131"/>
      <c r="DD61" s="159">
        <f t="shared" si="11"/>
        <v>0</v>
      </c>
      <c r="DE61" s="160">
        <f t="shared" si="12"/>
        <v>0</v>
      </c>
      <c r="DF61" s="161">
        <f t="shared" si="13"/>
        <v>0</v>
      </c>
      <c r="DG61" s="162" t="e">
        <f t="shared" si="14"/>
        <v>#DIV/0!</v>
      </c>
      <c r="DH61" s="163">
        <f t="shared" si="15"/>
        <v>0</v>
      </c>
      <c r="DI61" s="164"/>
      <c r="DJ61" s="165">
        <f t="shared" si="50"/>
        <v>0</v>
      </c>
      <c r="DK61" s="166">
        <f t="shared" si="50"/>
        <v>0</v>
      </c>
      <c r="DL61" s="167" t="e">
        <f t="shared" si="17"/>
        <v>#DIV/0!</v>
      </c>
      <c r="DM61" s="168" t="e">
        <f t="shared" si="18"/>
        <v>#DIV/0!</v>
      </c>
      <c r="DN61" s="163" t="e">
        <f t="shared" si="19"/>
        <v>#DIV/0!</v>
      </c>
      <c r="DO61" s="169"/>
      <c r="DP61" s="170"/>
      <c r="DQ61" s="171"/>
      <c r="DR61" s="172">
        <f t="shared" si="20"/>
        <v>0</v>
      </c>
      <c r="DS61" s="173" t="e">
        <f t="shared" si="21"/>
        <v>#DIV/0!</v>
      </c>
      <c r="DT61" s="163" t="e">
        <f t="shared" si="22"/>
        <v>#DIV/0!</v>
      </c>
      <c r="DU61" s="174"/>
      <c r="DV61" s="175" t="e">
        <f t="shared" si="23"/>
        <v>#DIV/0!</v>
      </c>
      <c r="DW61" s="163">
        <f t="shared" si="24"/>
        <v>0</v>
      </c>
      <c r="DX61" s="164"/>
      <c r="DY61" s="176">
        <f t="shared" si="25"/>
        <v>0</v>
      </c>
      <c r="DZ61" s="177">
        <f t="shared" si="26"/>
        <v>0</v>
      </c>
      <c r="EA61" s="178">
        <f t="shared" si="27"/>
        <v>0</v>
      </c>
      <c r="EB61" s="179">
        <f t="shared" si="28"/>
        <v>0</v>
      </c>
      <c r="EC61" s="180"/>
      <c r="ED61" s="175" t="e">
        <f t="shared" si="29"/>
        <v>#DIV/0!</v>
      </c>
      <c r="EE61" s="163">
        <f t="shared" si="30"/>
        <v>0</v>
      </c>
      <c r="EF61" s="164"/>
      <c r="EG61" s="181">
        <f t="shared" si="31"/>
        <v>0</v>
      </c>
      <c r="EH61" s="182">
        <f t="shared" si="32"/>
        <v>0</v>
      </c>
      <c r="EI61" s="182">
        <f t="shared" si="33"/>
        <v>0</v>
      </c>
      <c r="EJ61" s="182">
        <f t="shared" si="34"/>
        <v>0</v>
      </c>
      <c r="EK61" s="183">
        <f t="shared" si="35"/>
        <v>0</v>
      </c>
      <c r="EL61" s="184" t="e">
        <f t="shared" si="36"/>
        <v>#DIV/0!</v>
      </c>
      <c r="EM61" s="185">
        <f t="shared" si="37"/>
        <v>0</v>
      </c>
      <c r="EN61" s="164"/>
      <c r="EO61" s="181">
        <f t="shared" si="38"/>
        <v>0</v>
      </c>
      <c r="EP61" s="183">
        <f t="shared" si="39"/>
        <v>0</v>
      </c>
      <c r="EQ61" s="184" t="e">
        <f t="shared" si="40"/>
        <v>#DIV/0!</v>
      </c>
      <c r="ER61" s="185">
        <f t="shared" si="41"/>
        <v>0</v>
      </c>
      <c r="ES61" s="164"/>
      <c r="ET61" s="164"/>
      <c r="EU61" s="186">
        <f t="shared" si="42"/>
        <v>0</v>
      </c>
      <c r="EV61" s="186">
        <f t="shared" si="43"/>
        <v>0</v>
      </c>
      <c r="EW61" s="186">
        <f t="shared" si="44"/>
        <v>0</v>
      </c>
      <c r="EX61" s="186">
        <f t="shared" si="45"/>
        <v>0</v>
      </c>
      <c r="EY61" s="131"/>
      <c r="EZ61" s="187">
        <f t="shared" si="46"/>
        <v>0</v>
      </c>
      <c r="FA61" s="188" t="e">
        <f t="shared" si="47"/>
        <v>#DIV/0!</v>
      </c>
      <c r="FB61" s="189"/>
      <c r="FC61" s="131"/>
      <c r="FD61" s="131"/>
      <c r="FE61" s="219"/>
      <c r="FF61" s="219"/>
      <c r="FG61" s="219"/>
    </row>
    <row r="62" spans="2:163" ht="16" outlineLevel="1" thickBot="1" x14ac:dyDescent="0.4">
      <c r="B62" s="356"/>
      <c r="C62" s="353"/>
      <c r="D62" s="133"/>
      <c r="E62" s="134"/>
      <c r="F62" s="135"/>
      <c r="G62" s="136"/>
      <c r="H62" s="137"/>
      <c r="I62" s="138">
        <f t="shared" si="0"/>
        <v>0</v>
      </c>
      <c r="J62" s="139"/>
      <c r="K62" s="140">
        <f>E62*60</f>
        <v>0</v>
      </c>
      <c r="L62" s="141"/>
      <c r="M62" s="142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2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4"/>
      <c r="AN62" s="145">
        <f t="shared" si="2"/>
        <v>0</v>
      </c>
      <c r="AO62" s="146"/>
      <c r="AP62" s="147">
        <f t="shared" si="3"/>
        <v>0</v>
      </c>
      <c r="AQ62" s="148"/>
      <c r="AR62" s="149"/>
      <c r="AS62" s="149"/>
      <c r="AT62" s="135"/>
      <c r="AU62" s="150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2"/>
      <c r="BG62" s="152"/>
      <c r="BH62" s="152"/>
      <c r="BI62" s="152"/>
      <c r="BJ62" s="152"/>
      <c r="BK62" s="152"/>
      <c r="BL62" s="152"/>
      <c r="BM62" s="152"/>
      <c r="BN62" s="152"/>
      <c r="BO62" s="152"/>
      <c r="BP62" s="152"/>
      <c r="BQ62" s="152"/>
      <c r="BR62" s="150"/>
      <c r="BS62" s="151"/>
      <c r="BT62" s="151"/>
      <c r="BU62" s="151"/>
      <c r="BV62" s="151"/>
      <c r="BW62" s="151"/>
      <c r="BX62" s="151"/>
      <c r="BY62" s="151"/>
      <c r="BZ62" s="151"/>
      <c r="CA62" s="151"/>
      <c r="CB62" s="151"/>
      <c r="CC62" s="154"/>
      <c r="CD62" s="150"/>
      <c r="CE62" s="142"/>
      <c r="CF62" s="143"/>
      <c r="CG62" s="143"/>
      <c r="CH62" s="143"/>
      <c r="CI62" s="143"/>
      <c r="CJ62" s="143"/>
      <c r="CK62" s="143"/>
      <c r="CL62" s="143"/>
      <c r="CM62" s="143"/>
      <c r="CN62" s="143"/>
      <c r="CO62" s="346"/>
      <c r="CP62" s="151"/>
      <c r="CQ62" s="152"/>
      <c r="CR62" s="154"/>
      <c r="CS62" s="155">
        <f t="shared" si="48"/>
        <v>0</v>
      </c>
      <c r="CT62" s="146"/>
      <c r="CU62" s="147">
        <f t="shared" si="4"/>
        <v>0</v>
      </c>
      <c r="CV62" s="156"/>
      <c r="CW62" s="157" t="e">
        <f t="shared" si="5"/>
        <v>#DIV/0!</v>
      </c>
      <c r="CX62" s="157" t="e">
        <f t="shared" si="6"/>
        <v>#DIV/0!</v>
      </c>
      <c r="CY62" s="157" t="e">
        <f t="shared" si="7"/>
        <v>#DIV/0!</v>
      </c>
      <c r="CZ62" s="157" t="e">
        <f t="shared" si="8"/>
        <v>#DIV/0!</v>
      </c>
      <c r="DA62" s="157" t="e">
        <f t="shared" si="9"/>
        <v>#DIV/0!</v>
      </c>
      <c r="DB62" s="158" t="e">
        <f t="shared" si="10"/>
        <v>#DIV/0!</v>
      </c>
      <c r="DC62" s="131"/>
      <c r="DD62" s="159">
        <f t="shared" si="11"/>
        <v>0</v>
      </c>
      <c r="DE62" s="160">
        <f t="shared" si="12"/>
        <v>0</v>
      </c>
      <c r="DF62" s="161">
        <f t="shared" si="13"/>
        <v>0</v>
      </c>
      <c r="DG62" s="162" t="e">
        <f t="shared" si="14"/>
        <v>#DIV/0!</v>
      </c>
      <c r="DH62" s="163">
        <f t="shared" si="15"/>
        <v>0</v>
      </c>
      <c r="DI62" s="164"/>
      <c r="DJ62" s="165">
        <f t="shared" si="50"/>
        <v>0</v>
      </c>
      <c r="DK62" s="166">
        <f t="shared" si="50"/>
        <v>0</v>
      </c>
      <c r="DL62" s="167" t="e">
        <f t="shared" si="17"/>
        <v>#DIV/0!</v>
      </c>
      <c r="DM62" s="168" t="e">
        <f t="shared" si="18"/>
        <v>#DIV/0!</v>
      </c>
      <c r="DN62" s="163" t="e">
        <f t="shared" si="19"/>
        <v>#DIV/0!</v>
      </c>
      <c r="DO62" s="169"/>
      <c r="DP62" s="170"/>
      <c r="DQ62" s="171"/>
      <c r="DR62" s="172">
        <f t="shared" si="20"/>
        <v>0</v>
      </c>
      <c r="DS62" s="173" t="e">
        <f t="shared" si="21"/>
        <v>#DIV/0!</v>
      </c>
      <c r="DT62" s="163" t="e">
        <f t="shared" si="22"/>
        <v>#DIV/0!</v>
      </c>
      <c r="DU62" s="174"/>
      <c r="DV62" s="175" t="e">
        <f t="shared" si="23"/>
        <v>#DIV/0!</v>
      </c>
      <c r="DW62" s="163">
        <f t="shared" si="24"/>
        <v>0</v>
      </c>
      <c r="DX62" s="164"/>
      <c r="DY62" s="176">
        <f t="shared" si="25"/>
        <v>0</v>
      </c>
      <c r="DZ62" s="177">
        <f t="shared" si="26"/>
        <v>0</v>
      </c>
      <c r="EA62" s="178">
        <f t="shared" si="27"/>
        <v>0</v>
      </c>
      <c r="EB62" s="179">
        <f t="shared" si="28"/>
        <v>0</v>
      </c>
      <c r="EC62" s="180"/>
      <c r="ED62" s="175" t="e">
        <f t="shared" si="29"/>
        <v>#DIV/0!</v>
      </c>
      <c r="EE62" s="163">
        <f t="shared" si="30"/>
        <v>0</v>
      </c>
      <c r="EF62" s="164"/>
      <c r="EG62" s="181">
        <f t="shared" si="31"/>
        <v>0</v>
      </c>
      <c r="EH62" s="182">
        <f t="shared" si="32"/>
        <v>0</v>
      </c>
      <c r="EI62" s="182">
        <f t="shared" si="33"/>
        <v>0</v>
      </c>
      <c r="EJ62" s="182">
        <f t="shared" si="34"/>
        <v>0</v>
      </c>
      <c r="EK62" s="183">
        <f t="shared" si="35"/>
        <v>0</v>
      </c>
      <c r="EL62" s="184" t="e">
        <f t="shared" si="36"/>
        <v>#DIV/0!</v>
      </c>
      <c r="EM62" s="185">
        <f t="shared" si="37"/>
        <v>0</v>
      </c>
      <c r="EN62" s="164"/>
      <c r="EO62" s="181">
        <f t="shared" si="38"/>
        <v>0</v>
      </c>
      <c r="EP62" s="183">
        <f t="shared" si="39"/>
        <v>0</v>
      </c>
      <c r="EQ62" s="184" t="e">
        <f t="shared" si="40"/>
        <v>#DIV/0!</v>
      </c>
      <c r="ER62" s="185">
        <f t="shared" si="41"/>
        <v>0</v>
      </c>
      <c r="ES62" s="164"/>
      <c r="ET62" s="164"/>
      <c r="EU62" s="186">
        <f t="shared" si="42"/>
        <v>0</v>
      </c>
      <c r="EV62" s="186">
        <f t="shared" si="43"/>
        <v>0</v>
      </c>
      <c r="EW62" s="186">
        <f t="shared" si="44"/>
        <v>0</v>
      </c>
      <c r="EX62" s="186">
        <f t="shared" si="45"/>
        <v>0</v>
      </c>
      <c r="EY62" s="131"/>
      <c r="EZ62" s="187">
        <f t="shared" si="46"/>
        <v>0</v>
      </c>
      <c r="FA62" s="188" t="e">
        <f t="shared" si="47"/>
        <v>#DIV/0!</v>
      </c>
      <c r="FB62" s="189"/>
      <c r="FC62" s="131"/>
      <c r="FD62" s="131"/>
      <c r="FE62" s="131"/>
      <c r="FF62" s="131"/>
      <c r="FG62" s="131"/>
    </row>
    <row r="63" spans="2:163" ht="16" outlineLevel="1" thickBot="1" x14ac:dyDescent="0.4">
      <c r="B63" s="357"/>
      <c r="C63" s="354"/>
      <c r="D63" s="240"/>
      <c r="E63" s="241"/>
      <c r="F63" s="135"/>
      <c r="G63" s="192"/>
      <c r="H63" s="242"/>
      <c r="I63" s="138">
        <f t="shared" si="0"/>
        <v>0</v>
      </c>
      <c r="J63" s="139"/>
      <c r="K63" s="193">
        <f t="shared" ref="K63:K64" si="53">E63*60</f>
        <v>0</v>
      </c>
      <c r="L63" s="141"/>
      <c r="M63" s="194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4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6"/>
      <c r="AN63" s="197">
        <f t="shared" si="2"/>
        <v>0</v>
      </c>
      <c r="AO63" s="146"/>
      <c r="AP63" s="147">
        <f t="shared" si="3"/>
        <v>0</v>
      </c>
      <c r="AQ63" s="148"/>
      <c r="AR63" s="198"/>
      <c r="AS63" s="198"/>
      <c r="AT63" s="135"/>
      <c r="AU63" s="199"/>
      <c r="AV63" s="200"/>
      <c r="AW63" s="200"/>
      <c r="AX63" s="200"/>
      <c r="AY63" s="200"/>
      <c r="AZ63" s="200"/>
      <c r="BA63" s="200"/>
      <c r="BB63" s="200"/>
      <c r="BC63" s="200"/>
      <c r="BD63" s="200"/>
      <c r="BE63" s="200"/>
      <c r="BF63" s="201"/>
      <c r="BG63" s="201"/>
      <c r="BH63" s="201"/>
      <c r="BI63" s="201"/>
      <c r="BJ63" s="201"/>
      <c r="BK63" s="201"/>
      <c r="BL63" s="201"/>
      <c r="BM63" s="201"/>
      <c r="BN63" s="201"/>
      <c r="BO63" s="201"/>
      <c r="BP63" s="201"/>
      <c r="BQ63" s="201"/>
      <c r="BR63" s="199"/>
      <c r="BS63" s="200"/>
      <c r="BT63" s="200"/>
      <c r="BU63" s="200"/>
      <c r="BV63" s="200"/>
      <c r="BW63" s="200"/>
      <c r="BX63" s="200"/>
      <c r="BY63" s="200"/>
      <c r="BZ63" s="200"/>
      <c r="CA63" s="200"/>
      <c r="CB63" s="200"/>
      <c r="CC63" s="202"/>
      <c r="CD63" s="199"/>
      <c r="CE63" s="194"/>
      <c r="CF63" s="195"/>
      <c r="CG63" s="195"/>
      <c r="CH63" s="195"/>
      <c r="CI63" s="195"/>
      <c r="CJ63" s="195"/>
      <c r="CK63" s="195"/>
      <c r="CL63" s="195"/>
      <c r="CM63" s="195"/>
      <c r="CN63" s="195"/>
      <c r="CO63" s="347"/>
      <c r="CP63" s="200"/>
      <c r="CQ63" s="201"/>
      <c r="CR63" s="202"/>
      <c r="CS63" s="203">
        <f t="shared" si="48"/>
        <v>0</v>
      </c>
      <c r="CT63" s="146"/>
      <c r="CU63" s="147">
        <f t="shared" si="4"/>
        <v>0</v>
      </c>
      <c r="CV63" s="156"/>
      <c r="CW63" s="157" t="e">
        <f t="shared" si="5"/>
        <v>#DIV/0!</v>
      </c>
      <c r="CX63" s="157" t="e">
        <f t="shared" si="6"/>
        <v>#DIV/0!</v>
      </c>
      <c r="CY63" s="157" t="e">
        <f t="shared" si="7"/>
        <v>#DIV/0!</v>
      </c>
      <c r="CZ63" s="157" t="e">
        <f t="shared" si="8"/>
        <v>#DIV/0!</v>
      </c>
      <c r="DA63" s="157" t="e">
        <f t="shared" si="9"/>
        <v>#DIV/0!</v>
      </c>
      <c r="DB63" s="158" t="e">
        <f t="shared" si="10"/>
        <v>#DIV/0!</v>
      </c>
      <c r="DC63" s="131"/>
      <c r="DD63" s="159">
        <f t="shared" si="11"/>
        <v>0</v>
      </c>
      <c r="DE63" s="160">
        <f t="shared" si="12"/>
        <v>0</v>
      </c>
      <c r="DF63" s="161">
        <f t="shared" si="13"/>
        <v>0</v>
      </c>
      <c r="DG63" s="162" t="e">
        <f t="shared" si="14"/>
        <v>#DIV/0!</v>
      </c>
      <c r="DH63" s="163">
        <f t="shared" si="15"/>
        <v>0</v>
      </c>
      <c r="DI63" s="164"/>
      <c r="DJ63" s="165">
        <f t="shared" si="50"/>
        <v>0</v>
      </c>
      <c r="DK63" s="166">
        <f t="shared" si="50"/>
        <v>0</v>
      </c>
      <c r="DL63" s="167" t="e">
        <f t="shared" si="17"/>
        <v>#DIV/0!</v>
      </c>
      <c r="DM63" s="168" t="e">
        <f t="shared" si="18"/>
        <v>#DIV/0!</v>
      </c>
      <c r="DN63" s="163" t="e">
        <f t="shared" si="19"/>
        <v>#DIV/0!</v>
      </c>
      <c r="DO63" s="169"/>
      <c r="DP63" s="170"/>
      <c r="DQ63" s="171"/>
      <c r="DR63" s="172">
        <f t="shared" si="20"/>
        <v>0</v>
      </c>
      <c r="DS63" s="173" t="e">
        <f t="shared" si="21"/>
        <v>#DIV/0!</v>
      </c>
      <c r="DT63" s="163" t="e">
        <f t="shared" si="22"/>
        <v>#DIV/0!</v>
      </c>
      <c r="DU63" s="174"/>
      <c r="DV63" s="175" t="e">
        <f t="shared" si="23"/>
        <v>#DIV/0!</v>
      </c>
      <c r="DW63" s="163">
        <f t="shared" si="24"/>
        <v>0</v>
      </c>
      <c r="DX63" s="164"/>
      <c r="DY63" s="176">
        <f t="shared" si="25"/>
        <v>0</v>
      </c>
      <c r="DZ63" s="177">
        <f t="shared" si="26"/>
        <v>0</v>
      </c>
      <c r="EA63" s="178">
        <f t="shared" si="27"/>
        <v>0</v>
      </c>
      <c r="EB63" s="179">
        <f t="shared" si="28"/>
        <v>0</v>
      </c>
      <c r="EC63" s="180"/>
      <c r="ED63" s="175" t="e">
        <f t="shared" si="29"/>
        <v>#DIV/0!</v>
      </c>
      <c r="EE63" s="163">
        <f t="shared" si="30"/>
        <v>0</v>
      </c>
      <c r="EF63" s="164"/>
      <c r="EG63" s="181">
        <f t="shared" si="31"/>
        <v>0</v>
      </c>
      <c r="EH63" s="182">
        <f t="shared" si="32"/>
        <v>0</v>
      </c>
      <c r="EI63" s="182">
        <f t="shared" si="33"/>
        <v>0</v>
      </c>
      <c r="EJ63" s="182">
        <f t="shared" si="34"/>
        <v>0</v>
      </c>
      <c r="EK63" s="183">
        <f t="shared" si="35"/>
        <v>0</v>
      </c>
      <c r="EL63" s="184" t="e">
        <f t="shared" si="36"/>
        <v>#DIV/0!</v>
      </c>
      <c r="EM63" s="185">
        <f t="shared" si="37"/>
        <v>0</v>
      </c>
      <c r="EN63" s="164"/>
      <c r="EO63" s="181">
        <f t="shared" si="38"/>
        <v>0</v>
      </c>
      <c r="EP63" s="183">
        <f t="shared" si="39"/>
        <v>0</v>
      </c>
      <c r="EQ63" s="184" t="e">
        <f t="shared" si="40"/>
        <v>#DIV/0!</v>
      </c>
      <c r="ER63" s="185">
        <f t="shared" si="41"/>
        <v>0</v>
      </c>
      <c r="ES63" s="164"/>
      <c r="ET63" s="164"/>
      <c r="EU63" s="186">
        <f t="shared" si="42"/>
        <v>0</v>
      </c>
      <c r="EV63" s="186">
        <f t="shared" si="43"/>
        <v>0</v>
      </c>
      <c r="EW63" s="186">
        <f t="shared" si="44"/>
        <v>0</v>
      </c>
      <c r="EX63" s="186">
        <f t="shared" si="45"/>
        <v>0</v>
      </c>
      <c r="EY63" s="131"/>
      <c r="EZ63" s="187">
        <f t="shared" si="46"/>
        <v>0</v>
      </c>
      <c r="FA63" s="188" t="e">
        <f t="shared" si="47"/>
        <v>#DIV/0!</v>
      </c>
      <c r="FB63" s="189"/>
      <c r="FC63" s="131"/>
      <c r="FD63" s="131"/>
      <c r="FE63" s="131"/>
      <c r="FF63" s="131"/>
      <c r="FG63" s="131"/>
    </row>
    <row r="64" spans="2:163" ht="16" outlineLevel="1" thickBot="1" x14ac:dyDescent="0.4">
      <c r="B64" s="358"/>
      <c r="C64" s="355"/>
      <c r="D64" s="243"/>
      <c r="E64" s="244"/>
      <c r="F64" s="135"/>
      <c r="G64" s="192"/>
      <c r="H64" s="245"/>
      <c r="I64" s="138">
        <f t="shared" si="0"/>
        <v>0</v>
      </c>
      <c r="J64" s="139"/>
      <c r="K64" s="208">
        <f t="shared" si="53"/>
        <v>0</v>
      </c>
      <c r="L64" s="141"/>
      <c r="M64" s="209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09"/>
      <c r="AB64" s="210"/>
      <c r="AC64" s="210"/>
      <c r="AD64" s="210"/>
      <c r="AE64" s="210"/>
      <c r="AF64" s="210"/>
      <c r="AG64" s="210"/>
      <c r="AH64" s="210"/>
      <c r="AI64" s="210"/>
      <c r="AJ64" s="210"/>
      <c r="AK64" s="210"/>
      <c r="AL64" s="210"/>
      <c r="AM64" s="211"/>
      <c r="AN64" s="212">
        <f t="shared" si="2"/>
        <v>0</v>
      </c>
      <c r="AO64" s="146"/>
      <c r="AP64" s="147">
        <f t="shared" si="3"/>
        <v>0</v>
      </c>
      <c r="AQ64" s="148"/>
      <c r="AR64" s="213"/>
      <c r="AS64" s="213"/>
      <c r="AT64" s="135"/>
      <c r="AU64" s="214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6"/>
      <c r="BG64" s="216"/>
      <c r="BH64" s="216"/>
      <c r="BI64" s="216"/>
      <c r="BJ64" s="216"/>
      <c r="BK64" s="216"/>
      <c r="BL64" s="216"/>
      <c r="BM64" s="216"/>
      <c r="BN64" s="216"/>
      <c r="BO64" s="216"/>
      <c r="BP64" s="216"/>
      <c r="BQ64" s="216"/>
      <c r="BR64" s="214"/>
      <c r="BS64" s="215"/>
      <c r="BT64" s="215"/>
      <c r="BU64" s="215"/>
      <c r="BV64" s="215"/>
      <c r="BW64" s="215"/>
      <c r="BX64" s="215"/>
      <c r="BY64" s="215"/>
      <c r="BZ64" s="215"/>
      <c r="CA64" s="215"/>
      <c r="CB64" s="215"/>
      <c r="CC64" s="217"/>
      <c r="CD64" s="214"/>
      <c r="CE64" s="209"/>
      <c r="CF64" s="210"/>
      <c r="CG64" s="210"/>
      <c r="CH64" s="210"/>
      <c r="CI64" s="210"/>
      <c r="CJ64" s="210"/>
      <c r="CK64" s="210"/>
      <c r="CL64" s="210"/>
      <c r="CM64" s="210"/>
      <c r="CN64" s="210"/>
      <c r="CO64" s="348"/>
      <c r="CP64" s="215"/>
      <c r="CQ64" s="216"/>
      <c r="CR64" s="217"/>
      <c r="CS64" s="218">
        <f t="shared" si="48"/>
        <v>0</v>
      </c>
      <c r="CT64" s="146"/>
      <c r="CU64" s="147">
        <f t="shared" si="4"/>
        <v>0</v>
      </c>
      <c r="CV64" s="156"/>
      <c r="CW64" s="157" t="e">
        <f t="shared" si="5"/>
        <v>#DIV/0!</v>
      </c>
      <c r="CX64" s="157" t="e">
        <f t="shared" si="6"/>
        <v>#DIV/0!</v>
      </c>
      <c r="CY64" s="157" t="e">
        <f t="shared" si="7"/>
        <v>#DIV/0!</v>
      </c>
      <c r="CZ64" s="157" t="e">
        <f t="shared" si="8"/>
        <v>#DIV/0!</v>
      </c>
      <c r="DA64" s="157" t="e">
        <f t="shared" si="9"/>
        <v>#DIV/0!</v>
      </c>
      <c r="DB64" s="158" t="e">
        <f t="shared" si="10"/>
        <v>#DIV/0!</v>
      </c>
      <c r="DC64" s="131"/>
      <c r="DD64" s="159">
        <f t="shared" si="11"/>
        <v>0</v>
      </c>
      <c r="DE64" s="160">
        <f t="shared" si="12"/>
        <v>0</v>
      </c>
      <c r="DF64" s="161">
        <f t="shared" si="13"/>
        <v>0</v>
      </c>
      <c r="DG64" s="162" t="e">
        <f t="shared" si="14"/>
        <v>#DIV/0!</v>
      </c>
      <c r="DH64" s="163">
        <f t="shared" si="15"/>
        <v>0</v>
      </c>
      <c r="DI64" s="164"/>
      <c r="DJ64" s="165">
        <f t="shared" si="50"/>
        <v>0</v>
      </c>
      <c r="DK64" s="166">
        <f t="shared" si="50"/>
        <v>0</v>
      </c>
      <c r="DL64" s="167" t="e">
        <f t="shared" si="17"/>
        <v>#DIV/0!</v>
      </c>
      <c r="DM64" s="168" t="e">
        <f t="shared" si="18"/>
        <v>#DIV/0!</v>
      </c>
      <c r="DN64" s="163" t="e">
        <f t="shared" si="19"/>
        <v>#DIV/0!</v>
      </c>
      <c r="DO64" s="169"/>
      <c r="DP64" s="170"/>
      <c r="DQ64" s="171"/>
      <c r="DR64" s="172">
        <f t="shared" si="20"/>
        <v>0</v>
      </c>
      <c r="DS64" s="173" t="e">
        <f t="shared" si="21"/>
        <v>#DIV/0!</v>
      </c>
      <c r="DT64" s="163" t="e">
        <f t="shared" si="22"/>
        <v>#DIV/0!</v>
      </c>
      <c r="DU64" s="174"/>
      <c r="DV64" s="175" t="e">
        <f t="shared" si="23"/>
        <v>#DIV/0!</v>
      </c>
      <c r="DW64" s="163">
        <f t="shared" si="24"/>
        <v>0</v>
      </c>
      <c r="DX64" s="164"/>
      <c r="DY64" s="176">
        <f t="shared" si="25"/>
        <v>0</v>
      </c>
      <c r="DZ64" s="177">
        <f t="shared" si="26"/>
        <v>0</v>
      </c>
      <c r="EA64" s="178">
        <f t="shared" si="27"/>
        <v>0</v>
      </c>
      <c r="EB64" s="179">
        <f t="shared" si="28"/>
        <v>0</v>
      </c>
      <c r="EC64" s="180"/>
      <c r="ED64" s="175" t="e">
        <f t="shared" si="29"/>
        <v>#DIV/0!</v>
      </c>
      <c r="EE64" s="163">
        <f t="shared" si="30"/>
        <v>0</v>
      </c>
      <c r="EF64" s="164"/>
      <c r="EG64" s="181">
        <f t="shared" si="31"/>
        <v>0</v>
      </c>
      <c r="EH64" s="182">
        <f t="shared" si="32"/>
        <v>0</v>
      </c>
      <c r="EI64" s="182">
        <f t="shared" si="33"/>
        <v>0</v>
      </c>
      <c r="EJ64" s="182">
        <f t="shared" si="34"/>
        <v>0</v>
      </c>
      <c r="EK64" s="183">
        <f t="shared" si="35"/>
        <v>0</v>
      </c>
      <c r="EL64" s="184" t="e">
        <f t="shared" si="36"/>
        <v>#DIV/0!</v>
      </c>
      <c r="EM64" s="185">
        <f t="shared" si="37"/>
        <v>0</v>
      </c>
      <c r="EN64" s="164"/>
      <c r="EO64" s="181">
        <f t="shared" si="38"/>
        <v>0</v>
      </c>
      <c r="EP64" s="183">
        <f t="shared" si="39"/>
        <v>0</v>
      </c>
      <c r="EQ64" s="184" t="e">
        <f t="shared" si="40"/>
        <v>#DIV/0!</v>
      </c>
      <c r="ER64" s="185">
        <f t="shared" si="41"/>
        <v>0</v>
      </c>
      <c r="ES64" s="164"/>
      <c r="ET64" s="164"/>
      <c r="EU64" s="186">
        <f t="shared" si="42"/>
        <v>0</v>
      </c>
      <c r="EV64" s="186">
        <f t="shared" si="43"/>
        <v>0</v>
      </c>
      <c r="EW64" s="186">
        <f t="shared" si="44"/>
        <v>0</v>
      </c>
      <c r="EX64" s="186">
        <f t="shared" si="45"/>
        <v>0</v>
      </c>
      <c r="EY64" s="131"/>
      <c r="EZ64" s="187">
        <f t="shared" si="46"/>
        <v>0</v>
      </c>
      <c r="FA64" s="188" t="e">
        <f t="shared" si="47"/>
        <v>#DIV/0!</v>
      </c>
      <c r="FB64" s="189"/>
      <c r="FC64" s="131"/>
      <c r="FD64" s="131"/>
      <c r="FE64" s="131"/>
      <c r="FF64" s="131"/>
      <c r="FG64" s="131"/>
    </row>
    <row r="65" spans="2:163" s="169" customFormat="1" ht="16" outlineLevel="1" thickBot="1" x14ac:dyDescent="0.4">
      <c r="B65" s="356"/>
      <c r="C65" s="353"/>
      <c r="D65" s="133"/>
      <c r="E65" s="134"/>
      <c r="F65" s="135"/>
      <c r="G65" s="136"/>
      <c r="H65" s="137"/>
      <c r="I65" s="138">
        <f>IF(E65&gt;0.0001,5.2,0)</f>
        <v>0</v>
      </c>
      <c r="J65" s="139"/>
      <c r="K65" s="140">
        <f>E65*60</f>
        <v>0</v>
      </c>
      <c r="L65" s="141"/>
      <c r="M65" s="142"/>
      <c r="N65" s="143"/>
      <c r="O65" s="143"/>
      <c r="P65" s="143"/>
      <c r="Q65" s="143"/>
      <c r="R65" s="143">
        <v>480</v>
      </c>
      <c r="S65" s="143"/>
      <c r="T65" s="143"/>
      <c r="U65" s="143"/>
      <c r="V65" s="143"/>
      <c r="W65" s="143"/>
      <c r="X65" s="143"/>
      <c r="Y65" s="143"/>
      <c r="Z65" s="143"/>
      <c r="AA65" s="142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4"/>
      <c r="AN65" s="145">
        <f t="shared" si="2"/>
        <v>480</v>
      </c>
      <c r="AO65" s="146"/>
      <c r="AP65" s="147">
        <f t="shared" si="3"/>
        <v>-480</v>
      </c>
      <c r="AQ65" s="148"/>
      <c r="AR65" s="149"/>
      <c r="AS65" s="149"/>
      <c r="AT65" s="135"/>
      <c r="AU65" s="150"/>
      <c r="AV65" s="151"/>
      <c r="AW65" s="151"/>
      <c r="AX65" s="151"/>
      <c r="AY65" s="151"/>
      <c r="AZ65" s="151"/>
      <c r="BA65" s="151"/>
      <c r="BB65" s="151"/>
      <c r="BC65" s="151"/>
      <c r="BD65" s="151"/>
      <c r="BE65" s="151"/>
      <c r="BF65" s="152"/>
      <c r="BG65" s="152"/>
      <c r="BH65" s="152"/>
      <c r="BI65" s="152"/>
      <c r="BJ65" s="152"/>
      <c r="BK65" s="152"/>
      <c r="BL65" s="152"/>
      <c r="BM65" s="152"/>
      <c r="BN65" s="152"/>
      <c r="BO65" s="152"/>
      <c r="BP65" s="152"/>
      <c r="BQ65" s="152"/>
      <c r="BR65" s="150"/>
      <c r="BS65" s="151"/>
      <c r="BT65" s="151"/>
      <c r="BU65" s="151"/>
      <c r="BV65" s="151"/>
      <c r="BW65" s="151"/>
      <c r="BX65" s="151"/>
      <c r="BY65" s="151"/>
      <c r="BZ65" s="151"/>
      <c r="CA65" s="151"/>
      <c r="CB65" s="151"/>
      <c r="CC65" s="154"/>
      <c r="CD65" s="150"/>
      <c r="CE65" s="142"/>
      <c r="CF65" s="143"/>
      <c r="CG65" s="143"/>
      <c r="CH65" s="143"/>
      <c r="CI65" s="143"/>
      <c r="CJ65" s="143"/>
      <c r="CK65" s="143"/>
      <c r="CL65" s="143"/>
      <c r="CM65" s="143"/>
      <c r="CN65" s="143"/>
      <c r="CO65" s="346"/>
      <c r="CP65" s="151"/>
      <c r="CQ65" s="152"/>
      <c r="CR65" s="154"/>
      <c r="CS65" s="155">
        <f t="shared" si="48"/>
        <v>0</v>
      </c>
      <c r="CT65" s="146"/>
      <c r="CU65" s="147">
        <f t="shared" si="4"/>
        <v>-480</v>
      </c>
      <c r="CV65" s="156"/>
      <c r="CW65" s="157" t="e">
        <f t="shared" si="5"/>
        <v>#DIV/0!</v>
      </c>
      <c r="CX65" s="157" t="e">
        <f t="shared" si="6"/>
        <v>#DIV/0!</v>
      </c>
      <c r="CY65" s="157" t="e">
        <f t="shared" si="7"/>
        <v>#DIV/0!</v>
      </c>
      <c r="CZ65" s="157" t="e">
        <f t="shared" si="8"/>
        <v>#DIV/0!</v>
      </c>
      <c r="DA65" s="157" t="e">
        <f t="shared" si="9"/>
        <v>#DIV/0!</v>
      </c>
      <c r="DB65" s="158" t="e">
        <f t="shared" si="10"/>
        <v>#DIV/0!</v>
      </c>
      <c r="DC65" s="131"/>
      <c r="DD65" s="159">
        <f t="shared" si="11"/>
        <v>-480</v>
      </c>
      <c r="DE65" s="160">
        <f t="shared" si="12"/>
        <v>0</v>
      </c>
      <c r="DF65" s="161">
        <f t="shared" si="13"/>
        <v>-480</v>
      </c>
      <c r="DG65" s="162">
        <f t="shared" si="14"/>
        <v>1</v>
      </c>
      <c r="DH65" s="163">
        <f t="shared" si="15"/>
        <v>0</v>
      </c>
      <c r="DI65" s="164"/>
      <c r="DJ65" s="165">
        <f t="shared" si="50"/>
        <v>0</v>
      </c>
      <c r="DK65" s="166">
        <f t="shared" si="50"/>
        <v>0</v>
      </c>
      <c r="DL65" s="167">
        <f t="shared" si="17"/>
        <v>0</v>
      </c>
      <c r="DM65" s="168" t="e">
        <f t="shared" si="18"/>
        <v>#DIV/0!</v>
      </c>
      <c r="DN65" s="163" t="e">
        <f t="shared" si="19"/>
        <v>#DIV/0!</v>
      </c>
      <c r="DP65" s="170"/>
      <c r="DQ65" s="171"/>
      <c r="DR65" s="172">
        <f t="shared" si="20"/>
        <v>0</v>
      </c>
      <c r="DS65" s="173">
        <f t="shared" si="21"/>
        <v>0</v>
      </c>
      <c r="DT65" s="163">
        <f t="shared" si="22"/>
        <v>0</v>
      </c>
      <c r="DU65" s="174"/>
      <c r="DV65" s="175" t="e">
        <f t="shared" si="23"/>
        <v>#DIV/0!</v>
      </c>
      <c r="DW65" s="163">
        <f t="shared" si="24"/>
        <v>0</v>
      </c>
      <c r="DX65" s="164"/>
      <c r="DY65" s="176">
        <f t="shared" si="25"/>
        <v>0</v>
      </c>
      <c r="DZ65" s="177">
        <f t="shared" si="26"/>
        <v>0</v>
      </c>
      <c r="EA65" s="178">
        <f t="shared" si="27"/>
        <v>-480</v>
      </c>
      <c r="EB65" s="179">
        <f t="shared" si="28"/>
        <v>0</v>
      </c>
      <c r="EC65" s="180"/>
      <c r="ED65" s="175" t="e">
        <f t="shared" si="29"/>
        <v>#DIV/0!</v>
      </c>
      <c r="EE65" s="163">
        <f t="shared" si="30"/>
        <v>0</v>
      </c>
      <c r="EF65" s="164"/>
      <c r="EG65" s="181">
        <f t="shared" si="31"/>
        <v>0</v>
      </c>
      <c r="EH65" s="182">
        <f t="shared" si="32"/>
        <v>0</v>
      </c>
      <c r="EI65" s="182">
        <f t="shared" si="33"/>
        <v>480</v>
      </c>
      <c r="EJ65" s="182">
        <f t="shared" si="34"/>
        <v>0</v>
      </c>
      <c r="EK65" s="183">
        <f t="shared" si="35"/>
        <v>0</v>
      </c>
      <c r="EL65" s="184" t="e">
        <f t="shared" si="36"/>
        <v>#DIV/0!</v>
      </c>
      <c r="EM65" s="185">
        <f t="shared" si="37"/>
        <v>0</v>
      </c>
      <c r="EN65" s="164"/>
      <c r="EO65" s="181">
        <f t="shared" si="38"/>
        <v>0</v>
      </c>
      <c r="EP65" s="183">
        <f t="shared" si="39"/>
        <v>0</v>
      </c>
      <c r="EQ65" s="184" t="e">
        <f t="shared" si="40"/>
        <v>#DIV/0!</v>
      </c>
      <c r="ER65" s="185">
        <f t="shared" si="41"/>
        <v>0</v>
      </c>
      <c r="ES65" s="164"/>
      <c r="ET65" s="164"/>
      <c r="EU65" s="186">
        <f t="shared" si="42"/>
        <v>0</v>
      </c>
      <c r="EV65" s="186">
        <f t="shared" si="43"/>
        <v>-480</v>
      </c>
      <c r="EW65" s="186">
        <f t="shared" si="44"/>
        <v>0</v>
      </c>
      <c r="EX65" s="186">
        <f t="shared" si="45"/>
        <v>0</v>
      </c>
      <c r="EY65" s="131"/>
      <c r="EZ65" s="187">
        <f t="shared" si="46"/>
        <v>0</v>
      </c>
      <c r="FA65" s="188" t="e">
        <f t="shared" si="47"/>
        <v>#DIV/0!</v>
      </c>
      <c r="FB65" s="189"/>
      <c r="FC65" s="131"/>
      <c r="FD65" s="131"/>
      <c r="FE65" s="131"/>
      <c r="FF65" s="131"/>
      <c r="FG65" s="131"/>
    </row>
    <row r="66" spans="2:163" s="169" customFormat="1" ht="16" outlineLevel="1" thickBot="1" x14ac:dyDescent="0.4">
      <c r="B66" s="357"/>
      <c r="C66" s="354"/>
      <c r="D66" s="240"/>
      <c r="E66" s="241"/>
      <c r="F66" s="135"/>
      <c r="G66" s="192"/>
      <c r="H66" s="242"/>
      <c r="I66" s="138">
        <f t="shared" si="0"/>
        <v>0</v>
      </c>
      <c r="J66" s="139"/>
      <c r="K66" s="193">
        <f t="shared" ref="K66:K67" si="54">E66*60</f>
        <v>0</v>
      </c>
      <c r="L66" s="141"/>
      <c r="M66" s="194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4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6"/>
      <c r="AN66" s="197">
        <f t="shared" si="2"/>
        <v>0</v>
      </c>
      <c r="AO66" s="146"/>
      <c r="AP66" s="147">
        <f t="shared" si="3"/>
        <v>0</v>
      </c>
      <c r="AQ66" s="148"/>
      <c r="AR66" s="198"/>
      <c r="AS66" s="198"/>
      <c r="AT66" s="135"/>
      <c r="AU66" s="199"/>
      <c r="AV66" s="200"/>
      <c r="AW66" s="200"/>
      <c r="AX66" s="200"/>
      <c r="AY66" s="200"/>
      <c r="AZ66" s="200"/>
      <c r="BA66" s="200"/>
      <c r="BB66" s="200"/>
      <c r="BC66" s="200"/>
      <c r="BD66" s="200"/>
      <c r="BE66" s="200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199"/>
      <c r="BS66" s="200"/>
      <c r="BT66" s="200"/>
      <c r="BU66" s="200"/>
      <c r="BV66" s="200"/>
      <c r="BW66" s="200"/>
      <c r="BX66" s="200"/>
      <c r="BY66" s="200"/>
      <c r="BZ66" s="200"/>
      <c r="CA66" s="200"/>
      <c r="CB66" s="200"/>
      <c r="CC66" s="202"/>
      <c r="CD66" s="199"/>
      <c r="CE66" s="194"/>
      <c r="CF66" s="195"/>
      <c r="CG66" s="195"/>
      <c r="CH66" s="195"/>
      <c r="CI66" s="195"/>
      <c r="CJ66" s="195"/>
      <c r="CK66" s="195"/>
      <c r="CL66" s="195"/>
      <c r="CM66" s="195"/>
      <c r="CN66" s="195"/>
      <c r="CO66" s="347"/>
      <c r="CP66" s="200"/>
      <c r="CQ66" s="201"/>
      <c r="CR66" s="202"/>
      <c r="CS66" s="203">
        <f t="shared" si="48"/>
        <v>0</v>
      </c>
      <c r="CT66" s="146"/>
      <c r="CU66" s="147">
        <f t="shared" si="4"/>
        <v>0</v>
      </c>
      <c r="CV66" s="156"/>
      <c r="CW66" s="157" t="e">
        <f t="shared" si="5"/>
        <v>#DIV/0!</v>
      </c>
      <c r="CX66" s="157" t="e">
        <f t="shared" si="6"/>
        <v>#DIV/0!</v>
      </c>
      <c r="CY66" s="157" t="e">
        <f t="shared" si="7"/>
        <v>#DIV/0!</v>
      </c>
      <c r="CZ66" s="157" t="e">
        <f t="shared" si="8"/>
        <v>#DIV/0!</v>
      </c>
      <c r="DA66" s="157" t="e">
        <f t="shared" si="9"/>
        <v>#DIV/0!</v>
      </c>
      <c r="DB66" s="158" t="e">
        <f t="shared" si="10"/>
        <v>#DIV/0!</v>
      </c>
      <c r="DC66" s="131"/>
      <c r="DD66" s="159">
        <f t="shared" si="11"/>
        <v>0</v>
      </c>
      <c r="DE66" s="160">
        <f t="shared" si="12"/>
        <v>0</v>
      </c>
      <c r="DF66" s="161">
        <f t="shared" si="13"/>
        <v>0</v>
      </c>
      <c r="DG66" s="162" t="e">
        <f t="shared" si="14"/>
        <v>#DIV/0!</v>
      </c>
      <c r="DH66" s="163">
        <f t="shared" si="15"/>
        <v>0</v>
      </c>
      <c r="DI66" s="164"/>
      <c r="DJ66" s="165">
        <f t="shared" si="50"/>
        <v>0</v>
      </c>
      <c r="DK66" s="166">
        <f t="shared" si="50"/>
        <v>0</v>
      </c>
      <c r="DL66" s="167" t="e">
        <f t="shared" si="17"/>
        <v>#DIV/0!</v>
      </c>
      <c r="DM66" s="168" t="e">
        <f t="shared" si="18"/>
        <v>#DIV/0!</v>
      </c>
      <c r="DN66" s="163" t="e">
        <f t="shared" si="19"/>
        <v>#DIV/0!</v>
      </c>
      <c r="DP66" s="170"/>
      <c r="DQ66" s="171"/>
      <c r="DR66" s="172">
        <f t="shared" si="20"/>
        <v>0</v>
      </c>
      <c r="DS66" s="173" t="e">
        <f t="shared" si="21"/>
        <v>#DIV/0!</v>
      </c>
      <c r="DT66" s="163" t="e">
        <f t="shared" si="22"/>
        <v>#DIV/0!</v>
      </c>
      <c r="DU66" s="174"/>
      <c r="DV66" s="175" t="e">
        <f t="shared" si="23"/>
        <v>#DIV/0!</v>
      </c>
      <c r="DW66" s="163">
        <f t="shared" si="24"/>
        <v>0</v>
      </c>
      <c r="DX66" s="164"/>
      <c r="DY66" s="176">
        <f t="shared" si="25"/>
        <v>0</v>
      </c>
      <c r="DZ66" s="177">
        <f t="shared" si="26"/>
        <v>0</v>
      </c>
      <c r="EA66" s="178">
        <f t="shared" si="27"/>
        <v>0</v>
      </c>
      <c r="EB66" s="179">
        <f t="shared" si="28"/>
        <v>0</v>
      </c>
      <c r="EC66" s="180"/>
      <c r="ED66" s="175" t="e">
        <f t="shared" si="29"/>
        <v>#DIV/0!</v>
      </c>
      <c r="EE66" s="163">
        <f t="shared" si="30"/>
        <v>0</v>
      </c>
      <c r="EF66" s="164"/>
      <c r="EG66" s="181">
        <f t="shared" si="31"/>
        <v>0</v>
      </c>
      <c r="EH66" s="182">
        <f t="shared" si="32"/>
        <v>0</v>
      </c>
      <c r="EI66" s="182">
        <f t="shared" si="33"/>
        <v>0</v>
      </c>
      <c r="EJ66" s="182">
        <f t="shared" si="34"/>
        <v>0</v>
      </c>
      <c r="EK66" s="183">
        <f t="shared" si="35"/>
        <v>0</v>
      </c>
      <c r="EL66" s="184" t="e">
        <f t="shared" si="36"/>
        <v>#DIV/0!</v>
      </c>
      <c r="EM66" s="185">
        <f t="shared" si="37"/>
        <v>0</v>
      </c>
      <c r="EN66" s="164"/>
      <c r="EO66" s="181">
        <f t="shared" si="38"/>
        <v>0</v>
      </c>
      <c r="EP66" s="183">
        <f t="shared" si="39"/>
        <v>0</v>
      </c>
      <c r="EQ66" s="184" t="e">
        <f t="shared" si="40"/>
        <v>#DIV/0!</v>
      </c>
      <c r="ER66" s="185">
        <f t="shared" si="41"/>
        <v>0</v>
      </c>
      <c r="ES66" s="164"/>
      <c r="ET66" s="164"/>
      <c r="EU66" s="186">
        <f t="shared" si="42"/>
        <v>0</v>
      </c>
      <c r="EV66" s="186">
        <f t="shared" si="43"/>
        <v>0</v>
      </c>
      <c r="EW66" s="186">
        <f t="shared" si="44"/>
        <v>0</v>
      </c>
      <c r="EX66" s="186">
        <f t="shared" si="45"/>
        <v>0</v>
      </c>
      <c r="EY66" s="131"/>
      <c r="EZ66" s="187">
        <f t="shared" si="46"/>
        <v>0</v>
      </c>
      <c r="FA66" s="188" t="e">
        <f t="shared" si="47"/>
        <v>#DIV/0!</v>
      </c>
      <c r="FB66" s="189"/>
      <c r="FC66" s="131"/>
      <c r="FD66" s="131"/>
      <c r="FE66" s="131"/>
      <c r="FF66" s="131"/>
      <c r="FG66" s="131"/>
    </row>
    <row r="67" spans="2:163" s="169" customFormat="1" ht="16" outlineLevel="1" thickBot="1" x14ac:dyDescent="0.4">
      <c r="B67" s="358"/>
      <c r="C67" s="355"/>
      <c r="D67" s="243"/>
      <c r="E67" s="244"/>
      <c r="F67" s="135"/>
      <c r="G67" s="192"/>
      <c r="H67" s="245"/>
      <c r="I67" s="138">
        <f t="shared" si="0"/>
        <v>0</v>
      </c>
      <c r="J67" s="139"/>
      <c r="K67" s="208">
        <f t="shared" si="54"/>
        <v>0</v>
      </c>
      <c r="L67" s="141"/>
      <c r="M67" s="209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09"/>
      <c r="AB67" s="210"/>
      <c r="AC67" s="210"/>
      <c r="AD67" s="210"/>
      <c r="AE67" s="210"/>
      <c r="AF67" s="210"/>
      <c r="AG67" s="210"/>
      <c r="AH67" s="210"/>
      <c r="AI67" s="210"/>
      <c r="AJ67" s="210"/>
      <c r="AK67" s="210"/>
      <c r="AL67" s="210"/>
      <c r="AM67" s="211"/>
      <c r="AN67" s="212">
        <f t="shared" si="2"/>
        <v>0</v>
      </c>
      <c r="AO67" s="146"/>
      <c r="AP67" s="147">
        <f t="shared" si="3"/>
        <v>0</v>
      </c>
      <c r="AQ67" s="148"/>
      <c r="AR67" s="213"/>
      <c r="AS67" s="213"/>
      <c r="AT67" s="135"/>
      <c r="AU67" s="214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6"/>
      <c r="BG67" s="216"/>
      <c r="BH67" s="216"/>
      <c r="BI67" s="216"/>
      <c r="BJ67" s="216"/>
      <c r="BK67" s="216"/>
      <c r="BL67" s="216"/>
      <c r="BM67" s="216"/>
      <c r="BN67" s="216"/>
      <c r="BO67" s="216"/>
      <c r="BP67" s="216"/>
      <c r="BQ67" s="216"/>
      <c r="BR67" s="214"/>
      <c r="BS67" s="215"/>
      <c r="BT67" s="215"/>
      <c r="BU67" s="215"/>
      <c r="BV67" s="215"/>
      <c r="BW67" s="215"/>
      <c r="BX67" s="215"/>
      <c r="BY67" s="215"/>
      <c r="BZ67" s="215"/>
      <c r="CA67" s="215"/>
      <c r="CB67" s="215"/>
      <c r="CC67" s="217"/>
      <c r="CD67" s="214"/>
      <c r="CE67" s="209"/>
      <c r="CF67" s="210"/>
      <c r="CG67" s="210"/>
      <c r="CH67" s="210"/>
      <c r="CI67" s="210"/>
      <c r="CJ67" s="210"/>
      <c r="CK67" s="210"/>
      <c r="CL67" s="210"/>
      <c r="CM67" s="210"/>
      <c r="CN67" s="210"/>
      <c r="CO67" s="348"/>
      <c r="CP67" s="215"/>
      <c r="CQ67" s="216"/>
      <c r="CR67" s="217"/>
      <c r="CS67" s="218">
        <f t="shared" si="48"/>
        <v>0</v>
      </c>
      <c r="CT67" s="146"/>
      <c r="CU67" s="147">
        <f t="shared" si="4"/>
        <v>0</v>
      </c>
      <c r="CV67" s="156"/>
      <c r="CW67" s="157" t="e">
        <f t="shared" si="5"/>
        <v>#DIV/0!</v>
      </c>
      <c r="CX67" s="157" t="e">
        <f t="shared" si="6"/>
        <v>#DIV/0!</v>
      </c>
      <c r="CY67" s="157" t="e">
        <f t="shared" si="7"/>
        <v>#DIV/0!</v>
      </c>
      <c r="CZ67" s="157" t="e">
        <f t="shared" si="8"/>
        <v>#DIV/0!</v>
      </c>
      <c r="DA67" s="157" t="e">
        <f t="shared" si="9"/>
        <v>#DIV/0!</v>
      </c>
      <c r="DB67" s="158" t="e">
        <f t="shared" si="10"/>
        <v>#DIV/0!</v>
      </c>
      <c r="DC67" s="131"/>
      <c r="DD67" s="159">
        <f t="shared" si="11"/>
        <v>0</v>
      </c>
      <c r="DE67" s="160">
        <f t="shared" si="12"/>
        <v>0</v>
      </c>
      <c r="DF67" s="161">
        <f t="shared" si="13"/>
        <v>0</v>
      </c>
      <c r="DG67" s="162" t="e">
        <f t="shared" si="14"/>
        <v>#DIV/0!</v>
      </c>
      <c r="DH67" s="163">
        <f t="shared" si="15"/>
        <v>0</v>
      </c>
      <c r="DI67" s="164"/>
      <c r="DJ67" s="165">
        <f t="shared" si="50"/>
        <v>0</v>
      </c>
      <c r="DK67" s="166">
        <f t="shared" si="50"/>
        <v>0</v>
      </c>
      <c r="DL67" s="167" t="e">
        <f t="shared" si="17"/>
        <v>#DIV/0!</v>
      </c>
      <c r="DM67" s="168" t="e">
        <f t="shared" si="18"/>
        <v>#DIV/0!</v>
      </c>
      <c r="DN67" s="163" t="e">
        <f t="shared" si="19"/>
        <v>#DIV/0!</v>
      </c>
      <c r="DP67" s="170"/>
      <c r="DQ67" s="171"/>
      <c r="DR67" s="172">
        <f t="shared" si="20"/>
        <v>0</v>
      </c>
      <c r="DS67" s="173" t="e">
        <f t="shared" si="21"/>
        <v>#DIV/0!</v>
      </c>
      <c r="DT67" s="163" t="e">
        <f t="shared" si="22"/>
        <v>#DIV/0!</v>
      </c>
      <c r="DU67" s="174"/>
      <c r="DV67" s="175" t="e">
        <f t="shared" si="23"/>
        <v>#DIV/0!</v>
      </c>
      <c r="DW67" s="163">
        <f t="shared" si="24"/>
        <v>0</v>
      </c>
      <c r="DX67" s="164"/>
      <c r="DY67" s="176">
        <f t="shared" si="25"/>
        <v>0</v>
      </c>
      <c r="DZ67" s="177">
        <f t="shared" si="26"/>
        <v>0</v>
      </c>
      <c r="EA67" s="178">
        <f t="shared" si="27"/>
        <v>0</v>
      </c>
      <c r="EB67" s="179">
        <f t="shared" si="28"/>
        <v>0</v>
      </c>
      <c r="EC67" s="180"/>
      <c r="ED67" s="175" t="e">
        <f t="shared" si="29"/>
        <v>#DIV/0!</v>
      </c>
      <c r="EE67" s="163">
        <f t="shared" si="30"/>
        <v>0</v>
      </c>
      <c r="EF67" s="164"/>
      <c r="EG67" s="181">
        <f t="shared" si="31"/>
        <v>0</v>
      </c>
      <c r="EH67" s="182">
        <f t="shared" si="32"/>
        <v>0</v>
      </c>
      <c r="EI67" s="182">
        <f t="shared" si="33"/>
        <v>0</v>
      </c>
      <c r="EJ67" s="182">
        <f t="shared" si="34"/>
        <v>0</v>
      </c>
      <c r="EK67" s="183">
        <f t="shared" si="35"/>
        <v>0</v>
      </c>
      <c r="EL67" s="184" t="e">
        <f t="shared" si="36"/>
        <v>#DIV/0!</v>
      </c>
      <c r="EM67" s="185">
        <f t="shared" si="37"/>
        <v>0</v>
      </c>
      <c r="EN67" s="164"/>
      <c r="EO67" s="181">
        <f t="shared" si="38"/>
        <v>0</v>
      </c>
      <c r="EP67" s="183">
        <f t="shared" si="39"/>
        <v>0</v>
      </c>
      <c r="EQ67" s="184" t="e">
        <f t="shared" si="40"/>
        <v>#DIV/0!</v>
      </c>
      <c r="ER67" s="185">
        <f t="shared" si="41"/>
        <v>0</v>
      </c>
      <c r="ES67" s="164"/>
      <c r="ET67" s="164"/>
      <c r="EU67" s="186">
        <f t="shared" si="42"/>
        <v>0</v>
      </c>
      <c r="EV67" s="186">
        <f t="shared" si="43"/>
        <v>0</v>
      </c>
      <c r="EW67" s="186">
        <f t="shared" si="44"/>
        <v>0</v>
      </c>
      <c r="EX67" s="186">
        <f t="shared" si="45"/>
        <v>0</v>
      </c>
      <c r="EY67" s="131"/>
      <c r="EZ67" s="187">
        <f t="shared" si="46"/>
        <v>0</v>
      </c>
      <c r="FA67" s="188" t="e">
        <f t="shared" si="47"/>
        <v>#DIV/0!</v>
      </c>
      <c r="FB67" s="189"/>
      <c r="FC67" s="131"/>
      <c r="FD67" s="131"/>
      <c r="FE67" s="131"/>
      <c r="FF67" s="131"/>
      <c r="FG67" s="131"/>
    </row>
    <row r="68" spans="2:163" ht="16" outlineLevel="1" thickBot="1" x14ac:dyDescent="0.4">
      <c r="B68" s="356"/>
      <c r="C68" s="353"/>
      <c r="D68" s="133"/>
      <c r="E68" s="134"/>
      <c r="F68" s="135"/>
      <c r="G68" s="136"/>
      <c r="H68" s="137"/>
      <c r="I68" s="138">
        <f>IF(E68&gt;0.0001,9.4,0)</f>
        <v>0</v>
      </c>
      <c r="J68" s="139"/>
      <c r="K68" s="140">
        <f>E68*60</f>
        <v>0</v>
      </c>
      <c r="L68" s="141"/>
      <c r="M68" s="142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2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4"/>
      <c r="AN68" s="145">
        <f t="shared" si="2"/>
        <v>0</v>
      </c>
      <c r="AO68" s="146"/>
      <c r="AP68" s="147">
        <f t="shared" si="3"/>
        <v>0</v>
      </c>
      <c r="AQ68" s="148"/>
      <c r="AR68" s="149"/>
      <c r="AS68" s="149"/>
      <c r="AT68" s="135"/>
      <c r="AU68" s="150"/>
      <c r="AV68" s="151"/>
      <c r="AW68" s="151"/>
      <c r="AX68" s="151"/>
      <c r="AY68" s="151"/>
      <c r="AZ68" s="151"/>
      <c r="BA68" s="151"/>
      <c r="BB68" s="151"/>
      <c r="BC68" s="151"/>
      <c r="BD68" s="151"/>
      <c r="BE68" s="151"/>
      <c r="BF68" s="152"/>
      <c r="BG68" s="152"/>
      <c r="BH68" s="152"/>
      <c r="BI68" s="152"/>
      <c r="BJ68" s="152"/>
      <c r="BK68" s="152"/>
      <c r="BL68" s="152"/>
      <c r="BM68" s="152"/>
      <c r="BN68" s="152"/>
      <c r="BO68" s="152"/>
      <c r="BP68" s="152"/>
      <c r="BQ68" s="152"/>
      <c r="BR68" s="150"/>
      <c r="BS68" s="151"/>
      <c r="BT68" s="151"/>
      <c r="BU68" s="151"/>
      <c r="BV68" s="151"/>
      <c r="BW68" s="151"/>
      <c r="BX68" s="151"/>
      <c r="BY68" s="151"/>
      <c r="BZ68" s="151"/>
      <c r="CA68" s="151"/>
      <c r="CB68" s="151"/>
      <c r="CC68" s="154"/>
      <c r="CD68" s="150"/>
      <c r="CE68" s="142"/>
      <c r="CF68" s="143"/>
      <c r="CG68" s="143"/>
      <c r="CH68" s="143"/>
      <c r="CI68" s="143"/>
      <c r="CJ68" s="143"/>
      <c r="CK68" s="143"/>
      <c r="CL68" s="143"/>
      <c r="CM68" s="143"/>
      <c r="CN68" s="143"/>
      <c r="CO68" s="346"/>
      <c r="CP68" s="151"/>
      <c r="CQ68" s="152"/>
      <c r="CR68" s="154"/>
      <c r="CS68" s="155">
        <f t="shared" si="48"/>
        <v>0</v>
      </c>
      <c r="CT68" s="146"/>
      <c r="CU68" s="147">
        <f t="shared" si="4"/>
        <v>0</v>
      </c>
      <c r="CV68" s="156"/>
      <c r="CW68" s="157" t="e">
        <f t="shared" si="5"/>
        <v>#DIV/0!</v>
      </c>
      <c r="CX68" s="157" t="e">
        <f t="shared" si="6"/>
        <v>#DIV/0!</v>
      </c>
      <c r="CY68" s="157" t="e">
        <f t="shared" si="7"/>
        <v>#DIV/0!</v>
      </c>
      <c r="CZ68" s="157" t="e">
        <f t="shared" si="8"/>
        <v>#DIV/0!</v>
      </c>
      <c r="DA68" s="157" t="e">
        <f t="shared" si="9"/>
        <v>#DIV/0!</v>
      </c>
      <c r="DB68" s="158" t="e">
        <f t="shared" si="10"/>
        <v>#DIV/0!</v>
      </c>
      <c r="DC68" s="131"/>
      <c r="DD68" s="159">
        <f t="shared" si="11"/>
        <v>0</v>
      </c>
      <c r="DE68" s="160">
        <f t="shared" si="12"/>
        <v>0</v>
      </c>
      <c r="DF68" s="161">
        <f t="shared" si="13"/>
        <v>0</v>
      </c>
      <c r="DG68" s="162" t="e">
        <f t="shared" si="14"/>
        <v>#DIV/0!</v>
      </c>
      <c r="DH68" s="163">
        <f t="shared" si="15"/>
        <v>0</v>
      </c>
      <c r="DI68" s="164"/>
      <c r="DJ68" s="165">
        <f t="shared" ref="DJ68:DK103" si="55">H68</f>
        <v>0</v>
      </c>
      <c r="DK68" s="166">
        <f t="shared" si="55"/>
        <v>0</v>
      </c>
      <c r="DL68" s="167" t="e">
        <f t="shared" si="17"/>
        <v>#DIV/0!</v>
      </c>
      <c r="DM68" s="168" t="e">
        <f t="shared" si="18"/>
        <v>#DIV/0!</v>
      </c>
      <c r="DN68" s="163" t="e">
        <f t="shared" si="19"/>
        <v>#DIV/0!</v>
      </c>
      <c r="DO68" s="169"/>
      <c r="DP68" s="170"/>
      <c r="DQ68" s="171"/>
      <c r="DR68" s="172">
        <f t="shared" si="20"/>
        <v>0</v>
      </c>
      <c r="DS68" s="173" t="e">
        <f t="shared" si="21"/>
        <v>#DIV/0!</v>
      </c>
      <c r="DT68" s="163" t="e">
        <f t="shared" si="22"/>
        <v>#DIV/0!</v>
      </c>
      <c r="DU68" s="174"/>
      <c r="DV68" s="175" t="e">
        <f t="shared" si="23"/>
        <v>#DIV/0!</v>
      </c>
      <c r="DW68" s="163">
        <f t="shared" si="24"/>
        <v>0</v>
      </c>
      <c r="DX68" s="164"/>
      <c r="DY68" s="176">
        <f t="shared" si="25"/>
        <v>0</v>
      </c>
      <c r="DZ68" s="177">
        <f t="shared" si="26"/>
        <v>0</v>
      </c>
      <c r="EA68" s="178">
        <f t="shared" si="27"/>
        <v>0</v>
      </c>
      <c r="EB68" s="179">
        <f t="shared" si="28"/>
        <v>0</v>
      </c>
      <c r="EC68" s="180"/>
      <c r="ED68" s="175" t="e">
        <f t="shared" si="29"/>
        <v>#DIV/0!</v>
      </c>
      <c r="EE68" s="163">
        <f t="shared" si="30"/>
        <v>0</v>
      </c>
      <c r="EF68" s="164"/>
      <c r="EG68" s="181">
        <f t="shared" si="31"/>
        <v>0</v>
      </c>
      <c r="EH68" s="182">
        <f t="shared" si="32"/>
        <v>0</v>
      </c>
      <c r="EI68" s="182">
        <f t="shared" si="33"/>
        <v>0</v>
      </c>
      <c r="EJ68" s="182">
        <f t="shared" si="34"/>
        <v>0</v>
      </c>
      <c r="EK68" s="183">
        <f t="shared" si="35"/>
        <v>0</v>
      </c>
      <c r="EL68" s="184" t="e">
        <f t="shared" si="36"/>
        <v>#DIV/0!</v>
      </c>
      <c r="EM68" s="185">
        <f t="shared" si="37"/>
        <v>0</v>
      </c>
      <c r="EN68" s="164"/>
      <c r="EO68" s="181">
        <f t="shared" si="38"/>
        <v>0</v>
      </c>
      <c r="EP68" s="183">
        <f t="shared" si="39"/>
        <v>0</v>
      </c>
      <c r="EQ68" s="184" t="e">
        <f t="shared" si="40"/>
        <v>#DIV/0!</v>
      </c>
      <c r="ER68" s="185">
        <f t="shared" si="41"/>
        <v>0</v>
      </c>
      <c r="ES68" s="164"/>
      <c r="ET68" s="164"/>
      <c r="EU68" s="186">
        <f t="shared" si="42"/>
        <v>0</v>
      </c>
      <c r="EV68" s="186">
        <f t="shared" si="43"/>
        <v>0</v>
      </c>
      <c r="EW68" s="186">
        <f t="shared" si="44"/>
        <v>0</v>
      </c>
      <c r="EX68" s="186">
        <f t="shared" si="45"/>
        <v>0</v>
      </c>
      <c r="EY68" s="131"/>
      <c r="EZ68" s="187">
        <f t="shared" si="46"/>
        <v>0</v>
      </c>
      <c r="FA68" s="188" t="e">
        <f t="shared" si="47"/>
        <v>#DIV/0!</v>
      </c>
      <c r="FB68" s="189"/>
      <c r="FC68" s="131"/>
      <c r="FD68" s="131"/>
      <c r="FE68" s="131"/>
      <c r="FF68" s="131"/>
      <c r="FG68" s="131"/>
    </row>
    <row r="69" spans="2:163" ht="16" outlineLevel="1" thickBot="1" x14ac:dyDescent="0.4">
      <c r="B69" s="357"/>
      <c r="C69" s="354"/>
      <c r="D69" s="240"/>
      <c r="E69" s="241"/>
      <c r="F69" s="135"/>
      <c r="G69" s="192"/>
      <c r="H69" s="242"/>
      <c r="I69" s="138">
        <f t="shared" ref="I69:I106" si="56">IF(E69&gt;0.0001,0,0)</f>
        <v>0</v>
      </c>
      <c r="J69" s="139"/>
      <c r="K69" s="193">
        <f t="shared" ref="K69:K70" si="57">E69*60</f>
        <v>0</v>
      </c>
      <c r="L69" s="141"/>
      <c r="M69" s="194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4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6"/>
      <c r="AN69" s="197">
        <f t="shared" ref="AN69:AN106" si="58">SUM(M69:AM69)</f>
        <v>0</v>
      </c>
      <c r="AO69" s="146"/>
      <c r="AP69" s="147">
        <f t="shared" ref="AP69:AP106" si="59">K69-AN69</f>
        <v>0</v>
      </c>
      <c r="AQ69" s="148"/>
      <c r="AR69" s="198"/>
      <c r="AS69" s="198"/>
      <c r="AT69" s="135"/>
      <c r="AU69" s="199"/>
      <c r="AV69" s="200"/>
      <c r="AW69" s="200"/>
      <c r="AX69" s="200"/>
      <c r="AY69" s="200"/>
      <c r="AZ69" s="200"/>
      <c r="BA69" s="200"/>
      <c r="BB69" s="200"/>
      <c r="BC69" s="200"/>
      <c r="BD69" s="200"/>
      <c r="BE69" s="200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199"/>
      <c r="BS69" s="200"/>
      <c r="BT69" s="200"/>
      <c r="BU69" s="200"/>
      <c r="BV69" s="200"/>
      <c r="BW69" s="200"/>
      <c r="BX69" s="200"/>
      <c r="BY69" s="200"/>
      <c r="BZ69" s="200"/>
      <c r="CA69" s="200"/>
      <c r="CB69" s="200"/>
      <c r="CC69" s="202"/>
      <c r="CD69" s="199"/>
      <c r="CE69" s="194"/>
      <c r="CF69" s="195"/>
      <c r="CG69" s="195"/>
      <c r="CH69" s="195"/>
      <c r="CI69" s="195"/>
      <c r="CJ69" s="195"/>
      <c r="CK69" s="195"/>
      <c r="CL69" s="195"/>
      <c r="CM69" s="195"/>
      <c r="CN69" s="195"/>
      <c r="CO69" s="347"/>
      <c r="CP69" s="200"/>
      <c r="CQ69" s="201"/>
      <c r="CR69" s="202"/>
      <c r="CS69" s="203">
        <f t="shared" ref="CS69:CS100" si="60">SUM(AU69:CR69)</f>
        <v>0</v>
      </c>
      <c r="CT69" s="146"/>
      <c r="CU69" s="147">
        <f t="shared" ref="CU69:CU106" si="61">AP69-CS69</f>
        <v>0</v>
      </c>
      <c r="CV69" s="156"/>
      <c r="CW69" s="157" t="e">
        <f t="shared" ref="CW69:CW106" si="62">(SUM(M69:Z69))/K69</f>
        <v>#DIV/0!</v>
      </c>
      <c r="CX69" s="157" t="e">
        <f t="shared" ref="CX69:CX107" si="63">(SUM(AA69:AM69))/K69</f>
        <v>#DIV/0!</v>
      </c>
      <c r="CY69" s="157" t="e">
        <f t="shared" ref="CY69:CY107" si="64">(SUM(AU69:BQ69))/$K69</f>
        <v>#DIV/0!</v>
      </c>
      <c r="CZ69" s="157" t="e">
        <f t="shared" ref="CZ69:CZ107" si="65">(SUM(BR69:CC69))/K69</f>
        <v>#DIV/0!</v>
      </c>
      <c r="DA69" s="157" t="e">
        <f t="shared" ref="DA69:DA107" si="66">(SUM(CD69:CR69))/K69</f>
        <v>#DIV/0!</v>
      </c>
      <c r="DB69" s="158" t="e">
        <f t="shared" ref="DB69:DB107" si="67">CU69/K69</f>
        <v>#DIV/0!</v>
      </c>
      <c r="DC69" s="131"/>
      <c r="DD69" s="159">
        <f t="shared" ref="DD69:DD106" si="68">AP69</f>
        <v>0</v>
      </c>
      <c r="DE69" s="160">
        <f t="shared" ref="DE69:DE106" si="69">CS69</f>
        <v>0</v>
      </c>
      <c r="DF69" s="161">
        <f t="shared" ref="DF69:DF107" si="70">$DD69-DE69</f>
        <v>0</v>
      </c>
      <c r="DG69" s="162" t="e">
        <f t="shared" ref="DG69:DG106" si="71">DF69/$DD69</f>
        <v>#DIV/0!</v>
      </c>
      <c r="DH69" s="163">
        <f t="shared" ref="DH69:DH106" si="72">IF(AP69&gt;0.01,1,0)</f>
        <v>0</v>
      </c>
      <c r="DI69" s="164"/>
      <c r="DJ69" s="165">
        <f t="shared" si="55"/>
        <v>0</v>
      </c>
      <c r="DK69" s="166">
        <f t="shared" si="55"/>
        <v>0</v>
      </c>
      <c r="DL69" s="167" t="e">
        <f t="shared" ref="DL69:DL106" si="73">DR69/DF69</f>
        <v>#DIV/0!</v>
      </c>
      <c r="DM69" s="168" t="e">
        <f t="shared" ref="DM69:DM106" si="74">DL69/DK69</f>
        <v>#DIV/0!</v>
      </c>
      <c r="DN69" s="163" t="e">
        <f t="shared" ref="DN69:DN106" si="75">IF(DM69&gt;0.01,1,0)</f>
        <v>#DIV/0!</v>
      </c>
      <c r="DO69" s="169"/>
      <c r="DP69" s="170"/>
      <c r="DQ69" s="171"/>
      <c r="DR69" s="172">
        <f t="shared" ref="DR69:DR107" si="76">DP69+DQ69</f>
        <v>0</v>
      </c>
      <c r="DS69" s="173" t="e">
        <f t="shared" ref="DS69:DS106" si="77">IF(DL69=0,0,DP69/DR69)</f>
        <v>#DIV/0!</v>
      </c>
      <c r="DT69" s="163" t="e">
        <f t="shared" ref="DT69:DT106" si="78">IF(DS69&gt;0.01,1,0)</f>
        <v>#DIV/0!</v>
      </c>
      <c r="DU69" s="174"/>
      <c r="DV69" s="175" t="e">
        <f t="shared" ref="DV69:DV106" si="79">DG69*DM69*DS69</f>
        <v>#DIV/0!</v>
      </c>
      <c r="DW69" s="163">
        <f t="shared" ref="DW69:DW106" si="80">IF($AP69&gt;0.01,1,0)</f>
        <v>0</v>
      </c>
      <c r="DX69" s="164"/>
      <c r="DY69" s="176">
        <f t="shared" ref="DY69:DY107" si="81">DP69</f>
        <v>0</v>
      </c>
      <c r="DZ69" s="177">
        <f t="shared" ref="DZ69:DZ106" si="82">DK69</f>
        <v>0</v>
      </c>
      <c r="EA69" s="178">
        <f t="shared" ref="EA69:EA106" si="83">+AP69</f>
        <v>0</v>
      </c>
      <c r="EB69" s="179">
        <f t="shared" ref="EB69:EB106" si="84">DZ69*EA69</f>
        <v>0</v>
      </c>
      <c r="EC69" s="180"/>
      <c r="ED69" s="175" t="e">
        <f t="shared" ref="ED69:ED106" si="85">DY69/EB69</f>
        <v>#DIV/0!</v>
      </c>
      <c r="EE69" s="163">
        <f t="shared" ref="EE69:EE106" si="86">IF($AP69&gt;0.01,1,0)</f>
        <v>0</v>
      </c>
      <c r="EF69" s="164"/>
      <c r="EG69" s="181">
        <f t="shared" ref="EG69:EG106" si="87">DP69</f>
        <v>0</v>
      </c>
      <c r="EH69" s="182">
        <f t="shared" ref="EH69:EH106" si="88">K69</f>
        <v>0</v>
      </c>
      <c r="EI69" s="182">
        <f t="shared" ref="EI69:EI106" si="89">SUM(M69:Z69)</f>
        <v>0</v>
      </c>
      <c r="EJ69" s="182">
        <f t="shared" ref="EJ69:EJ106" si="90">I69</f>
        <v>0</v>
      </c>
      <c r="EK69" s="183">
        <f t="shared" ref="EK69:EK106" si="91">(EH69-EI69)*EJ69</f>
        <v>0</v>
      </c>
      <c r="EL69" s="184" t="e">
        <f t="shared" ref="EL69:EL106" si="92">EG69/EK69</f>
        <v>#DIV/0!</v>
      </c>
      <c r="EM69" s="185">
        <f t="shared" ref="EM69:EM106" si="93">IF(EK69&gt;0.01,1,0)</f>
        <v>0</v>
      </c>
      <c r="EN69" s="164"/>
      <c r="EO69" s="181">
        <f t="shared" ref="EO69:EO106" si="94">EG69</f>
        <v>0</v>
      </c>
      <c r="EP69" s="183">
        <f t="shared" ref="EP69:EP106" si="95">EJ69</f>
        <v>0</v>
      </c>
      <c r="EQ69" s="184" t="e">
        <f t="shared" ref="EQ69:EQ106" si="96">EO69/(EP69*K69)</f>
        <v>#DIV/0!</v>
      </c>
      <c r="ER69" s="185">
        <f t="shared" ref="ER69:ER106" si="97">IF($K69&gt;0.01,1,0)</f>
        <v>0</v>
      </c>
      <c r="ES69" s="164"/>
      <c r="ET69" s="164"/>
      <c r="EU69" s="186">
        <f t="shared" ref="EU69:EU107" si="98">DK69</f>
        <v>0</v>
      </c>
      <c r="EV69" s="186">
        <f t="shared" ref="EV69:EV106" si="99">CU69</f>
        <v>0</v>
      </c>
      <c r="EW69" s="186">
        <f t="shared" ref="EW69:EW106" si="100">I69*CU69</f>
        <v>0</v>
      </c>
      <c r="EX69" s="186">
        <f t="shared" ref="EX69:EX106" si="101">DR69</f>
        <v>0</v>
      </c>
      <c r="EY69" s="131"/>
      <c r="EZ69" s="187">
        <f t="shared" ref="EZ69:EZ106" si="102">EW69-EX69</f>
        <v>0</v>
      </c>
      <c r="FA69" s="188" t="e">
        <f t="shared" ref="FA69:FA106" si="103">+IF(EZ69/I69&lt;0,0,(EZ69/I69))</f>
        <v>#DIV/0!</v>
      </c>
      <c r="FB69" s="189"/>
      <c r="FC69" s="131"/>
      <c r="FD69" s="131"/>
      <c r="FE69" s="131"/>
      <c r="FF69" s="131"/>
      <c r="FG69" s="131"/>
    </row>
    <row r="70" spans="2:163" ht="16" outlineLevel="1" thickBot="1" x14ac:dyDescent="0.4">
      <c r="B70" s="358"/>
      <c r="C70" s="355"/>
      <c r="D70" s="243"/>
      <c r="E70" s="244"/>
      <c r="F70" s="135"/>
      <c r="G70" s="192"/>
      <c r="H70" s="245"/>
      <c r="I70" s="138">
        <f t="shared" si="56"/>
        <v>0</v>
      </c>
      <c r="J70" s="139"/>
      <c r="K70" s="208">
        <f t="shared" si="57"/>
        <v>0</v>
      </c>
      <c r="L70" s="141"/>
      <c r="M70" s="209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09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0"/>
      <c r="AM70" s="211"/>
      <c r="AN70" s="212">
        <f t="shared" si="58"/>
        <v>0</v>
      </c>
      <c r="AO70" s="146"/>
      <c r="AP70" s="147">
        <f t="shared" si="59"/>
        <v>0</v>
      </c>
      <c r="AQ70" s="148"/>
      <c r="AR70" s="213"/>
      <c r="AS70" s="213"/>
      <c r="AT70" s="135"/>
      <c r="AU70" s="214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6"/>
      <c r="BG70" s="216"/>
      <c r="BH70" s="216"/>
      <c r="BI70" s="216"/>
      <c r="BJ70" s="216"/>
      <c r="BK70" s="216"/>
      <c r="BL70" s="216"/>
      <c r="BM70" s="216"/>
      <c r="BN70" s="216"/>
      <c r="BO70" s="216"/>
      <c r="BP70" s="216"/>
      <c r="BQ70" s="216"/>
      <c r="BR70" s="214"/>
      <c r="BS70" s="215"/>
      <c r="BT70" s="215"/>
      <c r="BU70" s="215"/>
      <c r="BV70" s="215"/>
      <c r="BW70" s="215"/>
      <c r="BX70" s="215"/>
      <c r="BY70" s="215"/>
      <c r="BZ70" s="215"/>
      <c r="CA70" s="215"/>
      <c r="CB70" s="215"/>
      <c r="CC70" s="217"/>
      <c r="CD70" s="214"/>
      <c r="CE70" s="209"/>
      <c r="CF70" s="210"/>
      <c r="CG70" s="210"/>
      <c r="CH70" s="210"/>
      <c r="CI70" s="210"/>
      <c r="CJ70" s="210"/>
      <c r="CK70" s="210"/>
      <c r="CL70" s="210"/>
      <c r="CM70" s="210"/>
      <c r="CN70" s="210"/>
      <c r="CO70" s="348"/>
      <c r="CP70" s="215"/>
      <c r="CQ70" s="216"/>
      <c r="CR70" s="217"/>
      <c r="CS70" s="218">
        <f t="shared" si="60"/>
        <v>0</v>
      </c>
      <c r="CT70" s="146"/>
      <c r="CU70" s="147">
        <f t="shared" si="61"/>
        <v>0</v>
      </c>
      <c r="CV70" s="156"/>
      <c r="CW70" s="157" t="e">
        <f t="shared" si="62"/>
        <v>#DIV/0!</v>
      </c>
      <c r="CX70" s="157" t="e">
        <f t="shared" si="63"/>
        <v>#DIV/0!</v>
      </c>
      <c r="CY70" s="157" t="e">
        <f t="shared" si="64"/>
        <v>#DIV/0!</v>
      </c>
      <c r="CZ70" s="157" t="e">
        <f t="shared" si="65"/>
        <v>#DIV/0!</v>
      </c>
      <c r="DA70" s="157" t="e">
        <f t="shared" si="66"/>
        <v>#DIV/0!</v>
      </c>
      <c r="DB70" s="158" t="e">
        <f t="shared" si="67"/>
        <v>#DIV/0!</v>
      </c>
      <c r="DC70" s="131"/>
      <c r="DD70" s="159">
        <f t="shared" si="68"/>
        <v>0</v>
      </c>
      <c r="DE70" s="160">
        <f t="shared" si="69"/>
        <v>0</v>
      </c>
      <c r="DF70" s="161">
        <f t="shared" si="70"/>
        <v>0</v>
      </c>
      <c r="DG70" s="162" t="e">
        <f t="shared" si="71"/>
        <v>#DIV/0!</v>
      </c>
      <c r="DH70" s="163">
        <f t="shared" si="72"/>
        <v>0</v>
      </c>
      <c r="DI70" s="164"/>
      <c r="DJ70" s="165">
        <f t="shared" si="55"/>
        <v>0</v>
      </c>
      <c r="DK70" s="166">
        <f t="shared" si="55"/>
        <v>0</v>
      </c>
      <c r="DL70" s="167" t="e">
        <f t="shared" si="73"/>
        <v>#DIV/0!</v>
      </c>
      <c r="DM70" s="168" t="e">
        <f t="shared" si="74"/>
        <v>#DIV/0!</v>
      </c>
      <c r="DN70" s="163" t="e">
        <f t="shared" si="75"/>
        <v>#DIV/0!</v>
      </c>
      <c r="DO70" s="169"/>
      <c r="DP70" s="170"/>
      <c r="DQ70" s="171"/>
      <c r="DR70" s="172">
        <f t="shared" si="76"/>
        <v>0</v>
      </c>
      <c r="DS70" s="173" t="e">
        <f t="shared" si="77"/>
        <v>#DIV/0!</v>
      </c>
      <c r="DT70" s="163" t="e">
        <f t="shared" si="78"/>
        <v>#DIV/0!</v>
      </c>
      <c r="DU70" s="174"/>
      <c r="DV70" s="175" t="e">
        <f t="shared" si="79"/>
        <v>#DIV/0!</v>
      </c>
      <c r="DW70" s="163">
        <f t="shared" si="80"/>
        <v>0</v>
      </c>
      <c r="DX70" s="164"/>
      <c r="DY70" s="176">
        <f t="shared" si="81"/>
        <v>0</v>
      </c>
      <c r="DZ70" s="177">
        <f t="shared" si="82"/>
        <v>0</v>
      </c>
      <c r="EA70" s="178">
        <f t="shared" si="83"/>
        <v>0</v>
      </c>
      <c r="EB70" s="179">
        <f t="shared" si="84"/>
        <v>0</v>
      </c>
      <c r="EC70" s="180"/>
      <c r="ED70" s="175" t="e">
        <f t="shared" si="85"/>
        <v>#DIV/0!</v>
      </c>
      <c r="EE70" s="163">
        <f t="shared" si="86"/>
        <v>0</v>
      </c>
      <c r="EF70" s="164"/>
      <c r="EG70" s="181">
        <f t="shared" si="87"/>
        <v>0</v>
      </c>
      <c r="EH70" s="182">
        <f t="shared" si="88"/>
        <v>0</v>
      </c>
      <c r="EI70" s="182">
        <f t="shared" si="89"/>
        <v>0</v>
      </c>
      <c r="EJ70" s="182">
        <f t="shared" si="90"/>
        <v>0</v>
      </c>
      <c r="EK70" s="183">
        <f t="shared" si="91"/>
        <v>0</v>
      </c>
      <c r="EL70" s="184" t="e">
        <f t="shared" si="92"/>
        <v>#DIV/0!</v>
      </c>
      <c r="EM70" s="185">
        <f t="shared" si="93"/>
        <v>0</v>
      </c>
      <c r="EN70" s="164"/>
      <c r="EO70" s="181">
        <f t="shared" si="94"/>
        <v>0</v>
      </c>
      <c r="EP70" s="183">
        <f t="shared" si="95"/>
        <v>0</v>
      </c>
      <c r="EQ70" s="184" t="e">
        <f t="shared" si="96"/>
        <v>#DIV/0!</v>
      </c>
      <c r="ER70" s="185">
        <f t="shared" si="97"/>
        <v>0</v>
      </c>
      <c r="ES70" s="164"/>
      <c r="ET70" s="164"/>
      <c r="EU70" s="186">
        <f t="shared" si="98"/>
        <v>0</v>
      </c>
      <c r="EV70" s="186">
        <f t="shared" si="99"/>
        <v>0</v>
      </c>
      <c r="EW70" s="186">
        <f t="shared" si="100"/>
        <v>0</v>
      </c>
      <c r="EX70" s="186">
        <f t="shared" si="101"/>
        <v>0</v>
      </c>
      <c r="EY70" s="131"/>
      <c r="EZ70" s="187">
        <f t="shared" si="102"/>
        <v>0</v>
      </c>
      <c r="FA70" s="188" t="e">
        <f t="shared" si="103"/>
        <v>#DIV/0!</v>
      </c>
      <c r="FB70" s="189"/>
      <c r="FC70" s="131"/>
      <c r="FD70" s="131"/>
      <c r="FE70" s="131"/>
      <c r="FF70" s="131"/>
      <c r="FG70" s="131"/>
    </row>
    <row r="71" spans="2:163" ht="16" outlineLevel="1" thickBot="1" x14ac:dyDescent="0.4">
      <c r="B71" s="356"/>
      <c r="C71" s="353"/>
      <c r="D71" s="133"/>
      <c r="E71" s="134"/>
      <c r="F71" s="135"/>
      <c r="G71" s="136"/>
      <c r="H71" s="137"/>
      <c r="I71" s="138">
        <f>IF(E71&gt;0.0001,9.4,0)</f>
        <v>0</v>
      </c>
      <c r="J71" s="139"/>
      <c r="K71" s="140">
        <f>E71*60</f>
        <v>0</v>
      </c>
      <c r="L71" s="141"/>
      <c r="M71" s="142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2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4"/>
      <c r="AN71" s="145">
        <f t="shared" si="58"/>
        <v>0</v>
      </c>
      <c r="AO71" s="146"/>
      <c r="AP71" s="147">
        <f t="shared" si="59"/>
        <v>0</v>
      </c>
      <c r="AQ71" s="148"/>
      <c r="AR71" s="149"/>
      <c r="AS71" s="149"/>
      <c r="AT71" s="135"/>
      <c r="AU71" s="150"/>
      <c r="AV71" s="151"/>
      <c r="AW71" s="151"/>
      <c r="AX71" s="151"/>
      <c r="AY71" s="151"/>
      <c r="AZ71" s="151"/>
      <c r="BA71" s="151"/>
      <c r="BB71" s="151"/>
      <c r="BC71" s="151"/>
      <c r="BD71" s="151"/>
      <c r="BE71" s="152"/>
      <c r="BF71" s="152"/>
      <c r="BG71" s="152"/>
      <c r="BH71" s="152"/>
      <c r="BI71" s="152"/>
      <c r="BJ71" s="152"/>
      <c r="BK71" s="152"/>
      <c r="BL71" s="152"/>
      <c r="BM71" s="152"/>
      <c r="BN71" s="152"/>
      <c r="BO71" s="152"/>
      <c r="BP71" s="152"/>
      <c r="BQ71" s="152"/>
      <c r="BR71" s="150"/>
      <c r="BS71" s="151"/>
      <c r="BT71" s="151"/>
      <c r="BU71" s="151"/>
      <c r="BV71" s="151"/>
      <c r="BW71" s="151"/>
      <c r="BX71" s="151"/>
      <c r="BY71" s="151"/>
      <c r="BZ71" s="151"/>
      <c r="CA71" s="151"/>
      <c r="CB71" s="151"/>
      <c r="CC71" s="154"/>
      <c r="CD71" s="150"/>
      <c r="CE71" s="142"/>
      <c r="CF71" s="143"/>
      <c r="CG71" s="143"/>
      <c r="CH71" s="143"/>
      <c r="CI71" s="143"/>
      <c r="CJ71" s="143"/>
      <c r="CK71" s="143"/>
      <c r="CL71" s="143"/>
      <c r="CM71" s="143"/>
      <c r="CN71" s="143"/>
      <c r="CO71" s="346"/>
      <c r="CP71" s="151"/>
      <c r="CQ71" s="152"/>
      <c r="CR71" s="154"/>
      <c r="CS71" s="155">
        <f t="shared" si="60"/>
        <v>0</v>
      </c>
      <c r="CT71" s="146"/>
      <c r="CU71" s="147">
        <f t="shared" si="61"/>
        <v>0</v>
      </c>
      <c r="CV71" s="156"/>
      <c r="CW71" s="157" t="e">
        <f t="shared" si="62"/>
        <v>#DIV/0!</v>
      </c>
      <c r="CX71" s="157" t="e">
        <f t="shared" si="63"/>
        <v>#DIV/0!</v>
      </c>
      <c r="CY71" s="157" t="e">
        <f t="shared" si="64"/>
        <v>#DIV/0!</v>
      </c>
      <c r="CZ71" s="157" t="e">
        <f t="shared" si="65"/>
        <v>#DIV/0!</v>
      </c>
      <c r="DA71" s="157" t="e">
        <f t="shared" si="66"/>
        <v>#DIV/0!</v>
      </c>
      <c r="DB71" s="158" t="e">
        <f t="shared" si="67"/>
        <v>#DIV/0!</v>
      </c>
      <c r="DC71" s="131"/>
      <c r="DD71" s="159">
        <f t="shared" si="68"/>
        <v>0</v>
      </c>
      <c r="DE71" s="160">
        <f t="shared" si="69"/>
        <v>0</v>
      </c>
      <c r="DF71" s="161">
        <f t="shared" si="70"/>
        <v>0</v>
      </c>
      <c r="DG71" s="162" t="e">
        <f t="shared" si="71"/>
        <v>#DIV/0!</v>
      </c>
      <c r="DH71" s="163">
        <f t="shared" si="72"/>
        <v>0</v>
      </c>
      <c r="DI71" s="164"/>
      <c r="DJ71" s="165">
        <f t="shared" si="55"/>
        <v>0</v>
      </c>
      <c r="DK71" s="166">
        <f t="shared" si="55"/>
        <v>0</v>
      </c>
      <c r="DL71" s="167" t="e">
        <f t="shared" si="73"/>
        <v>#DIV/0!</v>
      </c>
      <c r="DM71" s="168" t="e">
        <f t="shared" si="74"/>
        <v>#DIV/0!</v>
      </c>
      <c r="DN71" s="163" t="e">
        <f t="shared" si="75"/>
        <v>#DIV/0!</v>
      </c>
      <c r="DO71" s="169"/>
      <c r="DP71" s="170"/>
      <c r="DQ71" s="171"/>
      <c r="DR71" s="172">
        <f t="shared" si="76"/>
        <v>0</v>
      </c>
      <c r="DS71" s="173" t="e">
        <f t="shared" si="77"/>
        <v>#DIV/0!</v>
      </c>
      <c r="DT71" s="163" t="e">
        <f t="shared" si="78"/>
        <v>#DIV/0!</v>
      </c>
      <c r="DU71" s="174"/>
      <c r="DV71" s="175" t="e">
        <f t="shared" si="79"/>
        <v>#DIV/0!</v>
      </c>
      <c r="DW71" s="163">
        <f t="shared" si="80"/>
        <v>0</v>
      </c>
      <c r="DX71" s="164"/>
      <c r="DY71" s="176">
        <f t="shared" si="81"/>
        <v>0</v>
      </c>
      <c r="DZ71" s="177">
        <f t="shared" si="82"/>
        <v>0</v>
      </c>
      <c r="EA71" s="178">
        <f t="shared" si="83"/>
        <v>0</v>
      </c>
      <c r="EB71" s="179">
        <f t="shared" si="84"/>
        <v>0</v>
      </c>
      <c r="EC71" s="180"/>
      <c r="ED71" s="175" t="e">
        <f t="shared" si="85"/>
        <v>#DIV/0!</v>
      </c>
      <c r="EE71" s="163">
        <f t="shared" si="86"/>
        <v>0</v>
      </c>
      <c r="EF71" s="164"/>
      <c r="EG71" s="181">
        <f t="shared" si="87"/>
        <v>0</v>
      </c>
      <c r="EH71" s="182">
        <f t="shared" si="88"/>
        <v>0</v>
      </c>
      <c r="EI71" s="182">
        <f t="shared" si="89"/>
        <v>0</v>
      </c>
      <c r="EJ71" s="182">
        <f t="shared" si="90"/>
        <v>0</v>
      </c>
      <c r="EK71" s="183">
        <f t="shared" si="91"/>
        <v>0</v>
      </c>
      <c r="EL71" s="184" t="e">
        <f t="shared" si="92"/>
        <v>#DIV/0!</v>
      </c>
      <c r="EM71" s="185">
        <f t="shared" si="93"/>
        <v>0</v>
      </c>
      <c r="EN71" s="164"/>
      <c r="EO71" s="181">
        <f t="shared" si="94"/>
        <v>0</v>
      </c>
      <c r="EP71" s="183">
        <f t="shared" si="95"/>
        <v>0</v>
      </c>
      <c r="EQ71" s="184" t="e">
        <f t="shared" si="96"/>
        <v>#DIV/0!</v>
      </c>
      <c r="ER71" s="185">
        <f t="shared" si="97"/>
        <v>0</v>
      </c>
      <c r="ES71" s="164"/>
      <c r="ET71" s="164"/>
      <c r="EU71" s="186">
        <f t="shared" si="98"/>
        <v>0</v>
      </c>
      <c r="EV71" s="186">
        <f t="shared" si="99"/>
        <v>0</v>
      </c>
      <c r="EW71" s="186">
        <f t="shared" si="100"/>
        <v>0</v>
      </c>
      <c r="EX71" s="186">
        <f t="shared" si="101"/>
        <v>0</v>
      </c>
      <c r="EY71" s="131"/>
      <c r="EZ71" s="187">
        <f t="shared" si="102"/>
        <v>0</v>
      </c>
      <c r="FA71" s="188" t="e">
        <f t="shared" si="103"/>
        <v>#DIV/0!</v>
      </c>
      <c r="FB71" s="189"/>
      <c r="FC71" s="131"/>
      <c r="FD71" s="131"/>
      <c r="FE71" s="131"/>
      <c r="FF71" s="131"/>
      <c r="FG71" s="131"/>
    </row>
    <row r="72" spans="2:163" ht="16" outlineLevel="1" thickBot="1" x14ac:dyDescent="0.4">
      <c r="B72" s="357"/>
      <c r="C72" s="354"/>
      <c r="D72" s="240"/>
      <c r="E72" s="241"/>
      <c r="F72" s="135"/>
      <c r="G72" s="192"/>
      <c r="H72" s="242"/>
      <c r="I72" s="138">
        <f t="shared" si="56"/>
        <v>0</v>
      </c>
      <c r="J72" s="139"/>
      <c r="K72" s="193">
        <f t="shared" ref="K72:K73" si="104">E72*60</f>
        <v>0</v>
      </c>
      <c r="L72" s="141"/>
      <c r="M72" s="194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4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6"/>
      <c r="AN72" s="197">
        <f t="shared" si="58"/>
        <v>0</v>
      </c>
      <c r="AO72" s="146"/>
      <c r="AP72" s="147">
        <f t="shared" si="59"/>
        <v>0</v>
      </c>
      <c r="AQ72" s="148"/>
      <c r="AR72" s="198"/>
      <c r="AS72" s="198"/>
      <c r="AT72" s="135"/>
      <c r="AU72" s="199"/>
      <c r="AV72" s="200"/>
      <c r="AW72" s="200"/>
      <c r="AX72" s="200"/>
      <c r="AY72" s="200"/>
      <c r="AZ72" s="200"/>
      <c r="BA72" s="200"/>
      <c r="BB72" s="200"/>
      <c r="BC72" s="200"/>
      <c r="BD72" s="200"/>
      <c r="BE72" s="200"/>
      <c r="BF72" s="201"/>
      <c r="BG72" s="201"/>
      <c r="BH72" s="201"/>
      <c r="BI72" s="201"/>
      <c r="BJ72" s="201"/>
      <c r="BK72" s="201"/>
      <c r="BL72" s="201"/>
      <c r="BM72" s="201"/>
      <c r="BN72" s="201"/>
      <c r="BO72" s="201"/>
      <c r="BP72" s="201"/>
      <c r="BQ72" s="201"/>
      <c r="BR72" s="199"/>
      <c r="BS72" s="200"/>
      <c r="BT72" s="200"/>
      <c r="BU72" s="200"/>
      <c r="BV72" s="200"/>
      <c r="BW72" s="200"/>
      <c r="BX72" s="200"/>
      <c r="BY72" s="200"/>
      <c r="BZ72" s="200"/>
      <c r="CA72" s="200"/>
      <c r="CB72" s="200"/>
      <c r="CC72" s="202"/>
      <c r="CD72" s="199"/>
      <c r="CE72" s="194"/>
      <c r="CF72" s="195"/>
      <c r="CG72" s="195"/>
      <c r="CH72" s="195"/>
      <c r="CI72" s="195"/>
      <c r="CJ72" s="195"/>
      <c r="CK72" s="195"/>
      <c r="CL72" s="195"/>
      <c r="CM72" s="195"/>
      <c r="CN72" s="195"/>
      <c r="CO72" s="347"/>
      <c r="CP72" s="200"/>
      <c r="CQ72" s="201"/>
      <c r="CR72" s="202"/>
      <c r="CS72" s="203">
        <f t="shared" si="60"/>
        <v>0</v>
      </c>
      <c r="CT72" s="146"/>
      <c r="CU72" s="147">
        <f t="shared" si="61"/>
        <v>0</v>
      </c>
      <c r="CV72" s="156"/>
      <c r="CW72" s="157" t="e">
        <f t="shared" si="62"/>
        <v>#DIV/0!</v>
      </c>
      <c r="CX72" s="157" t="e">
        <f t="shared" si="63"/>
        <v>#DIV/0!</v>
      </c>
      <c r="CY72" s="157" t="e">
        <f t="shared" si="64"/>
        <v>#DIV/0!</v>
      </c>
      <c r="CZ72" s="157" t="e">
        <f t="shared" si="65"/>
        <v>#DIV/0!</v>
      </c>
      <c r="DA72" s="157" t="e">
        <f t="shared" si="66"/>
        <v>#DIV/0!</v>
      </c>
      <c r="DB72" s="158" t="e">
        <f t="shared" si="67"/>
        <v>#DIV/0!</v>
      </c>
      <c r="DC72" s="131"/>
      <c r="DD72" s="159">
        <f t="shared" si="68"/>
        <v>0</v>
      </c>
      <c r="DE72" s="160">
        <f t="shared" si="69"/>
        <v>0</v>
      </c>
      <c r="DF72" s="161">
        <f t="shared" si="70"/>
        <v>0</v>
      </c>
      <c r="DG72" s="162" t="e">
        <f t="shared" si="71"/>
        <v>#DIV/0!</v>
      </c>
      <c r="DH72" s="163">
        <f t="shared" si="72"/>
        <v>0</v>
      </c>
      <c r="DI72" s="164"/>
      <c r="DJ72" s="165">
        <f t="shared" si="55"/>
        <v>0</v>
      </c>
      <c r="DK72" s="166">
        <f t="shared" si="55"/>
        <v>0</v>
      </c>
      <c r="DL72" s="167" t="e">
        <f t="shared" si="73"/>
        <v>#DIV/0!</v>
      </c>
      <c r="DM72" s="168" t="e">
        <f t="shared" si="74"/>
        <v>#DIV/0!</v>
      </c>
      <c r="DN72" s="163" t="e">
        <f t="shared" si="75"/>
        <v>#DIV/0!</v>
      </c>
      <c r="DO72" s="169"/>
      <c r="DP72" s="170"/>
      <c r="DQ72" s="171"/>
      <c r="DR72" s="172">
        <f t="shared" si="76"/>
        <v>0</v>
      </c>
      <c r="DS72" s="173" t="e">
        <f t="shared" si="77"/>
        <v>#DIV/0!</v>
      </c>
      <c r="DT72" s="163" t="e">
        <f t="shared" si="78"/>
        <v>#DIV/0!</v>
      </c>
      <c r="DU72" s="174"/>
      <c r="DV72" s="175" t="e">
        <f t="shared" si="79"/>
        <v>#DIV/0!</v>
      </c>
      <c r="DW72" s="163">
        <f t="shared" si="80"/>
        <v>0</v>
      </c>
      <c r="DX72" s="164"/>
      <c r="DY72" s="176">
        <f t="shared" si="81"/>
        <v>0</v>
      </c>
      <c r="DZ72" s="177">
        <f t="shared" si="82"/>
        <v>0</v>
      </c>
      <c r="EA72" s="178">
        <f t="shared" si="83"/>
        <v>0</v>
      </c>
      <c r="EB72" s="179">
        <f t="shared" si="84"/>
        <v>0</v>
      </c>
      <c r="EC72" s="180"/>
      <c r="ED72" s="175" t="e">
        <f t="shared" si="85"/>
        <v>#DIV/0!</v>
      </c>
      <c r="EE72" s="163">
        <f t="shared" si="86"/>
        <v>0</v>
      </c>
      <c r="EF72" s="164"/>
      <c r="EG72" s="181">
        <f t="shared" si="87"/>
        <v>0</v>
      </c>
      <c r="EH72" s="182">
        <f t="shared" si="88"/>
        <v>0</v>
      </c>
      <c r="EI72" s="182">
        <f t="shared" si="89"/>
        <v>0</v>
      </c>
      <c r="EJ72" s="182">
        <f t="shared" si="90"/>
        <v>0</v>
      </c>
      <c r="EK72" s="183">
        <f t="shared" si="91"/>
        <v>0</v>
      </c>
      <c r="EL72" s="184" t="e">
        <f t="shared" si="92"/>
        <v>#DIV/0!</v>
      </c>
      <c r="EM72" s="185">
        <f t="shared" si="93"/>
        <v>0</v>
      </c>
      <c r="EN72" s="164"/>
      <c r="EO72" s="181">
        <f t="shared" si="94"/>
        <v>0</v>
      </c>
      <c r="EP72" s="183">
        <f t="shared" si="95"/>
        <v>0</v>
      </c>
      <c r="EQ72" s="184" t="e">
        <f t="shared" si="96"/>
        <v>#DIV/0!</v>
      </c>
      <c r="ER72" s="185">
        <f t="shared" si="97"/>
        <v>0</v>
      </c>
      <c r="ES72" s="164"/>
      <c r="ET72" s="164"/>
      <c r="EU72" s="186">
        <f t="shared" si="98"/>
        <v>0</v>
      </c>
      <c r="EV72" s="186">
        <f t="shared" si="99"/>
        <v>0</v>
      </c>
      <c r="EW72" s="186">
        <f t="shared" si="100"/>
        <v>0</v>
      </c>
      <c r="EX72" s="186">
        <f t="shared" si="101"/>
        <v>0</v>
      </c>
      <c r="EY72" s="131"/>
      <c r="EZ72" s="187">
        <f t="shared" si="102"/>
        <v>0</v>
      </c>
      <c r="FA72" s="188" t="e">
        <f t="shared" si="103"/>
        <v>#DIV/0!</v>
      </c>
      <c r="FB72" s="189"/>
      <c r="FC72" s="131"/>
      <c r="FD72" s="131"/>
      <c r="FE72" s="131"/>
      <c r="FF72" s="131"/>
      <c r="FG72" s="131"/>
    </row>
    <row r="73" spans="2:163" ht="16" outlineLevel="1" thickBot="1" x14ac:dyDescent="0.4">
      <c r="B73" s="358"/>
      <c r="C73" s="355"/>
      <c r="D73" s="243"/>
      <c r="E73" s="244"/>
      <c r="F73" s="135"/>
      <c r="G73" s="192"/>
      <c r="H73" s="245"/>
      <c r="I73" s="138">
        <f t="shared" si="56"/>
        <v>0</v>
      </c>
      <c r="J73" s="139"/>
      <c r="K73" s="208">
        <f t="shared" si="104"/>
        <v>0</v>
      </c>
      <c r="L73" s="141"/>
      <c r="M73" s="209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09"/>
      <c r="AB73" s="210"/>
      <c r="AC73" s="210"/>
      <c r="AD73" s="210"/>
      <c r="AE73" s="210"/>
      <c r="AF73" s="210"/>
      <c r="AG73" s="210"/>
      <c r="AH73" s="210"/>
      <c r="AI73" s="210"/>
      <c r="AJ73" s="210"/>
      <c r="AK73" s="210"/>
      <c r="AL73" s="210"/>
      <c r="AM73" s="211"/>
      <c r="AN73" s="212">
        <f t="shared" si="58"/>
        <v>0</v>
      </c>
      <c r="AO73" s="146"/>
      <c r="AP73" s="147">
        <f t="shared" si="59"/>
        <v>0</v>
      </c>
      <c r="AQ73" s="148"/>
      <c r="AR73" s="213"/>
      <c r="AS73" s="213"/>
      <c r="AT73" s="135"/>
      <c r="AU73" s="214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6"/>
      <c r="BG73" s="216"/>
      <c r="BH73" s="216"/>
      <c r="BI73" s="216"/>
      <c r="BJ73" s="216"/>
      <c r="BK73" s="216"/>
      <c r="BL73" s="216"/>
      <c r="BM73" s="216"/>
      <c r="BN73" s="216"/>
      <c r="BO73" s="216"/>
      <c r="BP73" s="216"/>
      <c r="BQ73" s="216"/>
      <c r="BR73" s="214"/>
      <c r="BS73" s="215"/>
      <c r="BT73" s="215"/>
      <c r="BU73" s="215"/>
      <c r="BV73" s="215"/>
      <c r="BW73" s="215"/>
      <c r="BX73" s="215"/>
      <c r="BY73" s="215"/>
      <c r="BZ73" s="215"/>
      <c r="CA73" s="215"/>
      <c r="CB73" s="215"/>
      <c r="CC73" s="217"/>
      <c r="CD73" s="214"/>
      <c r="CE73" s="209"/>
      <c r="CF73" s="210"/>
      <c r="CG73" s="210"/>
      <c r="CH73" s="210"/>
      <c r="CI73" s="210"/>
      <c r="CJ73" s="210"/>
      <c r="CK73" s="210"/>
      <c r="CL73" s="210"/>
      <c r="CM73" s="210"/>
      <c r="CN73" s="210"/>
      <c r="CO73" s="348"/>
      <c r="CP73" s="215"/>
      <c r="CQ73" s="216"/>
      <c r="CR73" s="217"/>
      <c r="CS73" s="218">
        <f t="shared" si="60"/>
        <v>0</v>
      </c>
      <c r="CT73" s="146"/>
      <c r="CU73" s="147">
        <f t="shared" si="61"/>
        <v>0</v>
      </c>
      <c r="CV73" s="156"/>
      <c r="CW73" s="157" t="e">
        <f t="shared" si="62"/>
        <v>#DIV/0!</v>
      </c>
      <c r="CX73" s="157" t="e">
        <f t="shared" si="63"/>
        <v>#DIV/0!</v>
      </c>
      <c r="CY73" s="157" t="e">
        <f t="shared" si="64"/>
        <v>#DIV/0!</v>
      </c>
      <c r="CZ73" s="157" t="e">
        <f t="shared" si="65"/>
        <v>#DIV/0!</v>
      </c>
      <c r="DA73" s="157" t="e">
        <f t="shared" si="66"/>
        <v>#DIV/0!</v>
      </c>
      <c r="DB73" s="158" t="e">
        <f t="shared" si="67"/>
        <v>#DIV/0!</v>
      </c>
      <c r="DC73" s="131"/>
      <c r="DD73" s="159">
        <f t="shared" si="68"/>
        <v>0</v>
      </c>
      <c r="DE73" s="160">
        <f t="shared" si="69"/>
        <v>0</v>
      </c>
      <c r="DF73" s="161">
        <f t="shared" si="70"/>
        <v>0</v>
      </c>
      <c r="DG73" s="162" t="e">
        <f t="shared" si="71"/>
        <v>#DIV/0!</v>
      </c>
      <c r="DH73" s="163">
        <f t="shared" si="72"/>
        <v>0</v>
      </c>
      <c r="DI73" s="164"/>
      <c r="DJ73" s="165">
        <f t="shared" si="55"/>
        <v>0</v>
      </c>
      <c r="DK73" s="166">
        <f t="shared" si="55"/>
        <v>0</v>
      </c>
      <c r="DL73" s="167" t="e">
        <f t="shared" si="73"/>
        <v>#DIV/0!</v>
      </c>
      <c r="DM73" s="168" t="e">
        <f t="shared" si="74"/>
        <v>#DIV/0!</v>
      </c>
      <c r="DN73" s="163" t="e">
        <f t="shared" si="75"/>
        <v>#DIV/0!</v>
      </c>
      <c r="DO73" s="169"/>
      <c r="DP73" s="170"/>
      <c r="DQ73" s="171"/>
      <c r="DR73" s="172">
        <f t="shared" si="76"/>
        <v>0</v>
      </c>
      <c r="DS73" s="173" t="e">
        <f t="shared" si="77"/>
        <v>#DIV/0!</v>
      </c>
      <c r="DT73" s="163" t="e">
        <f t="shared" si="78"/>
        <v>#DIV/0!</v>
      </c>
      <c r="DU73" s="174"/>
      <c r="DV73" s="175" t="e">
        <f t="shared" si="79"/>
        <v>#DIV/0!</v>
      </c>
      <c r="DW73" s="163">
        <f t="shared" si="80"/>
        <v>0</v>
      </c>
      <c r="DX73" s="164"/>
      <c r="DY73" s="176">
        <f t="shared" si="81"/>
        <v>0</v>
      </c>
      <c r="DZ73" s="177">
        <f t="shared" si="82"/>
        <v>0</v>
      </c>
      <c r="EA73" s="178">
        <f t="shared" si="83"/>
        <v>0</v>
      </c>
      <c r="EB73" s="179">
        <f t="shared" si="84"/>
        <v>0</v>
      </c>
      <c r="EC73" s="180"/>
      <c r="ED73" s="175" t="e">
        <f t="shared" si="85"/>
        <v>#DIV/0!</v>
      </c>
      <c r="EE73" s="163">
        <f t="shared" si="86"/>
        <v>0</v>
      </c>
      <c r="EF73" s="164"/>
      <c r="EG73" s="181">
        <f t="shared" si="87"/>
        <v>0</v>
      </c>
      <c r="EH73" s="182">
        <f t="shared" si="88"/>
        <v>0</v>
      </c>
      <c r="EI73" s="182">
        <f t="shared" si="89"/>
        <v>0</v>
      </c>
      <c r="EJ73" s="182">
        <f t="shared" si="90"/>
        <v>0</v>
      </c>
      <c r="EK73" s="183">
        <f t="shared" si="91"/>
        <v>0</v>
      </c>
      <c r="EL73" s="184" t="e">
        <f t="shared" si="92"/>
        <v>#DIV/0!</v>
      </c>
      <c r="EM73" s="185">
        <f t="shared" si="93"/>
        <v>0</v>
      </c>
      <c r="EN73" s="164"/>
      <c r="EO73" s="181">
        <f t="shared" si="94"/>
        <v>0</v>
      </c>
      <c r="EP73" s="183">
        <f t="shared" si="95"/>
        <v>0</v>
      </c>
      <c r="EQ73" s="184" t="e">
        <f t="shared" si="96"/>
        <v>#DIV/0!</v>
      </c>
      <c r="ER73" s="185">
        <f t="shared" si="97"/>
        <v>0</v>
      </c>
      <c r="ES73" s="164"/>
      <c r="ET73" s="164"/>
      <c r="EU73" s="186">
        <f t="shared" si="98"/>
        <v>0</v>
      </c>
      <c r="EV73" s="186">
        <f t="shared" si="99"/>
        <v>0</v>
      </c>
      <c r="EW73" s="186">
        <f t="shared" si="100"/>
        <v>0</v>
      </c>
      <c r="EX73" s="186">
        <f t="shared" si="101"/>
        <v>0</v>
      </c>
      <c r="EY73" s="131"/>
      <c r="EZ73" s="187">
        <f t="shared" si="102"/>
        <v>0</v>
      </c>
      <c r="FA73" s="188" t="e">
        <f t="shared" si="103"/>
        <v>#DIV/0!</v>
      </c>
      <c r="FB73" s="189"/>
      <c r="FC73" s="131"/>
      <c r="FD73" s="131"/>
      <c r="FE73" s="131"/>
      <c r="FF73" s="131"/>
      <c r="FG73" s="131"/>
    </row>
    <row r="74" spans="2:163" ht="16" outlineLevel="1" thickBot="1" x14ac:dyDescent="0.4">
      <c r="B74" s="356"/>
      <c r="C74" s="353"/>
      <c r="D74" s="133"/>
      <c r="E74" s="134"/>
      <c r="F74" s="135"/>
      <c r="G74" s="136"/>
      <c r="H74" s="137"/>
      <c r="I74" s="138">
        <f>IF(E74&gt;0.0001,11,0)</f>
        <v>0</v>
      </c>
      <c r="J74" s="139"/>
      <c r="K74" s="140">
        <f>E74*60</f>
        <v>0</v>
      </c>
      <c r="L74" s="141"/>
      <c r="M74" s="142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2"/>
      <c r="AB74" s="143"/>
      <c r="AC74" s="143"/>
      <c r="AD74" s="143"/>
      <c r="AE74" s="143"/>
      <c r="AF74" s="143"/>
      <c r="AG74" s="143"/>
      <c r="AH74" s="143"/>
      <c r="AI74" s="143"/>
      <c r="AJ74" s="143"/>
      <c r="AK74" s="143"/>
      <c r="AL74" s="143"/>
      <c r="AM74" s="144"/>
      <c r="AN74" s="145">
        <f t="shared" si="58"/>
        <v>0</v>
      </c>
      <c r="AO74" s="146"/>
      <c r="AP74" s="147">
        <f t="shared" si="59"/>
        <v>0</v>
      </c>
      <c r="AQ74" s="148"/>
      <c r="AR74" s="149"/>
      <c r="AS74" s="149"/>
      <c r="AT74" s="135"/>
      <c r="AU74" s="150"/>
      <c r="AV74" s="151"/>
      <c r="AW74" s="151"/>
      <c r="AX74" s="151"/>
      <c r="AY74" s="151"/>
      <c r="AZ74" s="151"/>
      <c r="BA74" s="151"/>
      <c r="BB74" s="151"/>
      <c r="BC74" s="151"/>
      <c r="BD74" s="151"/>
      <c r="BE74" s="151"/>
      <c r="BF74" s="152"/>
      <c r="BG74" s="152"/>
      <c r="BH74" s="152"/>
      <c r="BI74" s="152"/>
      <c r="BJ74" s="152"/>
      <c r="BK74" s="152"/>
      <c r="BL74" s="152"/>
      <c r="BM74" s="152"/>
      <c r="BN74" s="152"/>
      <c r="BO74" s="152"/>
      <c r="BP74" s="152"/>
      <c r="BQ74" s="152"/>
      <c r="BR74" s="150"/>
      <c r="BS74" s="151"/>
      <c r="BT74" s="151"/>
      <c r="BU74" s="151"/>
      <c r="BV74" s="151"/>
      <c r="BW74" s="151"/>
      <c r="BX74" s="151"/>
      <c r="BY74" s="151"/>
      <c r="BZ74" s="151"/>
      <c r="CA74" s="151"/>
      <c r="CB74" s="151"/>
      <c r="CC74" s="154"/>
      <c r="CD74" s="150"/>
      <c r="CE74" s="142"/>
      <c r="CF74" s="143"/>
      <c r="CG74" s="143"/>
      <c r="CH74" s="143"/>
      <c r="CI74" s="143"/>
      <c r="CJ74" s="143"/>
      <c r="CK74" s="143"/>
      <c r="CL74" s="143"/>
      <c r="CM74" s="143"/>
      <c r="CN74" s="143"/>
      <c r="CO74" s="346"/>
      <c r="CP74" s="151"/>
      <c r="CQ74" s="152"/>
      <c r="CR74" s="154"/>
      <c r="CS74" s="155">
        <f t="shared" si="60"/>
        <v>0</v>
      </c>
      <c r="CT74" s="146"/>
      <c r="CU74" s="147">
        <f t="shared" si="61"/>
        <v>0</v>
      </c>
      <c r="CV74" s="156"/>
      <c r="CW74" s="157" t="e">
        <f t="shared" si="62"/>
        <v>#DIV/0!</v>
      </c>
      <c r="CX74" s="157" t="e">
        <f t="shared" si="63"/>
        <v>#DIV/0!</v>
      </c>
      <c r="CY74" s="157" t="e">
        <f t="shared" si="64"/>
        <v>#DIV/0!</v>
      </c>
      <c r="CZ74" s="157" t="e">
        <f t="shared" si="65"/>
        <v>#DIV/0!</v>
      </c>
      <c r="DA74" s="157" t="e">
        <f t="shared" si="66"/>
        <v>#DIV/0!</v>
      </c>
      <c r="DB74" s="158" t="e">
        <f t="shared" si="67"/>
        <v>#DIV/0!</v>
      </c>
      <c r="DC74" s="131"/>
      <c r="DD74" s="159">
        <f t="shared" si="68"/>
        <v>0</v>
      </c>
      <c r="DE74" s="160">
        <f t="shared" si="69"/>
        <v>0</v>
      </c>
      <c r="DF74" s="161">
        <f t="shared" si="70"/>
        <v>0</v>
      </c>
      <c r="DG74" s="162" t="e">
        <f t="shared" si="71"/>
        <v>#DIV/0!</v>
      </c>
      <c r="DH74" s="163">
        <f t="shared" si="72"/>
        <v>0</v>
      </c>
      <c r="DI74" s="164"/>
      <c r="DJ74" s="165">
        <f t="shared" si="55"/>
        <v>0</v>
      </c>
      <c r="DK74" s="166">
        <f t="shared" si="55"/>
        <v>0</v>
      </c>
      <c r="DL74" s="167" t="e">
        <f t="shared" si="73"/>
        <v>#DIV/0!</v>
      </c>
      <c r="DM74" s="168" t="e">
        <f t="shared" si="74"/>
        <v>#DIV/0!</v>
      </c>
      <c r="DN74" s="163" t="e">
        <f t="shared" si="75"/>
        <v>#DIV/0!</v>
      </c>
      <c r="DO74" s="169"/>
      <c r="DP74" s="170"/>
      <c r="DQ74" s="171"/>
      <c r="DR74" s="172">
        <f t="shared" si="76"/>
        <v>0</v>
      </c>
      <c r="DS74" s="173" t="e">
        <f t="shared" si="77"/>
        <v>#DIV/0!</v>
      </c>
      <c r="DT74" s="163" t="e">
        <f t="shared" si="78"/>
        <v>#DIV/0!</v>
      </c>
      <c r="DU74" s="174"/>
      <c r="DV74" s="175" t="e">
        <f t="shared" si="79"/>
        <v>#DIV/0!</v>
      </c>
      <c r="DW74" s="163">
        <f t="shared" si="80"/>
        <v>0</v>
      </c>
      <c r="DX74" s="164"/>
      <c r="DY74" s="176">
        <f t="shared" si="81"/>
        <v>0</v>
      </c>
      <c r="DZ74" s="177">
        <f t="shared" si="82"/>
        <v>0</v>
      </c>
      <c r="EA74" s="178">
        <f t="shared" si="83"/>
        <v>0</v>
      </c>
      <c r="EB74" s="179">
        <f t="shared" si="84"/>
        <v>0</v>
      </c>
      <c r="EC74" s="180"/>
      <c r="ED74" s="175" t="e">
        <f t="shared" si="85"/>
        <v>#DIV/0!</v>
      </c>
      <c r="EE74" s="163">
        <f t="shared" si="86"/>
        <v>0</v>
      </c>
      <c r="EF74" s="164"/>
      <c r="EG74" s="181">
        <f t="shared" si="87"/>
        <v>0</v>
      </c>
      <c r="EH74" s="182">
        <f t="shared" si="88"/>
        <v>0</v>
      </c>
      <c r="EI74" s="182">
        <f t="shared" si="89"/>
        <v>0</v>
      </c>
      <c r="EJ74" s="182">
        <f t="shared" si="90"/>
        <v>0</v>
      </c>
      <c r="EK74" s="183">
        <f t="shared" si="91"/>
        <v>0</v>
      </c>
      <c r="EL74" s="184" t="e">
        <f t="shared" si="92"/>
        <v>#DIV/0!</v>
      </c>
      <c r="EM74" s="185">
        <f t="shared" si="93"/>
        <v>0</v>
      </c>
      <c r="EN74" s="164"/>
      <c r="EO74" s="181">
        <f t="shared" si="94"/>
        <v>0</v>
      </c>
      <c r="EP74" s="183">
        <f t="shared" si="95"/>
        <v>0</v>
      </c>
      <c r="EQ74" s="184" t="e">
        <f t="shared" si="96"/>
        <v>#DIV/0!</v>
      </c>
      <c r="ER74" s="185">
        <f t="shared" si="97"/>
        <v>0</v>
      </c>
      <c r="ES74" s="164"/>
      <c r="ET74" s="164"/>
      <c r="EU74" s="186">
        <f t="shared" si="98"/>
        <v>0</v>
      </c>
      <c r="EV74" s="186">
        <f t="shared" si="99"/>
        <v>0</v>
      </c>
      <c r="EW74" s="186">
        <f t="shared" si="100"/>
        <v>0</v>
      </c>
      <c r="EX74" s="186">
        <f t="shared" si="101"/>
        <v>0</v>
      </c>
      <c r="EY74" s="131"/>
      <c r="EZ74" s="187">
        <f t="shared" si="102"/>
        <v>0</v>
      </c>
      <c r="FA74" s="188" t="e">
        <f t="shared" si="103"/>
        <v>#DIV/0!</v>
      </c>
      <c r="FB74" s="189"/>
      <c r="FC74" s="131"/>
      <c r="FD74" s="131"/>
      <c r="FE74" s="131"/>
      <c r="FF74" s="131"/>
      <c r="FG74" s="131"/>
    </row>
    <row r="75" spans="2:163" ht="16" outlineLevel="1" thickBot="1" x14ac:dyDescent="0.4">
      <c r="B75" s="357"/>
      <c r="C75" s="354"/>
      <c r="D75" s="240"/>
      <c r="E75" s="241"/>
      <c r="F75" s="135"/>
      <c r="G75" s="192"/>
      <c r="H75" s="242"/>
      <c r="I75" s="138">
        <f>IF(E75&gt;0.0001,11,0)</f>
        <v>0</v>
      </c>
      <c r="J75" s="139"/>
      <c r="K75" s="193">
        <f t="shared" ref="K75:K76" si="105">E75*60</f>
        <v>0</v>
      </c>
      <c r="L75" s="141"/>
      <c r="M75" s="194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4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6"/>
      <c r="AN75" s="197">
        <f t="shared" si="58"/>
        <v>0</v>
      </c>
      <c r="AO75" s="146"/>
      <c r="AP75" s="147">
        <f t="shared" si="59"/>
        <v>0</v>
      </c>
      <c r="AQ75" s="148"/>
      <c r="AR75" s="198"/>
      <c r="AS75" s="198"/>
      <c r="AT75" s="135"/>
      <c r="AU75" s="199"/>
      <c r="AV75" s="200"/>
      <c r="AW75" s="200"/>
      <c r="AX75" s="200"/>
      <c r="AY75" s="200"/>
      <c r="AZ75" s="200"/>
      <c r="BA75" s="200"/>
      <c r="BB75" s="200"/>
      <c r="BC75" s="200"/>
      <c r="BD75" s="200"/>
      <c r="BE75" s="200"/>
      <c r="BF75" s="201"/>
      <c r="BG75" s="201"/>
      <c r="BH75" s="201"/>
      <c r="BI75" s="201"/>
      <c r="BJ75" s="201"/>
      <c r="BK75" s="201"/>
      <c r="BL75" s="201"/>
      <c r="BM75" s="201"/>
      <c r="BN75" s="201"/>
      <c r="BO75" s="201"/>
      <c r="BP75" s="201"/>
      <c r="BQ75" s="201"/>
      <c r="BR75" s="199"/>
      <c r="BS75" s="200"/>
      <c r="BT75" s="200"/>
      <c r="BU75" s="200"/>
      <c r="BV75" s="200"/>
      <c r="BW75" s="200"/>
      <c r="BX75" s="200"/>
      <c r="BY75" s="200"/>
      <c r="BZ75" s="200"/>
      <c r="CA75" s="200"/>
      <c r="CB75" s="200"/>
      <c r="CC75" s="202"/>
      <c r="CD75" s="199"/>
      <c r="CE75" s="194"/>
      <c r="CF75" s="195"/>
      <c r="CG75" s="195"/>
      <c r="CH75" s="195"/>
      <c r="CI75" s="195"/>
      <c r="CJ75" s="195"/>
      <c r="CK75" s="195"/>
      <c r="CL75" s="195"/>
      <c r="CM75" s="195"/>
      <c r="CN75" s="195"/>
      <c r="CO75" s="347"/>
      <c r="CP75" s="200"/>
      <c r="CQ75" s="201"/>
      <c r="CR75" s="202"/>
      <c r="CS75" s="203">
        <f t="shared" si="60"/>
        <v>0</v>
      </c>
      <c r="CT75" s="146"/>
      <c r="CU75" s="147">
        <f t="shared" si="61"/>
        <v>0</v>
      </c>
      <c r="CV75" s="156"/>
      <c r="CW75" s="157" t="e">
        <f t="shared" si="62"/>
        <v>#DIV/0!</v>
      </c>
      <c r="CX75" s="157" t="e">
        <f t="shared" si="63"/>
        <v>#DIV/0!</v>
      </c>
      <c r="CY75" s="157" t="e">
        <f t="shared" si="64"/>
        <v>#DIV/0!</v>
      </c>
      <c r="CZ75" s="157" t="e">
        <f t="shared" si="65"/>
        <v>#DIV/0!</v>
      </c>
      <c r="DA75" s="157" t="e">
        <f t="shared" si="66"/>
        <v>#DIV/0!</v>
      </c>
      <c r="DB75" s="158" t="e">
        <f t="shared" si="67"/>
        <v>#DIV/0!</v>
      </c>
      <c r="DC75" s="131"/>
      <c r="DD75" s="159">
        <f t="shared" si="68"/>
        <v>0</v>
      </c>
      <c r="DE75" s="160">
        <f t="shared" si="69"/>
        <v>0</v>
      </c>
      <c r="DF75" s="161">
        <f t="shared" si="70"/>
        <v>0</v>
      </c>
      <c r="DG75" s="162" t="e">
        <f t="shared" si="71"/>
        <v>#DIV/0!</v>
      </c>
      <c r="DH75" s="163">
        <f t="shared" si="72"/>
        <v>0</v>
      </c>
      <c r="DI75" s="164"/>
      <c r="DJ75" s="165">
        <f t="shared" si="55"/>
        <v>0</v>
      </c>
      <c r="DK75" s="166">
        <f t="shared" si="55"/>
        <v>0</v>
      </c>
      <c r="DL75" s="167" t="e">
        <f t="shared" si="73"/>
        <v>#DIV/0!</v>
      </c>
      <c r="DM75" s="168" t="e">
        <f t="shared" si="74"/>
        <v>#DIV/0!</v>
      </c>
      <c r="DN75" s="163" t="e">
        <f t="shared" si="75"/>
        <v>#DIV/0!</v>
      </c>
      <c r="DO75" s="169"/>
      <c r="DP75" s="170"/>
      <c r="DQ75" s="171"/>
      <c r="DR75" s="172">
        <f t="shared" si="76"/>
        <v>0</v>
      </c>
      <c r="DS75" s="173" t="e">
        <f t="shared" si="77"/>
        <v>#DIV/0!</v>
      </c>
      <c r="DT75" s="163" t="e">
        <f t="shared" si="78"/>
        <v>#DIV/0!</v>
      </c>
      <c r="DU75" s="174"/>
      <c r="DV75" s="175" t="e">
        <f t="shared" si="79"/>
        <v>#DIV/0!</v>
      </c>
      <c r="DW75" s="163">
        <f t="shared" si="80"/>
        <v>0</v>
      </c>
      <c r="DX75" s="164"/>
      <c r="DY75" s="176">
        <f t="shared" si="81"/>
        <v>0</v>
      </c>
      <c r="DZ75" s="177">
        <f t="shared" si="82"/>
        <v>0</v>
      </c>
      <c r="EA75" s="178">
        <f t="shared" si="83"/>
        <v>0</v>
      </c>
      <c r="EB75" s="179">
        <f t="shared" si="84"/>
        <v>0</v>
      </c>
      <c r="EC75" s="180"/>
      <c r="ED75" s="175" t="e">
        <f t="shared" si="85"/>
        <v>#DIV/0!</v>
      </c>
      <c r="EE75" s="163">
        <f t="shared" si="86"/>
        <v>0</v>
      </c>
      <c r="EF75" s="164"/>
      <c r="EG75" s="181">
        <f t="shared" si="87"/>
        <v>0</v>
      </c>
      <c r="EH75" s="182">
        <f t="shared" si="88"/>
        <v>0</v>
      </c>
      <c r="EI75" s="182">
        <f t="shared" si="89"/>
        <v>0</v>
      </c>
      <c r="EJ75" s="182">
        <f t="shared" si="90"/>
        <v>0</v>
      </c>
      <c r="EK75" s="183">
        <f t="shared" si="91"/>
        <v>0</v>
      </c>
      <c r="EL75" s="184" t="e">
        <f t="shared" si="92"/>
        <v>#DIV/0!</v>
      </c>
      <c r="EM75" s="185">
        <f t="shared" si="93"/>
        <v>0</v>
      </c>
      <c r="EN75" s="164"/>
      <c r="EO75" s="181">
        <f t="shared" si="94"/>
        <v>0</v>
      </c>
      <c r="EP75" s="183">
        <f t="shared" si="95"/>
        <v>0</v>
      </c>
      <c r="EQ75" s="184" t="e">
        <f t="shared" si="96"/>
        <v>#DIV/0!</v>
      </c>
      <c r="ER75" s="185">
        <f t="shared" si="97"/>
        <v>0</v>
      </c>
      <c r="ES75" s="164"/>
      <c r="ET75" s="164"/>
      <c r="EU75" s="186">
        <f t="shared" si="98"/>
        <v>0</v>
      </c>
      <c r="EV75" s="186">
        <f t="shared" si="99"/>
        <v>0</v>
      </c>
      <c r="EW75" s="186">
        <f t="shared" si="100"/>
        <v>0</v>
      </c>
      <c r="EX75" s="186">
        <f t="shared" si="101"/>
        <v>0</v>
      </c>
      <c r="EY75" s="131"/>
      <c r="EZ75" s="187">
        <f t="shared" si="102"/>
        <v>0</v>
      </c>
      <c r="FA75" s="188" t="e">
        <f t="shared" si="103"/>
        <v>#DIV/0!</v>
      </c>
      <c r="FB75" s="189"/>
      <c r="FC75" s="131"/>
      <c r="FD75" s="131"/>
      <c r="FE75" s="131"/>
      <c r="FF75" s="131"/>
      <c r="FG75" s="131"/>
    </row>
    <row r="76" spans="2:163" ht="16" outlineLevel="1" thickBot="1" x14ac:dyDescent="0.4">
      <c r="B76" s="358"/>
      <c r="C76" s="355"/>
      <c r="D76" s="243"/>
      <c r="E76" s="244"/>
      <c r="F76" s="135"/>
      <c r="G76" s="192"/>
      <c r="H76" s="245"/>
      <c r="I76" s="138">
        <f t="shared" si="56"/>
        <v>0</v>
      </c>
      <c r="J76" s="139"/>
      <c r="K76" s="208">
        <f t="shared" si="105"/>
        <v>0</v>
      </c>
      <c r="L76" s="141"/>
      <c r="M76" s="209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09"/>
      <c r="AB76" s="210"/>
      <c r="AC76" s="210"/>
      <c r="AD76" s="210"/>
      <c r="AE76" s="210"/>
      <c r="AF76" s="210"/>
      <c r="AG76" s="210"/>
      <c r="AH76" s="210"/>
      <c r="AI76" s="210"/>
      <c r="AJ76" s="210"/>
      <c r="AK76" s="210"/>
      <c r="AL76" s="210"/>
      <c r="AM76" s="211"/>
      <c r="AN76" s="212">
        <f t="shared" si="58"/>
        <v>0</v>
      </c>
      <c r="AO76" s="146"/>
      <c r="AP76" s="147">
        <f t="shared" si="59"/>
        <v>0</v>
      </c>
      <c r="AQ76" s="148"/>
      <c r="AR76" s="213"/>
      <c r="AS76" s="213"/>
      <c r="AT76" s="135"/>
      <c r="AU76" s="214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6"/>
      <c r="BG76" s="216"/>
      <c r="BH76" s="216"/>
      <c r="BI76" s="216"/>
      <c r="BJ76" s="216"/>
      <c r="BK76" s="216"/>
      <c r="BL76" s="216"/>
      <c r="BM76" s="216"/>
      <c r="BN76" s="216"/>
      <c r="BO76" s="216"/>
      <c r="BP76" s="216"/>
      <c r="BQ76" s="216"/>
      <c r="BR76" s="214"/>
      <c r="BS76" s="215"/>
      <c r="BT76" s="215"/>
      <c r="BU76" s="215"/>
      <c r="BV76" s="215"/>
      <c r="BW76" s="215"/>
      <c r="BX76" s="215"/>
      <c r="BY76" s="215"/>
      <c r="BZ76" s="215"/>
      <c r="CA76" s="215"/>
      <c r="CB76" s="215"/>
      <c r="CC76" s="217"/>
      <c r="CD76" s="214"/>
      <c r="CE76" s="209"/>
      <c r="CF76" s="210"/>
      <c r="CG76" s="210"/>
      <c r="CH76" s="210"/>
      <c r="CI76" s="210"/>
      <c r="CJ76" s="210"/>
      <c r="CK76" s="210"/>
      <c r="CL76" s="210"/>
      <c r="CM76" s="210"/>
      <c r="CN76" s="210"/>
      <c r="CO76" s="348"/>
      <c r="CP76" s="215"/>
      <c r="CQ76" s="216"/>
      <c r="CR76" s="217"/>
      <c r="CS76" s="218">
        <f t="shared" si="60"/>
        <v>0</v>
      </c>
      <c r="CT76" s="146"/>
      <c r="CU76" s="147">
        <f t="shared" si="61"/>
        <v>0</v>
      </c>
      <c r="CV76" s="156"/>
      <c r="CW76" s="157" t="e">
        <f t="shared" si="62"/>
        <v>#DIV/0!</v>
      </c>
      <c r="CX76" s="157" t="e">
        <f t="shared" si="63"/>
        <v>#DIV/0!</v>
      </c>
      <c r="CY76" s="157" t="e">
        <f t="shared" si="64"/>
        <v>#DIV/0!</v>
      </c>
      <c r="CZ76" s="157" t="e">
        <f t="shared" si="65"/>
        <v>#DIV/0!</v>
      </c>
      <c r="DA76" s="157" t="e">
        <f t="shared" si="66"/>
        <v>#DIV/0!</v>
      </c>
      <c r="DB76" s="158" t="e">
        <f t="shared" si="67"/>
        <v>#DIV/0!</v>
      </c>
      <c r="DC76" s="131"/>
      <c r="DD76" s="159">
        <f t="shared" si="68"/>
        <v>0</v>
      </c>
      <c r="DE76" s="160">
        <f t="shared" si="69"/>
        <v>0</v>
      </c>
      <c r="DF76" s="161">
        <f t="shared" si="70"/>
        <v>0</v>
      </c>
      <c r="DG76" s="162" t="e">
        <f t="shared" si="71"/>
        <v>#DIV/0!</v>
      </c>
      <c r="DH76" s="163">
        <f t="shared" si="72"/>
        <v>0</v>
      </c>
      <c r="DI76" s="164"/>
      <c r="DJ76" s="165">
        <f t="shared" si="55"/>
        <v>0</v>
      </c>
      <c r="DK76" s="166">
        <f t="shared" si="55"/>
        <v>0</v>
      </c>
      <c r="DL76" s="167" t="e">
        <f t="shared" si="73"/>
        <v>#DIV/0!</v>
      </c>
      <c r="DM76" s="168" t="e">
        <f t="shared" si="74"/>
        <v>#DIV/0!</v>
      </c>
      <c r="DN76" s="163" t="e">
        <f t="shared" si="75"/>
        <v>#DIV/0!</v>
      </c>
      <c r="DO76" s="169"/>
      <c r="DP76" s="170"/>
      <c r="DQ76" s="171"/>
      <c r="DR76" s="172">
        <f t="shared" si="76"/>
        <v>0</v>
      </c>
      <c r="DS76" s="173" t="e">
        <f t="shared" si="77"/>
        <v>#DIV/0!</v>
      </c>
      <c r="DT76" s="163" t="e">
        <f t="shared" si="78"/>
        <v>#DIV/0!</v>
      </c>
      <c r="DU76" s="174"/>
      <c r="DV76" s="175" t="e">
        <f t="shared" si="79"/>
        <v>#DIV/0!</v>
      </c>
      <c r="DW76" s="163">
        <f t="shared" si="80"/>
        <v>0</v>
      </c>
      <c r="DX76" s="164"/>
      <c r="DY76" s="176">
        <f t="shared" si="81"/>
        <v>0</v>
      </c>
      <c r="DZ76" s="177">
        <f t="shared" si="82"/>
        <v>0</v>
      </c>
      <c r="EA76" s="178">
        <f t="shared" si="83"/>
        <v>0</v>
      </c>
      <c r="EB76" s="179">
        <f t="shared" si="84"/>
        <v>0</v>
      </c>
      <c r="EC76" s="180"/>
      <c r="ED76" s="175" t="e">
        <f t="shared" si="85"/>
        <v>#DIV/0!</v>
      </c>
      <c r="EE76" s="163">
        <f t="shared" si="86"/>
        <v>0</v>
      </c>
      <c r="EF76" s="164"/>
      <c r="EG76" s="181">
        <f t="shared" si="87"/>
        <v>0</v>
      </c>
      <c r="EH76" s="182">
        <f t="shared" si="88"/>
        <v>0</v>
      </c>
      <c r="EI76" s="182">
        <f t="shared" si="89"/>
        <v>0</v>
      </c>
      <c r="EJ76" s="182">
        <f t="shared" si="90"/>
        <v>0</v>
      </c>
      <c r="EK76" s="183">
        <f t="shared" si="91"/>
        <v>0</v>
      </c>
      <c r="EL76" s="184" t="e">
        <f t="shared" si="92"/>
        <v>#DIV/0!</v>
      </c>
      <c r="EM76" s="185">
        <f t="shared" si="93"/>
        <v>0</v>
      </c>
      <c r="EN76" s="164"/>
      <c r="EO76" s="181">
        <f t="shared" si="94"/>
        <v>0</v>
      </c>
      <c r="EP76" s="183">
        <f t="shared" si="95"/>
        <v>0</v>
      </c>
      <c r="EQ76" s="184" t="e">
        <f t="shared" si="96"/>
        <v>#DIV/0!</v>
      </c>
      <c r="ER76" s="185">
        <f t="shared" si="97"/>
        <v>0</v>
      </c>
      <c r="ES76" s="164"/>
      <c r="ET76" s="164"/>
      <c r="EU76" s="186">
        <f t="shared" si="98"/>
        <v>0</v>
      </c>
      <c r="EV76" s="186">
        <f t="shared" si="99"/>
        <v>0</v>
      </c>
      <c r="EW76" s="186">
        <f t="shared" si="100"/>
        <v>0</v>
      </c>
      <c r="EX76" s="186">
        <f t="shared" si="101"/>
        <v>0</v>
      </c>
      <c r="EY76" s="131"/>
      <c r="EZ76" s="187">
        <f t="shared" si="102"/>
        <v>0</v>
      </c>
      <c r="FA76" s="188" t="e">
        <f t="shared" si="103"/>
        <v>#DIV/0!</v>
      </c>
      <c r="FB76" s="189"/>
      <c r="FC76" s="131"/>
      <c r="FD76" s="131"/>
      <c r="FE76" s="131"/>
      <c r="FF76" s="131"/>
      <c r="FG76" s="131"/>
    </row>
    <row r="77" spans="2:163" ht="16" outlineLevel="1" thickBot="1" x14ac:dyDescent="0.4">
      <c r="B77" s="356"/>
      <c r="C77" s="353"/>
      <c r="D77" s="133"/>
      <c r="E77" s="134"/>
      <c r="F77" s="135"/>
      <c r="G77" s="136"/>
      <c r="H77" s="137"/>
      <c r="I77" s="138">
        <f t="shared" si="56"/>
        <v>0</v>
      </c>
      <c r="J77" s="139"/>
      <c r="K77" s="140">
        <f>E77*60</f>
        <v>0</v>
      </c>
      <c r="L77" s="141"/>
      <c r="M77" s="142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2"/>
      <c r="AB77" s="143"/>
      <c r="AC77" s="143"/>
      <c r="AD77" s="143"/>
      <c r="AE77" s="143"/>
      <c r="AF77" s="143"/>
      <c r="AG77" s="143"/>
      <c r="AH77" s="143"/>
      <c r="AI77" s="143"/>
      <c r="AJ77" s="143"/>
      <c r="AK77" s="143"/>
      <c r="AL77" s="143"/>
      <c r="AM77" s="144"/>
      <c r="AN77" s="145">
        <f t="shared" si="58"/>
        <v>0</v>
      </c>
      <c r="AO77" s="146"/>
      <c r="AP77" s="147">
        <f t="shared" si="59"/>
        <v>0</v>
      </c>
      <c r="AQ77" s="148"/>
      <c r="AR77" s="149"/>
      <c r="AS77" s="149"/>
      <c r="AT77" s="135"/>
      <c r="AU77" s="150"/>
      <c r="AV77" s="151"/>
      <c r="AW77" s="151"/>
      <c r="AX77" s="151"/>
      <c r="AY77" s="151"/>
      <c r="AZ77" s="151"/>
      <c r="BA77" s="151"/>
      <c r="BB77" s="151"/>
      <c r="BC77" s="151"/>
      <c r="BD77" s="151"/>
      <c r="BE77" s="151"/>
      <c r="BF77" s="152"/>
      <c r="BG77" s="152"/>
      <c r="BH77" s="152"/>
      <c r="BI77" s="152"/>
      <c r="BJ77" s="152"/>
      <c r="BK77" s="152"/>
      <c r="BL77" s="152"/>
      <c r="BM77" s="152"/>
      <c r="BN77" s="152"/>
      <c r="BO77" s="152"/>
      <c r="BP77" s="152"/>
      <c r="BQ77" s="152"/>
      <c r="BR77" s="150"/>
      <c r="BS77" s="151"/>
      <c r="BT77" s="151"/>
      <c r="BU77" s="151"/>
      <c r="BV77" s="151"/>
      <c r="BW77" s="151"/>
      <c r="BX77" s="151"/>
      <c r="BY77" s="151"/>
      <c r="BZ77" s="151"/>
      <c r="CA77" s="151"/>
      <c r="CB77" s="151"/>
      <c r="CC77" s="154"/>
      <c r="CD77" s="150"/>
      <c r="CE77" s="142"/>
      <c r="CF77" s="143"/>
      <c r="CG77" s="143"/>
      <c r="CH77" s="143"/>
      <c r="CI77" s="143"/>
      <c r="CJ77" s="143"/>
      <c r="CK77" s="143"/>
      <c r="CL77" s="143"/>
      <c r="CM77" s="143"/>
      <c r="CN77" s="143"/>
      <c r="CO77" s="346"/>
      <c r="CP77" s="151"/>
      <c r="CQ77" s="152"/>
      <c r="CR77" s="154"/>
      <c r="CS77" s="155">
        <f t="shared" si="60"/>
        <v>0</v>
      </c>
      <c r="CT77" s="146"/>
      <c r="CU77" s="147">
        <f t="shared" si="61"/>
        <v>0</v>
      </c>
      <c r="CV77" s="156"/>
      <c r="CW77" s="157" t="e">
        <f t="shared" si="62"/>
        <v>#DIV/0!</v>
      </c>
      <c r="CX77" s="157" t="e">
        <f t="shared" si="63"/>
        <v>#DIV/0!</v>
      </c>
      <c r="CY77" s="157" t="e">
        <f t="shared" si="64"/>
        <v>#DIV/0!</v>
      </c>
      <c r="CZ77" s="157" t="e">
        <f t="shared" si="65"/>
        <v>#DIV/0!</v>
      </c>
      <c r="DA77" s="157" t="e">
        <f t="shared" si="66"/>
        <v>#DIV/0!</v>
      </c>
      <c r="DB77" s="158" t="e">
        <f t="shared" si="67"/>
        <v>#DIV/0!</v>
      </c>
      <c r="DC77" s="131"/>
      <c r="DD77" s="159">
        <f t="shared" si="68"/>
        <v>0</v>
      </c>
      <c r="DE77" s="160">
        <f t="shared" si="69"/>
        <v>0</v>
      </c>
      <c r="DF77" s="161">
        <f t="shared" si="70"/>
        <v>0</v>
      </c>
      <c r="DG77" s="162" t="e">
        <f t="shared" si="71"/>
        <v>#DIV/0!</v>
      </c>
      <c r="DH77" s="163">
        <f t="shared" si="72"/>
        <v>0</v>
      </c>
      <c r="DI77" s="164"/>
      <c r="DJ77" s="165">
        <f t="shared" si="55"/>
        <v>0</v>
      </c>
      <c r="DK77" s="166">
        <f t="shared" si="55"/>
        <v>0</v>
      </c>
      <c r="DL77" s="167" t="e">
        <f t="shared" si="73"/>
        <v>#DIV/0!</v>
      </c>
      <c r="DM77" s="168" t="e">
        <f t="shared" si="74"/>
        <v>#DIV/0!</v>
      </c>
      <c r="DN77" s="163" t="e">
        <f t="shared" si="75"/>
        <v>#DIV/0!</v>
      </c>
      <c r="DO77" s="169"/>
      <c r="DP77" s="170"/>
      <c r="DQ77" s="171"/>
      <c r="DR77" s="172">
        <f t="shared" si="76"/>
        <v>0</v>
      </c>
      <c r="DS77" s="173" t="e">
        <f t="shared" si="77"/>
        <v>#DIV/0!</v>
      </c>
      <c r="DT77" s="163" t="e">
        <f t="shared" si="78"/>
        <v>#DIV/0!</v>
      </c>
      <c r="DU77" s="174"/>
      <c r="DV77" s="175" t="e">
        <f t="shared" si="79"/>
        <v>#DIV/0!</v>
      </c>
      <c r="DW77" s="163">
        <f t="shared" si="80"/>
        <v>0</v>
      </c>
      <c r="DX77" s="164"/>
      <c r="DY77" s="176">
        <f t="shared" si="81"/>
        <v>0</v>
      </c>
      <c r="DZ77" s="177">
        <f t="shared" si="82"/>
        <v>0</v>
      </c>
      <c r="EA77" s="178">
        <f t="shared" si="83"/>
        <v>0</v>
      </c>
      <c r="EB77" s="179">
        <f t="shared" si="84"/>
        <v>0</v>
      </c>
      <c r="EC77" s="180"/>
      <c r="ED77" s="175" t="e">
        <f t="shared" si="85"/>
        <v>#DIV/0!</v>
      </c>
      <c r="EE77" s="163">
        <f t="shared" si="86"/>
        <v>0</v>
      </c>
      <c r="EF77" s="164"/>
      <c r="EG77" s="181">
        <f t="shared" si="87"/>
        <v>0</v>
      </c>
      <c r="EH77" s="182">
        <f t="shared" si="88"/>
        <v>0</v>
      </c>
      <c r="EI77" s="182">
        <f t="shared" si="89"/>
        <v>0</v>
      </c>
      <c r="EJ77" s="182">
        <f t="shared" si="90"/>
        <v>0</v>
      </c>
      <c r="EK77" s="183">
        <f t="shared" si="91"/>
        <v>0</v>
      </c>
      <c r="EL77" s="184" t="e">
        <f t="shared" si="92"/>
        <v>#DIV/0!</v>
      </c>
      <c r="EM77" s="185">
        <f t="shared" si="93"/>
        <v>0</v>
      </c>
      <c r="EN77" s="164"/>
      <c r="EO77" s="181">
        <f t="shared" si="94"/>
        <v>0</v>
      </c>
      <c r="EP77" s="183">
        <f t="shared" si="95"/>
        <v>0</v>
      </c>
      <c r="EQ77" s="184" t="e">
        <f t="shared" si="96"/>
        <v>#DIV/0!</v>
      </c>
      <c r="ER77" s="185">
        <f t="shared" si="97"/>
        <v>0</v>
      </c>
      <c r="ES77" s="164"/>
      <c r="ET77" s="164"/>
      <c r="EU77" s="186">
        <f t="shared" si="98"/>
        <v>0</v>
      </c>
      <c r="EV77" s="186">
        <f t="shared" si="99"/>
        <v>0</v>
      </c>
      <c r="EW77" s="186">
        <f t="shared" si="100"/>
        <v>0</v>
      </c>
      <c r="EX77" s="186">
        <f t="shared" si="101"/>
        <v>0</v>
      </c>
      <c r="EY77" s="131"/>
      <c r="EZ77" s="187">
        <f t="shared" si="102"/>
        <v>0</v>
      </c>
      <c r="FA77" s="188" t="e">
        <f t="shared" si="103"/>
        <v>#DIV/0!</v>
      </c>
      <c r="FB77" s="189"/>
      <c r="FC77" s="131"/>
      <c r="FD77" s="131"/>
      <c r="FE77" s="131"/>
      <c r="FF77" s="131"/>
      <c r="FG77" s="131"/>
    </row>
    <row r="78" spans="2:163" ht="16" outlineLevel="1" thickBot="1" x14ac:dyDescent="0.4">
      <c r="B78" s="357"/>
      <c r="C78" s="354"/>
      <c r="D78" s="240"/>
      <c r="E78" s="241"/>
      <c r="F78" s="135"/>
      <c r="G78" s="192"/>
      <c r="H78" s="242"/>
      <c r="I78" s="138">
        <f t="shared" si="56"/>
        <v>0</v>
      </c>
      <c r="J78" s="139"/>
      <c r="K78" s="193">
        <f t="shared" ref="K78:K79" si="106">E78*60</f>
        <v>0</v>
      </c>
      <c r="L78" s="141"/>
      <c r="M78" s="194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4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6"/>
      <c r="AN78" s="197">
        <f t="shared" si="58"/>
        <v>0</v>
      </c>
      <c r="AO78" s="146"/>
      <c r="AP78" s="147">
        <f t="shared" si="59"/>
        <v>0</v>
      </c>
      <c r="AQ78" s="148"/>
      <c r="AR78" s="198"/>
      <c r="AS78" s="198"/>
      <c r="AT78" s="135"/>
      <c r="AU78" s="199"/>
      <c r="AV78" s="200"/>
      <c r="AW78" s="200"/>
      <c r="AX78" s="200"/>
      <c r="AY78" s="200"/>
      <c r="AZ78" s="200"/>
      <c r="BA78" s="200"/>
      <c r="BB78" s="200"/>
      <c r="BC78" s="200"/>
      <c r="BD78" s="200"/>
      <c r="BE78" s="200"/>
      <c r="BF78" s="201"/>
      <c r="BG78" s="201"/>
      <c r="BH78" s="201"/>
      <c r="BI78" s="201"/>
      <c r="BJ78" s="201"/>
      <c r="BK78" s="201"/>
      <c r="BL78" s="201"/>
      <c r="BM78" s="201"/>
      <c r="BN78" s="201"/>
      <c r="BO78" s="201"/>
      <c r="BP78" s="201"/>
      <c r="BQ78" s="201"/>
      <c r="BR78" s="199"/>
      <c r="BS78" s="200"/>
      <c r="BT78" s="200"/>
      <c r="BU78" s="200"/>
      <c r="BV78" s="200"/>
      <c r="BW78" s="200"/>
      <c r="BX78" s="200"/>
      <c r="BY78" s="200"/>
      <c r="BZ78" s="200"/>
      <c r="CA78" s="200"/>
      <c r="CB78" s="200"/>
      <c r="CC78" s="202"/>
      <c r="CD78" s="199"/>
      <c r="CE78" s="194"/>
      <c r="CF78" s="195"/>
      <c r="CG78" s="195"/>
      <c r="CH78" s="195"/>
      <c r="CI78" s="195"/>
      <c r="CJ78" s="195"/>
      <c r="CK78" s="195"/>
      <c r="CL78" s="195"/>
      <c r="CM78" s="195"/>
      <c r="CN78" s="195"/>
      <c r="CO78" s="347"/>
      <c r="CP78" s="200"/>
      <c r="CQ78" s="201"/>
      <c r="CR78" s="202"/>
      <c r="CS78" s="203">
        <f t="shared" si="60"/>
        <v>0</v>
      </c>
      <c r="CT78" s="146"/>
      <c r="CU78" s="147">
        <f t="shared" si="61"/>
        <v>0</v>
      </c>
      <c r="CV78" s="156"/>
      <c r="CW78" s="157" t="e">
        <f t="shared" si="62"/>
        <v>#DIV/0!</v>
      </c>
      <c r="CX78" s="157" t="e">
        <f t="shared" si="63"/>
        <v>#DIV/0!</v>
      </c>
      <c r="CY78" s="157" t="e">
        <f t="shared" si="64"/>
        <v>#DIV/0!</v>
      </c>
      <c r="CZ78" s="157" t="e">
        <f t="shared" si="65"/>
        <v>#DIV/0!</v>
      </c>
      <c r="DA78" s="157" t="e">
        <f t="shared" si="66"/>
        <v>#DIV/0!</v>
      </c>
      <c r="DB78" s="158" t="e">
        <f t="shared" si="67"/>
        <v>#DIV/0!</v>
      </c>
      <c r="DC78" s="131"/>
      <c r="DD78" s="159">
        <f t="shared" si="68"/>
        <v>0</v>
      </c>
      <c r="DE78" s="160">
        <f t="shared" si="69"/>
        <v>0</v>
      </c>
      <c r="DF78" s="161">
        <f t="shared" si="70"/>
        <v>0</v>
      </c>
      <c r="DG78" s="162" t="e">
        <f t="shared" si="71"/>
        <v>#DIV/0!</v>
      </c>
      <c r="DH78" s="163">
        <f t="shared" si="72"/>
        <v>0</v>
      </c>
      <c r="DI78" s="164"/>
      <c r="DJ78" s="165">
        <f t="shared" si="55"/>
        <v>0</v>
      </c>
      <c r="DK78" s="166">
        <f t="shared" si="55"/>
        <v>0</v>
      </c>
      <c r="DL78" s="167" t="e">
        <f t="shared" si="73"/>
        <v>#DIV/0!</v>
      </c>
      <c r="DM78" s="168" t="e">
        <f t="shared" si="74"/>
        <v>#DIV/0!</v>
      </c>
      <c r="DN78" s="163" t="e">
        <f t="shared" si="75"/>
        <v>#DIV/0!</v>
      </c>
      <c r="DO78" s="169"/>
      <c r="DP78" s="170"/>
      <c r="DQ78" s="171"/>
      <c r="DR78" s="172">
        <f t="shared" si="76"/>
        <v>0</v>
      </c>
      <c r="DS78" s="173" t="e">
        <f t="shared" si="77"/>
        <v>#DIV/0!</v>
      </c>
      <c r="DT78" s="163" t="e">
        <f t="shared" si="78"/>
        <v>#DIV/0!</v>
      </c>
      <c r="DU78" s="174"/>
      <c r="DV78" s="175" t="e">
        <f t="shared" si="79"/>
        <v>#DIV/0!</v>
      </c>
      <c r="DW78" s="163">
        <f t="shared" si="80"/>
        <v>0</v>
      </c>
      <c r="DX78" s="164"/>
      <c r="DY78" s="176">
        <f t="shared" si="81"/>
        <v>0</v>
      </c>
      <c r="DZ78" s="177">
        <f t="shared" si="82"/>
        <v>0</v>
      </c>
      <c r="EA78" s="178">
        <f t="shared" si="83"/>
        <v>0</v>
      </c>
      <c r="EB78" s="179">
        <f t="shared" si="84"/>
        <v>0</v>
      </c>
      <c r="EC78" s="180"/>
      <c r="ED78" s="175" t="e">
        <f t="shared" si="85"/>
        <v>#DIV/0!</v>
      </c>
      <c r="EE78" s="163">
        <f t="shared" si="86"/>
        <v>0</v>
      </c>
      <c r="EF78" s="164"/>
      <c r="EG78" s="181">
        <f t="shared" si="87"/>
        <v>0</v>
      </c>
      <c r="EH78" s="182">
        <f t="shared" si="88"/>
        <v>0</v>
      </c>
      <c r="EI78" s="182">
        <f t="shared" si="89"/>
        <v>0</v>
      </c>
      <c r="EJ78" s="182">
        <f t="shared" si="90"/>
        <v>0</v>
      </c>
      <c r="EK78" s="183">
        <f t="shared" si="91"/>
        <v>0</v>
      </c>
      <c r="EL78" s="184" t="e">
        <f t="shared" si="92"/>
        <v>#DIV/0!</v>
      </c>
      <c r="EM78" s="185">
        <f t="shared" si="93"/>
        <v>0</v>
      </c>
      <c r="EN78" s="164"/>
      <c r="EO78" s="181">
        <f t="shared" si="94"/>
        <v>0</v>
      </c>
      <c r="EP78" s="183">
        <f t="shared" si="95"/>
        <v>0</v>
      </c>
      <c r="EQ78" s="184" t="e">
        <f t="shared" si="96"/>
        <v>#DIV/0!</v>
      </c>
      <c r="ER78" s="185">
        <f t="shared" si="97"/>
        <v>0</v>
      </c>
      <c r="ES78" s="164"/>
      <c r="ET78" s="164"/>
      <c r="EU78" s="186">
        <f t="shared" si="98"/>
        <v>0</v>
      </c>
      <c r="EV78" s="186">
        <f t="shared" si="99"/>
        <v>0</v>
      </c>
      <c r="EW78" s="186">
        <f t="shared" si="100"/>
        <v>0</v>
      </c>
      <c r="EX78" s="186">
        <f t="shared" si="101"/>
        <v>0</v>
      </c>
      <c r="EY78" s="131"/>
      <c r="EZ78" s="187">
        <f t="shared" si="102"/>
        <v>0</v>
      </c>
      <c r="FA78" s="188" t="e">
        <f t="shared" si="103"/>
        <v>#DIV/0!</v>
      </c>
      <c r="FB78" s="189"/>
      <c r="FC78" s="131"/>
      <c r="FD78" s="131"/>
      <c r="FE78" s="131"/>
      <c r="FF78" s="131"/>
      <c r="FG78" s="131"/>
    </row>
    <row r="79" spans="2:163" ht="16" outlineLevel="1" thickBot="1" x14ac:dyDescent="0.4">
      <c r="B79" s="358"/>
      <c r="C79" s="355"/>
      <c r="D79" s="243"/>
      <c r="E79" s="244"/>
      <c r="F79" s="135"/>
      <c r="G79" s="192"/>
      <c r="H79" s="245"/>
      <c r="I79" s="138">
        <f t="shared" si="56"/>
        <v>0</v>
      </c>
      <c r="J79" s="139"/>
      <c r="K79" s="208">
        <f t="shared" si="106"/>
        <v>0</v>
      </c>
      <c r="L79" s="141"/>
      <c r="M79" s="209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09"/>
      <c r="AB79" s="210"/>
      <c r="AC79" s="210"/>
      <c r="AD79" s="210"/>
      <c r="AE79" s="210"/>
      <c r="AF79" s="210"/>
      <c r="AG79" s="210"/>
      <c r="AH79" s="210"/>
      <c r="AI79" s="210"/>
      <c r="AJ79" s="210"/>
      <c r="AK79" s="210"/>
      <c r="AL79" s="210"/>
      <c r="AM79" s="211"/>
      <c r="AN79" s="212">
        <f t="shared" si="58"/>
        <v>0</v>
      </c>
      <c r="AO79" s="146"/>
      <c r="AP79" s="147">
        <f t="shared" si="59"/>
        <v>0</v>
      </c>
      <c r="AQ79" s="148"/>
      <c r="AR79" s="213"/>
      <c r="AS79" s="213"/>
      <c r="AT79" s="135"/>
      <c r="AU79" s="214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6"/>
      <c r="BG79" s="216"/>
      <c r="BH79" s="216"/>
      <c r="BI79" s="216"/>
      <c r="BJ79" s="216"/>
      <c r="BK79" s="216"/>
      <c r="BL79" s="216"/>
      <c r="BM79" s="216"/>
      <c r="BN79" s="216"/>
      <c r="BO79" s="216"/>
      <c r="BP79" s="216"/>
      <c r="BQ79" s="216"/>
      <c r="BR79" s="214"/>
      <c r="BS79" s="215"/>
      <c r="BT79" s="215"/>
      <c r="BU79" s="215"/>
      <c r="BV79" s="215"/>
      <c r="BW79" s="215"/>
      <c r="BX79" s="215"/>
      <c r="BY79" s="215"/>
      <c r="BZ79" s="215"/>
      <c r="CA79" s="215"/>
      <c r="CB79" s="215"/>
      <c r="CC79" s="217"/>
      <c r="CD79" s="214"/>
      <c r="CE79" s="209"/>
      <c r="CF79" s="210"/>
      <c r="CG79" s="210"/>
      <c r="CH79" s="210"/>
      <c r="CI79" s="210"/>
      <c r="CJ79" s="210"/>
      <c r="CK79" s="210"/>
      <c r="CL79" s="210"/>
      <c r="CM79" s="210"/>
      <c r="CN79" s="210"/>
      <c r="CO79" s="348"/>
      <c r="CP79" s="215"/>
      <c r="CQ79" s="216"/>
      <c r="CR79" s="217"/>
      <c r="CS79" s="218">
        <f t="shared" si="60"/>
        <v>0</v>
      </c>
      <c r="CT79" s="146"/>
      <c r="CU79" s="147">
        <f t="shared" si="61"/>
        <v>0</v>
      </c>
      <c r="CV79" s="156"/>
      <c r="CW79" s="157" t="e">
        <f t="shared" si="62"/>
        <v>#DIV/0!</v>
      </c>
      <c r="CX79" s="157" t="e">
        <f t="shared" si="63"/>
        <v>#DIV/0!</v>
      </c>
      <c r="CY79" s="157" t="e">
        <f t="shared" si="64"/>
        <v>#DIV/0!</v>
      </c>
      <c r="CZ79" s="157" t="e">
        <f t="shared" si="65"/>
        <v>#DIV/0!</v>
      </c>
      <c r="DA79" s="157" t="e">
        <f t="shared" si="66"/>
        <v>#DIV/0!</v>
      </c>
      <c r="DB79" s="158" t="e">
        <f t="shared" si="67"/>
        <v>#DIV/0!</v>
      </c>
      <c r="DC79" s="131"/>
      <c r="DD79" s="159">
        <f t="shared" si="68"/>
        <v>0</v>
      </c>
      <c r="DE79" s="160">
        <f t="shared" si="69"/>
        <v>0</v>
      </c>
      <c r="DF79" s="161">
        <f t="shared" si="70"/>
        <v>0</v>
      </c>
      <c r="DG79" s="162" t="e">
        <f t="shared" si="71"/>
        <v>#DIV/0!</v>
      </c>
      <c r="DH79" s="163">
        <f t="shared" si="72"/>
        <v>0</v>
      </c>
      <c r="DI79" s="164"/>
      <c r="DJ79" s="165">
        <f t="shared" si="55"/>
        <v>0</v>
      </c>
      <c r="DK79" s="166">
        <f t="shared" si="55"/>
        <v>0</v>
      </c>
      <c r="DL79" s="167" t="e">
        <f t="shared" si="73"/>
        <v>#DIV/0!</v>
      </c>
      <c r="DM79" s="168" t="e">
        <f t="shared" si="74"/>
        <v>#DIV/0!</v>
      </c>
      <c r="DN79" s="163" t="e">
        <f t="shared" si="75"/>
        <v>#DIV/0!</v>
      </c>
      <c r="DO79" s="169"/>
      <c r="DP79" s="170"/>
      <c r="DQ79" s="171"/>
      <c r="DR79" s="172">
        <f t="shared" si="76"/>
        <v>0</v>
      </c>
      <c r="DS79" s="173" t="e">
        <f t="shared" si="77"/>
        <v>#DIV/0!</v>
      </c>
      <c r="DT79" s="163" t="e">
        <f t="shared" si="78"/>
        <v>#DIV/0!</v>
      </c>
      <c r="DU79" s="174"/>
      <c r="DV79" s="175" t="e">
        <f t="shared" si="79"/>
        <v>#DIV/0!</v>
      </c>
      <c r="DW79" s="163">
        <f t="shared" si="80"/>
        <v>0</v>
      </c>
      <c r="DX79" s="164"/>
      <c r="DY79" s="176">
        <f t="shared" si="81"/>
        <v>0</v>
      </c>
      <c r="DZ79" s="177">
        <f t="shared" si="82"/>
        <v>0</v>
      </c>
      <c r="EA79" s="178">
        <f t="shared" si="83"/>
        <v>0</v>
      </c>
      <c r="EB79" s="179">
        <f t="shared" si="84"/>
        <v>0</v>
      </c>
      <c r="EC79" s="180"/>
      <c r="ED79" s="175" t="e">
        <f t="shared" si="85"/>
        <v>#DIV/0!</v>
      </c>
      <c r="EE79" s="163">
        <f t="shared" si="86"/>
        <v>0</v>
      </c>
      <c r="EF79" s="164"/>
      <c r="EG79" s="181">
        <f t="shared" si="87"/>
        <v>0</v>
      </c>
      <c r="EH79" s="182">
        <f t="shared" si="88"/>
        <v>0</v>
      </c>
      <c r="EI79" s="182">
        <f t="shared" si="89"/>
        <v>0</v>
      </c>
      <c r="EJ79" s="182">
        <f t="shared" si="90"/>
        <v>0</v>
      </c>
      <c r="EK79" s="183">
        <f t="shared" si="91"/>
        <v>0</v>
      </c>
      <c r="EL79" s="184" t="e">
        <f t="shared" si="92"/>
        <v>#DIV/0!</v>
      </c>
      <c r="EM79" s="185">
        <f t="shared" si="93"/>
        <v>0</v>
      </c>
      <c r="EN79" s="164"/>
      <c r="EO79" s="181">
        <f t="shared" si="94"/>
        <v>0</v>
      </c>
      <c r="EP79" s="183">
        <f t="shared" si="95"/>
        <v>0</v>
      </c>
      <c r="EQ79" s="184" t="e">
        <f t="shared" si="96"/>
        <v>#DIV/0!</v>
      </c>
      <c r="ER79" s="185">
        <f t="shared" si="97"/>
        <v>0</v>
      </c>
      <c r="ES79" s="164"/>
      <c r="ET79" s="164"/>
      <c r="EU79" s="186">
        <f t="shared" si="98"/>
        <v>0</v>
      </c>
      <c r="EV79" s="186">
        <f t="shared" si="99"/>
        <v>0</v>
      </c>
      <c r="EW79" s="186">
        <f t="shared" si="100"/>
        <v>0</v>
      </c>
      <c r="EX79" s="186">
        <f t="shared" si="101"/>
        <v>0</v>
      </c>
      <c r="EY79" s="131"/>
      <c r="EZ79" s="187">
        <f t="shared" si="102"/>
        <v>0</v>
      </c>
      <c r="FA79" s="188" t="e">
        <f t="shared" si="103"/>
        <v>#DIV/0!</v>
      </c>
      <c r="FB79" s="189"/>
      <c r="FC79" s="219"/>
      <c r="FD79" s="219"/>
      <c r="FE79" s="131"/>
      <c r="FF79" s="131"/>
      <c r="FG79" s="131"/>
    </row>
    <row r="80" spans="2:163" s="220" customFormat="1" ht="16" outlineLevel="1" thickBot="1" x14ac:dyDescent="0.4">
      <c r="B80" s="356"/>
      <c r="C80" s="353"/>
      <c r="D80" s="133"/>
      <c r="E80" s="134"/>
      <c r="F80" s="135"/>
      <c r="G80" s="136"/>
      <c r="H80" s="137"/>
      <c r="I80" s="138">
        <f t="shared" si="56"/>
        <v>0</v>
      </c>
      <c r="J80" s="139"/>
      <c r="K80" s="140">
        <f>E80*60</f>
        <v>0</v>
      </c>
      <c r="L80" s="141"/>
      <c r="M80" s="142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2"/>
      <c r="AB80" s="143"/>
      <c r="AC80" s="143"/>
      <c r="AD80" s="143"/>
      <c r="AE80" s="143"/>
      <c r="AF80" s="143"/>
      <c r="AG80" s="143"/>
      <c r="AH80" s="143"/>
      <c r="AI80" s="143"/>
      <c r="AJ80" s="143"/>
      <c r="AK80" s="143"/>
      <c r="AL80" s="143"/>
      <c r="AM80" s="144"/>
      <c r="AN80" s="145">
        <f t="shared" si="58"/>
        <v>0</v>
      </c>
      <c r="AO80" s="146"/>
      <c r="AP80" s="147">
        <f t="shared" si="59"/>
        <v>0</v>
      </c>
      <c r="AQ80" s="221"/>
      <c r="AR80" s="149"/>
      <c r="AS80" s="149"/>
      <c r="AT80" s="222"/>
      <c r="AU80" s="223"/>
      <c r="AV80" s="224"/>
      <c r="AW80" s="224"/>
      <c r="AX80" s="224"/>
      <c r="AY80" s="224"/>
      <c r="AZ80" s="224"/>
      <c r="BA80" s="224"/>
      <c r="BB80" s="224"/>
      <c r="BC80" s="224"/>
      <c r="BD80" s="224"/>
      <c r="BE80" s="224"/>
      <c r="BF80" s="225"/>
      <c r="BG80" s="225"/>
      <c r="BH80" s="225"/>
      <c r="BI80" s="225"/>
      <c r="BJ80" s="225"/>
      <c r="BK80" s="225"/>
      <c r="BL80" s="225"/>
      <c r="BM80" s="225"/>
      <c r="BN80" s="225"/>
      <c r="BO80" s="225"/>
      <c r="BP80" s="225"/>
      <c r="BQ80" s="225"/>
      <c r="BR80" s="223"/>
      <c r="BS80" s="224"/>
      <c r="BT80" s="224"/>
      <c r="BU80" s="224"/>
      <c r="BV80" s="224"/>
      <c r="BW80" s="224"/>
      <c r="BX80" s="224"/>
      <c r="BY80" s="224"/>
      <c r="BZ80" s="224"/>
      <c r="CA80" s="224"/>
      <c r="CB80" s="224"/>
      <c r="CC80" s="226"/>
      <c r="CD80" s="223"/>
      <c r="CE80" s="142"/>
      <c r="CF80" s="143"/>
      <c r="CG80" s="143"/>
      <c r="CH80" s="143"/>
      <c r="CI80" s="143"/>
      <c r="CJ80" s="143"/>
      <c r="CK80" s="143"/>
      <c r="CL80" s="143"/>
      <c r="CM80" s="143"/>
      <c r="CN80" s="143"/>
      <c r="CO80" s="349"/>
      <c r="CP80" s="224"/>
      <c r="CQ80" s="225"/>
      <c r="CR80" s="226"/>
      <c r="CS80" s="227">
        <f t="shared" si="60"/>
        <v>0</v>
      </c>
      <c r="CT80" s="146"/>
      <c r="CU80" s="147">
        <f t="shared" si="61"/>
        <v>0</v>
      </c>
      <c r="CV80" s="156"/>
      <c r="CW80" s="157" t="e">
        <f t="shared" si="62"/>
        <v>#DIV/0!</v>
      </c>
      <c r="CX80" s="157" t="e">
        <f t="shared" si="63"/>
        <v>#DIV/0!</v>
      </c>
      <c r="CY80" s="157" t="e">
        <f t="shared" si="64"/>
        <v>#DIV/0!</v>
      </c>
      <c r="CZ80" s="157" t="e">
        <f t="shared" si="65"/>
        <v>#DIV/0!</v>
      </c>
      <c r="DA80" s="157" t="e">
        <f t="shared" si="66"/>
        <v>#DIV/0!</v>
      </c>
      <c r="DB80" s="158" t="e">
        <f t="shared" si="67"/>
        <v>#DIV/0!</v>
      </c>
      <c r="DC80" s="131"/>
      <c r="DD80" s="159">
        <f t="shared" si="68"/>
        <v>0</v>
      </c>
      <c r="DE80" s="160">
        <f t="shared" si="69"/>
        <v>0</v>
      </c>
      <c r="DF80" s="161">
        <f t="shared" si="70"/>
        <v>0</v>
      </c>
      <c r="DG80" s="162" t="e">
        <f t="shared" si="71"/>
        <v>#DIV/0!</v>
      </c>
      <c r="DH80" s="163">
        <f t="shared" si="72"/>
        <v>0</v>
      </c>
      <c r="DI80" s="164"/>
      <c r="DJ80" s="165">
        <f t="shared" si="55"/>
        <v>0</v>
      </c>
      <c r="DK80" s="166">
        <f t="shared" si="55"/>
        <v>0</v>
      </c>
      <c r="DL80" s="167" t="e">
        <f t="shared" si="73"/>
        <v>#DIV/0!</v>
      </c>
      <c r="DM80" s="168" t="e">
        <f t="shared" si="74"/>
        <v>#DIV/0!</v>
      </c>
      <c r="DN80" s="163" t="e">
        <f t="shared" si="75"/>
        <v>#DIV/0!</v>
      </c>
      <c r="DO80" s="169"/>
      <c r="DP80" s="170"/>
      <c r="DQ80" s="171"/>
      <c r="DR80" s="172">
        <f t="shared" si="76"/>
        <v>0</v>
      </c>
      <c r="DS80" s="173" t="e">
        <f t="shared" si="77"/>
        <v>#DIV/0!</v>
      </c>
      <c r="DT80" s="163" t="e">
        <f t="shared" si="78"/>
        <v>#DIV/0!</v>
      </c>
      <c r="DU80" s="174"/>
      <c r="DV80" s="175" t="e">
        <f t="shared" si="79"/>
        <v>#DIV/0!</v>
      </c>
      <c r="DW80" s="163">
        <f t="shared" si="80"/>
        <v>0</v>
      </c>
      <c r="DX80" s="164"/>
      <c r="DY80" s="176">
        <f t="shared" si="81"/>
        <v>0</v>
      </c>
      <c r="DZ80" s="177">
        <f t="shared" si="82"/>
        <v>0</v>
      </c>
      <c r="EA80" s="178">
        <f t="shared" si="83"/>
        <v>0</v>
      </c>
      <c r="EB80" s="179">
        <f t="shared" si="84"/>
        <v>0</v>
      </c>
      <c r="EC80" s="180"/>
      <c r="ED80" s="175" t="e">
        <f t="shared" si="85"/>
        <v>#DIV/0!</v>
      </c>
      <c r="EE80" s="163">
        <f t="shared" si="86"/>
        <v>0</v>
      </c>
      <c r="EF80" s="164"/>
      <c r="EG80" s="181">
        <f t="shared" si="87"/>
        <v>0</v>
      </c>
      <c r="EH80" s="182">
        <f t="shared" si="88"/>
        <v>0</v>
      </c>
      <c r="EI80" s="182">
        <f t="shared" si="89"/>
        <v>0</v>
      </c>
      <c r="EJ80" s="182">
        <f t="shared" si="90"/>
        <v>0</v>
      </c>
      <c r="EK80" s="183">
        <f t="shared" si="91"/>
        <v>0</v>
      </c>
      <c r="EL80" s="184" t="e">
        <f t="shared" si="92"/>
        <v>#DIV/0!</v>
      </c>
      <c r="EM80" s="185">
        <f t="shared" si="93"/>
        <v>0</v>
      </c>
      <c r="EN80" s="164"/>
      <c r="EO80" s="181">
        <f t="shared" si="94"/>
        <v>0</v>
      </c>
      <c r="EP80" s="183">
        <f t="shared" si="95"/>
        <v>0</v>
      </c>
      <c r="EQ80" s="184" t="e">
        <f t="shared" si="96"/>
        <v>#DIV/0!</v>
      </c>
      <c r="ER80" s="185">
        <f t="shared" si="97"/>
        <v>0</v>
      </c>
      <c r="ES80" s="164"/>
      <c r="ET80" s="164"/>
      <c r="EU80" s="186">
        <f t="shared" si="98"/>
        <v>0</v>
      </c>
      <c r="EV80" s="186">
        <f t="shared" si="99"/>
        <v>0</v>
      </c>
      <c r="EW80" s="186">
        <f t="shared" si="100"/>
        <v>0</v>
      </c>
      <c r="EX80" s="186">
        <f t="shared" si="101"/>
        <v>0</v>
      </c>
      <c r="EY80" s="131"/>
      <c r="EZ80" s="187">
        <f t="shared" si="102"/>
        <v>0</v>
      </c>
      <c r="FA80" s="188" t="e">
        <f t="shared" si="103"/>
        <v>#DIV/0!</v>
      </c>
      <c r="FB80" s="189"/>
      <c r="FC80" s="219"/>
      <c r="FD80" s="219"/>
      <c r="FE80" s="219"/>
      <c r="FF80" s="219"/>
      <c r="FG80" s="219"/>
    </row>
    <row r="81" spans="2:163" s="220" customFormat="1" ht="16" outlineLevel="1" thickBot="1" x14ac:dyDescent="0.4">
      <c r="B81" s="357"/>
      <c r="C81" s="354"/>
      <c r="D81" s="240"/>
      <c r="E81" s="241"/>
      <c r="F81" s="135"/>
      <c r="G81" s="192"/>
      <c r="H81" s="242"/>
      <c r="I81" s="138">
        <f t="shared" si="56"/>
        <v>0</v>
      </c>
      <c r="J81" s="139"/>
      <c r="K81" s="193">
        <f t="shared" ref="K81:K103" si="107">E81*60</f>
        <v>0</v>
      </c>
      <c r="L81" s="141"/>
      <c r="M81" s="194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4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6"/>
      <c r="AN81" s="197">
        <f t="shared" si="58"/>
        <v>0</v>
      </c>
      <c r="AO81" s="146"/>
      <c r="AP81" s="147">
        <f t="shared" si="59"/>
        <v>0</v>
      </c>
      <c r="AQ81" s="221"/>
      <c r="AR81" s="198"/>
      <c r="AS81" s="198"/>
      <c r="AT81" s="222"/>
      <c r="AU81" s="228"/>
      <c r="AV81" s="229"/>
      <c r="AW81" s="229"/>
      <c r="AX81" s="229"/>
      <c r="AY81" s="229"/>
      <c r="AZ81" s="229"/>
      <c r="BA81" s="229"/>
      <c r="BB81" s="229"/>
      <c r="BC81" s="229"/>
      <c r="BD81" s="229"/>
      <c r="BE81" s="229"/>
      <c r="BF81" s="230"/>
      <c r="BG81" s="230"/>
      <c r="BH81" s="230"/>
      <c r="BI81" s="230"/>
      <c r="BJ81" s="230"/>
      <c r="BK81" s="230"/>
      <c r="BL81" s="230"/>
      <c r="BM81" s="230"/>
      <c r="BN81" s="230"/>
      <c r="BO81" s="230"/>
      <c r="BP81" s="230"/>
      <c r="BQ81" s="230"/>
      <c r="BR81" s="228"/>
      <c r="BS81" s="229"/>
      <c r="BT81" s="229"/>
      <c r="BU81" s="229"/>
      <c r="BV81" s="229"/>
      <c r="BW81" s="229"/>
      <c r="BX81" s="229"/>
      <c r="BY81" s="229"/>
      <c r="BZ81" s="229"/>
      <c r="CA81" s="229"/>
      <c r="CB81" s="229"/>
      <c r="CC81" s="231"/>
      <c r="CD81" s="228"/>
      <c r="CE81" s="194"/>
      <c r="CF81" s="195"/>
      <c r="CG81" s="195"/>
      <c r="CH81" s="195"/>
      <c r="CI81" s="195"/>
      <c r="CJ81" s="195"/>
      <c r="CK81" s="195"/>
      <c r="CL81" s="195"/>
      <c r="CM81" s="195"/>
      <c r="CN81" s="195"/>
      <c r="CO81" s="350"/>
      <c r="CP81" s="229"/>
      <c r="CQ81" s="230"/>
      <c r="CR81" s="231"/>
      <c r="CS81" s="232">
        <f t="shared" si="60"/>
        <v>0</v>
      </c>
      <c r="CT81" s="146"/>
      <c r="CU81" s="147">
        <f t="shared" si="61"/>
        <v>0</v>
      </c>
      <c r="CV81" s="156"/>
      <c r="CW81" s="157" t="e">
        <f t="shared" si="62"/>
        <v>#DIV/0!</v>
      </c>
      <c r="CX81" s="157" t="e">
        <f t="shared" si="63"/>
        <v>#DIV/0!</v>
      </c>
      <c r="CY81" s="157" t="e">
        <f t="shared" si="64"/>
        <v>#DIV/0!</v>
      </c>
      <c r="CZ81" s="157" t="e">
        <f t="shared" si="65"/>
        <v>#DIV/0!</v>
      </c>
      <c r="DA81" s="157" t="e">
        <f t="shared" si="66"/>
        <v>#DIV/0!</v>
      </c>
      <c r="DB81" s="158" t="e">
        <f t="shared" si="67"/>
        <v>#DIV/0!</v>
      </c>
      <c r="DC81" s="131"/>
      <c r="DD81" s="159">
        <f t="shared" si="68"/>
        <v>0</v>
      </c>
      <c r="DE81" s="160">
        <f t="shared" si="69"/>
        <v>0</v>
      </c>
      <c r="DF81" s="161">
        <f t="shared" si="70"/>
        <v>0</v>
      </c>
      <c r="DG81" s="162" t="e">
        <f t="shared" si="71"/>
        <v>#DIV/0!</v>
      </c>
      <c r="DH81" s="163">
        <f t="shared" si="72"/>
        <v>0</v>
      </c>
      <c r="DI81" s="164"/>
      <c r="DJ81" s="165">
        <f t="shared" si="55"/>
        <v>0</v>
      </c>
      <c r="DK81" s="166">
        <f t="shared" si="55"/>
        <v>0</v>
      </c>
      <c r="DL81" s="167" t="e">
        <f t="shared" si="73"/>
        <v>#DIV/0!</v>
      </c>
      <c r="DM81" s="168" t="e">
        <f t="shared" si="74"/>
        <v>#DIV/0!</v>
      </c>
      <c r="DN81" s="163" t="e">
        <f t="shared" si="75"/>
        <v>#DIV/0!</v>
      </c>
      <c r="DO81" s="169"/>
      <c r="DP81" s="170"/>
      <c r="DQ81" s="171"/>
      <c r="DR81" s="172">
        <f t="shared" si="76"/>
        <v>0</v>
      </c>
      <c r="DS81" s="173" t="e">
        <f t="shared" si="77"/>
        <v>#DIV/0!</v>
      </c>
      <c r="DT81" s="163" t="e">
        <f t="shared" si="78"/>
        <v>#DIV/0!</v>
      </c>
      <c r="DU81" s="174"/>
      <c r="DV81" s="175" t="e">
        <f t="shared" si="79"/>
        <v>#DIV/0!</v>
      </c>
      <c r="DW81" s="163">
        <f t="shared" si="80"/>
        <v>0</v>
      </c>
      <c r="DX81" s="164"/>
      <c r="DY81" s="176">
        <f t="shared" si="81"/>
        <v>0</v>
      </c>
      <c r="DZ81" s="177">
        <f t="shared" si="82"/>
        <v>0</v>
      </c>
      <c r="EA81" s="178">
        <f t="shared" si="83"/>
        <v>0</v>
      </c>
      <c r="EB81" s="179">
        <f t="shared" si="84"/>
        <v>0</v>
      </c>
      <c r="EC81" s="180"/>
      <c r="ED81" s="175" t="e">
        <f t="shared" si="85"/>
        <v>#DIV/0!</v>
      </c>
      <c r="EE81" s="163">
        <f t="shared" si="86"/>
        <v>0</v>
      </c>
      <c r="EF81" s="164"/>
      <c r="EG81" s="181">
        <f t="shared" si="87"/>
        <v>0</v>
      </c>
      <c r="EH81" s="182">
        <f t="shared" si="88"/>
        <v>0</v>
      </c>
      <c r="EI81" s="182">
        <f t="shared" si="89"/>
        <v>0</v>
      </c>
      <c r="EJ81" s="182">
        <f t="shared" si="90"/>
        <v>0</v>
      </c>
      <c r="EK81" s="183">
        <f t="shared" si="91"/>
        <v>0</v>
      </c>
      <c r="EL81" s="184" t="e">
        <f t="shared" si="92"/>
        <v>#DIV/0!</v>
      </c>
      <c r="EM81" s="185">
        <f t="shared" si="93"/>
        <v>0</v>
      </c>
      <c r="EN81" s="164"/>
      <c r="EO81" s="181">
        <f t="shared" si="94"/>
        <v>0</v>
      </c>
      <c r="EP81" s="183">
        <f t="shared" si="95"/>
        <v>0</v>
      </c>
      <c r="EQ81" s="184" t="e">
        <f t="shared" si="96"/>
        <v>#DIV/0!</v>
      </c>
      <c r="ER81" s="185">
        <f t="shared" si="97"/>
        <v>0</v>
      </c>
      <c r="ES81" s="164"/>
      <c r="ET81" s="164"/>
      <c r="EU81" s="186">
        <f t="shared" si="98"/>
        <v>0</v>
      </c>
      <c r="EV81" s="186">
        <f t="shared" si="99"/>
        <v>0</v>
      </c>
      <c r="EW81" s="186">
        <f t="shared" si="100"/>
        <v>0</v>
      </c>
      <c r="EX81" s="186">
        <f t="shared" si="101"/>
        <v>0</v>
      </c>
      <c r="EY81" s="131"/>
      <c r="EZ81" s="187">
        <f t="shared" si="102"/>
        <v>0</v>
      </c>
      <c r="FA81" s="188" t="e">
        <f t="shared" si="103"/>
        <v>#DIV/0!</v>
      </c>
      <c r="FB81" s="189"/>
      <c r="FC81" s="219"/>
      <c r="FD81" s="219"/>
      <c r="FE81" s="219"/>
      <c r="FF81" s="219"/>
      <c r="FG81" s="219"/>
    </row>
    <row r="82" spans="2:163" s="220" customFormat="1" ht="16" outlineLevel="1" thickBot="1" x14ac:dyDescent="0.4">
      <c r="B82" s="358"/>
      <c r="C82" s="355"/>
      <c r="D82" s="243"/>
      <c r="E82" s="244"/>
      <c r="F82" s="135"/>
      <c r="G82" s="192"/>
      <c r="H82" s="245"/>
      <c r="I82" s="138">
        <f t="shared" si="56"/>
        <v>0</v>
      </c>
      <c r="J82" s="139"/>
      <c r="K82" s="208">
        <f t="shared" si="107"/>
        <v>0</v>
      </c>
      <c r="L82" s="141"/>
      <c r="M82" s="209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09"/>
      <c r="AB82" s="210"/>
      <c r="AC82" s="210"/>
      <c r="AD82" s="210"/>
      <c r="AE82" s="210"/>
      <c r="AF82" s="210"/>
      <c r="AG82" s="210"/>
      <c r="AH82" s="210"/>
      <c r="AI82" s="210"/>
      <c r="AJ82" s="210"/>
      <c r="AK82" s="210"/>
      <c r="AL82" s="210"/>
      <c r="AM82" s="211"/>
      <c r="AN82" s="212">
        <f t="shared" si="58"/>
        <v>0</v>
      </c>
      <c r="AO82" s="146"/>
      <c r="AP82" s="147">
        <f t="shared" si="59"/>
        <v>0</v>
      </c>
      <c r="AQ82" s="221"/>
      <c r="AR82" s="213"/>
      <c r="AS82" s="213"/>
      <c r="AT82" s="222"/>
      <c r="AU82" s="233"/>
      <c r="AV82" s="234"/>
      <c r="AW82" s="234"/>
      <c r="AX82" s="234"/>
      <c r="AY82" s="234"/>
      <c r="AZ82" s="234"/>
      <c r="BA82" s="234"/>
      <c r="BB82" s="234"/>
      <c r="BC82" s="234"/>
      <c r="BD82" s="234"/>
      <c r="BE82" s="234"/>
      <c r="BF82" s="235"/>
      <c r="BG82" s="235"/>
      <c r="BH82" s="235"/>
      <c r="BI82" s="235"/>
      <c r="BJ82" s="235"/>
      <c r="BK82" s="235"/>
      <c r="BL82" s="235"/>
      <c r="BM82" s="235"/>
      <c r="BN82" s="235"/>
      <c r="BO82" s="235"/>
      <c r="BP82" s="235"/>
      <c r="BQ82" s="235"/>
      <c r="BR82" s="233"/>
      <c r="BS82" s="234"/>
      <c r="BT82" s="234"/>
      <c r="BU82" s="234"/>
      <c r="BV82" s="234"/>
      <c r="BW82" s="234"/>
      <c r="BX82" s="234"/>
      <c r="BY82" s="234"/>
      <c r="BZ82" s="234"/>
      <c r="CA82" s="234"/>
      <c r="CB82" s="234"/>
      <c r="CC82" s="236"/>
      <c r="CD82" s="233"/>
      <c r="CE82" s="209"/>
      <c r="CF82" s="210"/>
      <c r="CG82" s="210"/>
      <c r="CH82" s="210"/>
      <c r="CI82" s="210"/>
      <c r="CJ82" s="210"/>
      <c r="CK82" s="210"/>
      <c r="CL82" s="210"/>
      <c r="CM82" s="210"/>
      <c r="CN82" s="210"/>
      <c r="CO82" s="351"/>
      <c r="CP82" s="234"/>
      <c r="CQ82" s="235"/>
      <c r="CR82" s="236"/>
      <c r="CS82" s="237">
        <f t="shared" si="60"/>
        <v>0</v>
      </c>
      <c r="CT82" s="146"/>
      <c r="CU82" s="147">
        <f t="shared" si="61"/>
        <v>0</v>
      </c>
      <c r="CV82" s="156"/>
      <c r="CW82" s="157" t="e">
        <f t="shared" si="62"/>
        <v>#DIV/0!</v>
      </c>
      <c r="CX82" s="157" t="e">
        <f t="shared" si="63"/>
        <v>#DIV/0!</v>
      </c>
      <c r="CY82" s="157" t="e">
        <f t="shared" si="64"/>
        <v>#DIV/0!</v>
      </c>
      <c r="CZ82" s="157" t="e">
        <f t="shared" si="65"/>
        <v>#DIV/0!</v>
      </c>
      <c r="DA82" s="157" t="e">
        <f t="shared" si="66"/>
        <v>#DIV/0!</v>
      </c>
      <c r="DB82" s="158" t="e">
        <f t="shared" si="67"/>
        <v>#DIV/0!</v>
      </c>
      <c r="DC82" s="131"/>
      <c r="DD82" s="159">
        <f t="shared" si="68"/>
        <v>0</v>
      </c>
      <c r="DE82" s="160">
        <f t="shared" si="69"/>
        <v>0</v>
      </c>
      <c r="DF82" s="161">
        <f t="shared" si="70"/>
        <v>0</v>
      </c>
      <c r="DG82" s="162" t="e">
        <f t="shared" si="71"/>
        <v>#DIV/0!</v>
      </c>
      <c r="DH82" s="163">
        <f t="shared" si="72"/>
        <v>0</v>
      </c>
      <c r="DI82" s="164"/>
      <c r="DJ82" s="165">
        <f t="shared" si="55"/>
        <v>0</v>
      </c>
      <c r="DK82" s="166">
        <f t="shared" si="55"/>
        <v>0</v>
      </c>
      <c r="DL82" s="167" t="e">
        <f t="shared" si="73"/>
        <v>#DIV/0!</v>
      </c>
      <c r="DM82" s="168" t="e">
        <f t="shared" si="74"/>
        <v>#DIV/0!</v>
      </c>
      <c r="DN82" s="163" t="e">
        <f t="shared" si="75"/>
        <v>#DIV/0!</v>
      </c>
      <c r="DO82" s="169"/>
      <c r="DP82" s="170"/>
      <c r="DQ82" s="171"/>
      <c r="DR82" s="172">
        <f t="shared" si="76"/>
        <v>0</v>
      </c>
      <c r="DS82" s="173" t="e">
        <f t="shared" si="77"/>
        <v>#DIV/0!</v>
      </c>
      <c r="DT82" s="163" t="e">
        <f t="shared" si="78"/>
        <v>#DIV/0!</v>
      </c>
      <c r="DU82" s="174"/>
      <c r="DV82" s="175" t="e">
        <f t="shared" si="79"/>
        <v>#DIV/0!</v>
      </c>
      <c r="DW82" s="163">
        <f t="shared" si="80"/>
        <v>0</v>
      </c>
      <c r="DX82" s="164"/>
      <c r="DY82" s="176">
        <f t="shared" si="81"/>
        <v>0</v>
      </c>
      <c r="DZ82" s="177">
        <f t="shared" si="82"/>
        <v>0</v>
      </c>
      <c r="EA82" s="178">
        <f t="shared" si="83"/>
        <v>0</v>
      </c>
      <c r="EB82" s="179">
        <f t="shared" si="84"/>
        <v>0</v>
      </c>
      <c r="EC82" s="180"/>
      <c r="ED82" s="175" t="e">
        <f t="shared" si="85"/>
        <v>#DIV/0!</v>
      </c>
      <c r="EE82" s="163">
        <f t="shared" si="86"/>
        <v>0</v>
      </c>
      <c r="EF82" s="164"/>
      <c r="EG82" s="181">
        <f t="shared" si="87"/>
        <v>0</v>
      </c>
      <c r="EH82" s="182">
        <f t="shared" si="88"/>
        <v>0</v>
      </c>
      <c r="EI82" s="182">
        <f t="shared" si="89"/>
        <v>0</v>
      </c>
      <c r="EJ82" s="182">
        <f t="shared" si="90"/>
        <v>0</v>
      </c>
      <c r="EK82" s="183">
        <f t="shared" si="91"/>
        <v>0</v>
      </c>
      <c r="EL82" s="184" t="e">
        <f t="shared" si="92"/>
        <v>#DIV/0!</v>
      </c>
      <c r="EM82" s="185">
        <f t="shared" si="93"/>
        <v>0</v>
      </c>
      <c r="EN82" s="164"/>
      <c r="EO82" s="181">
        <f t="shared" si="94"/>
        <v>0</v>
      </c>
      <c r="EP82" s="183">
        <f t="shared" si="95"/>
        <v>0</v>
      </c>
      <c r="EQ82" s="184" t="e">
        <f t="shared" si="96"/>
        <v>#DIV/0!</v>
      </c>
      <c r="ER82" s="185">
        <f t="shared" si="97"/>
        <v>0</v>
      </c>
      <c r="ES82" s="164"/>
      <c r="ET82" s="164"/>
      <c r="EU82" s="186">
        <f t="shared" si="98"/>
        <v>0</v>
      </c>
      <c r="EV82" s="186">
        <f t="shared" si="99"/>
        <v>0</v>
      </c>
      <c r="EW82" s="186">
        <f t="shared" si="100"/>
        <v>0</v>
      </c>
      <c r="EX82" s="186">
        <f t="shared" si="101"/>
        <v>0</v>
      </c>
      <c r="EY82" s="131"/>
      <c r="EZ82" s="187">
        <f t="shared" si="102"/>
        <v>0</v>
      </c>
      <c r="FA82" s="188" t="e">
        <f t="shared" si="103"/>
        <v>#DIV/0!</v>
      </c>
      <c r="FB82" s="189"/>
      <c r="FC82" s="131"/>
      <c r="FD82" s="131"/>
      <c r="FE82" s="219"/>
      <c r="FF82" s="219"/>
      <c r="FG82" s="219"/>
    </row>
    <row r="83" spans="2:163" s="220" customFormat="1" ht="16" outlineLevel="1" thickBot="1" x14ac:dyDescent="0.4">
      <c r="B83" s="356"/>
      <c r="C83" s="353"/>
      <c r="D83" s="133"/>
      <c r="E83" s="134"/>
      <c r="F83" s="135"/>
      <c r="G83" s="136"/>
      <c r="H83" s="137"/>
      <c r="I83" s="138">
        <f>IF(E83&gt;0.0001,9.4,0)</f>
        <v>0</v>
      </c>
      <c r="J83" s="139"/>
      <c r="K83" s="140">
        <f t="shared" si="107"/>
        <v>0</v>
      </c>
      <c r="L83" s="141"/>
      <c r="M83" s="142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2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144"/>
      <c r="AN83" s="145">
        <f t="shared" si="58"/>
        <v>0</v>
      </c>
      <c r="AO83" s="146"/>
      <c r="AP83" s="147">
        <f t="shared" si="59"/>
        <v>0</v>
      </c>
      <c r="AQ83" s="221"/>
      <c r="AR83" s="149"/>
      <c r="AS83" s="149"/>
      <c r="AT83" s="222"/>
      <c r="AU83" s="223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5"/>
      <c r="BG83" s="225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3"/>
      <c r="BS83" s="224"/>
      <c r="BT83" s="224"/>
      <c r="BU83" s="224"/>
      <c r="BV83" s="224"/>
      <c r="BW83" s="224"/>
      <c r="BX83" s="224"/>
      <c r="BY83" s="224"/>
      <c r="BZ83" s="224"/>
      <c r="CA83" s="224"/>
      <c r="CB83" s="224"/>
      <c r="CC83" s="226"/>
      <c r="CD83" s="223"/>
      <c r="CE83" s="142"/>
      <c r="CF83" s="143"/>
      <c r="CG83" s="143"/>
      <c r="CH83" s="143"/>
      <c r="CI83" s="143"/>
      <c r="CJ83" s="143"/>
      <c r="CK83" s="143"/>
      <c r="CL83" s="143"/>
      <c r="CM83" s="143"/>
      <c r="CN83" s="143"/>
      <c r="CO83" s="349"/>
      <c r="CP83" s="224"/>
      <c r="CQ83" s="225"/>
      <c r="CR83" s="226"/>
      <c r="CS83" s="227">
        <f t="shared" si="60"/>
        <v>0</v>
      </c>
      <c r="CT83" s="146"/>
      <c r="CU83" s="147">
        <f t="shared" si="61"/>
        <v>0</v>
      </c>
      <c r="CV83" s="156"/>
      <c r="CW83" s="157" t="e">
        <f t="shared" si="62"/>
        <v>#DIV/0!</v>
      </c>
      <c r="CX83" s="157" t="e">
        <f t="shared" si="63"/>
        <v>#DIV/0!</v>
      </c>
      <c r="CY83" s="157" t="e">
        <f t="shared" si="64"/>
        <v>#DIV/0!</v>
      </c>
      <c r="CZ83" s="157" t="e">
        <f t="shared" si="65"/>
        <v>#DIV/0!</v>
      </c>
      <c r="DA83" s="157" t="e">
        <f t="shared" si="66"/>
        <v>#DIV/0!</v>
      </c>
      <c r="DB83" s="158" t="e">
        <f t="shared" si="67"/>
        <v>#DIV/0!</v>
      </c>
      <c r="DC83" s="131"/>
      <c r="DD83" s="159">
        <f t="shared" si="68"/>
        <v>0</v>
      </c>
      <c r="DE83" s="160">
        <f t="shared" si="69"/>
        <v>0</v>
      </c>
      <c r="DF83" s="161">
        <f t="shared" si="70"/>
        <v>0</v>
      </c>
      <c r="DG83" s="162" t="e">
        <f t="shared" si="71"/>
        <v>#DIV/0!</v>
      </c>
      <c r="DH83" s="163">
        <f t="shared" si="72"/>
        <v>0</v>
      </c>
      <c r="DI83" s="164"/>
      <c r="DJ83" s="165">
        <f t="shared" si="55"/>
        <v>0</v>
      </c>
      <c r="DK83" s="166">
        <f t="shared" si="55"/>
        <v>0</v>
      </c>
      <c r="DL83" s="167" t="e">
        <f t="shared" si="73"/>
        <v>#DIV/0!</v>
      </c>
      <c r="DM83" s="168" t="e">
        <f t="shared" si="74"/>
        <v>#DIV/0!</v>
      </c>
      <c r="DN83" s="163" t="e">
        <f t="shared" si="75"/>
        <v>#DIV/0!</v>
      </c>
      <c r="DO83" s="169"/>
      <c r="DP83" s="170"/>
      <c r="DQ83" s="171"/>
      <c r="DR83" s="172">
        <f t="shared" si="76"/>
        <v>0</v>
      </c>
      <c r="DS83" s="173" t="e">
        <f t="shared" si="77"/>
        <v>#DIV/0!</v>
      </c>
      <c r="DT83" s="163" t="e">
        <f t="shared" si="78"/>
        <v>#DIV/0!</v>
      </c>
      <c r="DU83" s="174"/>
      <c r="DV83" s="175" t="e">
        <f t="shared" si="79"/>
        <v>#DIV/0!</v>
      </c>
      <c r="DW83" s="163">
        <f t="shared" si="80"/>
        <v>0</v>
      </c>
      <c r="DX83" s="164"/>
      <c r="DY83" s="176">
        <f t="shared" si="81"/>
        <v>0</v>
      </c>
      <c r="DZ83" s="177">
        <f t="shared" si="82"/>
        <v>0</v>
      </c>
      <c r="EA83" s="178">
        <f t="shared" si="83"/>
        <v>0</v>
      </c>
      <c r="EB83" s="179">
        <f t="shared" si="84"/>
        <v>0</v>
      </c>
      <c r="EC83" s="180"/>
      <c r="ED83" s="175" t="e">
        <f t="shared" si="85"/>
        <v>#DIV/0!</v>
      </c>
      <c r="EE83" s="163">
        <f t="shared" si="86"/>
        <v>0</v>
      </c>
      <c r="EF83" s="164"/>
      <c r="EG83" s="181">
        <f t="shared" si="87"/>
        <v>0</v>
      </c>
      <c r="EH83" s="182">
        <f t="shared" si="88"/>
        <v>0</v>
      </c>
      <c r="EI83" s="182">
        <f t="shared" si="89"/>
        <v>0</v>
      </c>
      <c r="EJ83" s="182">
        <f t="shared" si="90"/>
        <v>0</v>
      </c>
      <c r="EK83" s="183">
        <f t="shared" si="91"/>
        <v>0</v>
      </c>
      <c r="EL83" s="184" t="e">
        <f t="shared" si="92"/>
        <v>#DIV/0!</v>
      </c>
      <c r="EM83" s="185">
        <f t="shared" si="93"/>
        <v>0</v>
      </c>
      <c r="EN83" s="164"/>
      <c r="EO83" s="181">
        <f t="shared" si="94"/>
        <v>0</v>
      </c>
      <c r="EP83" s="183">
        <f t="shared" si="95"/>
        <v>0</v>
      </c>
      <c r="EQ83" s="184" t="e">
        <f t="shared" si="96"/>
        <v>#DIV/0!</v>
      </c>
      <c r="ER83" s="185">
        <f t="shared" si="97"/>
        <v>0</v>
      </c>
      <c r="ES83" s="164"/>
      <c r="ET83" s="164"/>
      <c r="EU83" s="186">
        <f t="shared" si="98"/>
        <v>0</v>
      </c>
      <c r="EV83" s="186">
        <f t="shared" si="99"/>
        <v>0</v>
      </c>
      <c r="EW83" s="186">
        <f t="shared" si="100"/>
        <v>0</v>
      </c>
      <c r="EX83" s="186">
        <f t="shared" si="101"/>
        <v>0</v>
      </c>
      <c r="EY83" s="131"/>
      <c r="EZ83" s="187">
        <f t="shared" si="102"/>
        <v>0</v>
      </c>
      <c r="FA83" s="188" t="e">
        <f t="shared" si="103"/>
        <v>#DIV/0!</v>
      </c>
      <c r="FB83" s="189"/>
      <c r="FC83" s="219"/>
      <c r="FD83" s="219"/>
      <c r="FE83" s="219"/>
      <c r="FF83" s="219"/>
      <c r="FG83" s="219"/>
    </row>
    <row r="84" spans="2:163" s="220" customFormat="1" ht="16" outlineLevel="1" thickBot="1" x14ac:dyDescent="0.4">
      <c r="B84" s="357"/>
      <c r="C84" s="354"/>
      <c r="D84" s="190"/>
      <c r="E84" s="191"/>
      <c r="F84" s="135"/>
      <c r="G84" s="192"/>
      <c r="H84" s="137"/>
      <c r="I84" s="138">
        <f t="shared" si="56"/>
        <v>0</v>
      </c>
      <c r="J84" s="139"/>
      <c r="K84" s="193">
        <f t="shared" si="107"/>
        <v>0</v>
      </c>
      <c r="L84" s="141"/>
      <c r="M84" s="194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4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6"/>
      <c r="AN84" s="197">
        <f t="shared" si="58"/>
        <v>0</v>
      </c>
      <c r="AO84" s="146"/>
      <c r="AP84" s="147">
        <f t="shared" si="59"/>
        <v>0</v>
      </c>
      <c r="AQ84" s="221"/>
      <c r="AR84" s="198"/>
      <c r="AS84" s="198"/>
      <c r="AT84" s="222"/>
      <c r="AU84" s="228"/>
      <c r="AV84" s="229"/>
      <c r="AW84" s="229"/>
      <c r="AX84" s="229"/>
      <c r="AY84" s="229"/>
      <c r="AZ84" s="229"/>
      <c r="BA84" s="229"/>
      <c r="BB84" s="229"/>
      <c r="BC84" s="229"/>
      <c r="BD84" s="229"/>
      <c r="BE84" s="229"/>
      <c r="BF84" s="230"/>
      <c r="BG84" s="230"/>
      <c r="BH84" s="230"/>
      <c r="BI84" s="230"/>
      <c r="BJ84" s="230"/>
      <c r="BK84" s="230"/>
      <c r="BL84" s="230"/>
      <c r="BM84" s="230"/>
      <c r="BN84" s="230"/>
      <c r="BO84" s="230"/>
      <c r="BP84" s="230"/>
      <c r="BQ84" s="230"/>
      <c r="BR84" s="228"/>
      <c r="BS84" s="229"/>
      <c r="BT84" s="229"/>
      <c r="BU84" s="229"/>
      <c r="BV84" s="229"/>
      <c r="BW84" s="229"/>
      <c r="BX84" s="229"/>
      <c r="BY84" s="229"/>
      <c r="BZ84" s="229"/>
      <c r="CA84" s="229"/>
      <c r="CB84" s="229"/>
      <c r="CC84" s="231"/>
      <c r="CD84" s="228"/>
      <c r="CE84" s="194"/>
      <c r="CF84" s="195"/>
      <c r="CG84" s="195"/>
      <c r="CH84" s="195"/>
      <c r="CI84" s="195"/>
      <c r="CJ84" s="195"/>
      <c r="CK84" s="195"/>
      <c r="CL84" s="195"/>
      <c r="CM84" s="195"/>
      <c r="CN84" s="195"/>
      <c r="CO84" s="350"/>
      <c r="CP84" s="229"/>
      <c r="CQ84" s="230"/>
      <c r="CR84" s="231"/>
      <c r="CS84" s="232">
        <f t="shared" si="60"/>
        <v>0</v>
      </c>
      <c r="CT84" s="146"/>
      <c r="CU84" s="147">
        <f t="shared" si="61"/>
        <v>0</v>
      </c>
      <c r="CV84" s="156"/>
      <c r="CW84" s="157" t="e">
        <f t="shared" si="62"/>
        <v>#DIV/0!</v>
      </c>
      <c r="CX84" s="157" t="e">
        <f t="shared" si="63"/>
        <v>#DIV/0!</v>
      </c>
      <c r="CY84" s="157" t="e">
        <f t="shared" si="64"/>
        <v>#DIV/0!</v>
      </c>
      <c r="CZ84" s="157" t="e">
        <f t="shared" si="65"/>
        <v>#DIV/0!</v>
      </c>
      <c r="DA84" s="157" t="e">
        <f t="shared" si="66"/>
        <v>#DIV/0!</v>
      </c>
      <c r="DB84" s="158" t="e">
        <f t="shared" si="67"/>
        <v>#DIV/0!</v>
      </c>
      <c r="DC84" s="131"/>
      <c r="DD84" s="159">
        <f t="shared" si="68"/>
        <v>0</v>
      </c>
      <c r="DE84" s="160">
        <f t="shared" si="69"/>
        <v>0</v>
      </c>
      <c r="DF84" s="161">
        <f t="shared" si="70"/>
        <v>0</v>
      </c>
      <c r="DG84" s="162" t="e">
        <f t="shared" si="71"/>
        <v>#DIV/0!</v>
      </c>
      <c r="DH84" s="163">
        <f t="shared" si="72"/>
        <v>0</v>
      </c>
      <c r="DI84" s="164"/>
      <c r="DJ84" s="165">
        <f t="shared" si="55"/>
        <v>0</v>
      </c>
      <c r="DK84" s="166">
        <f t="shared" si="55"/>
        <v>0</v>
      </c>
      <c r="DL84" s="167" t="e">
        <f t="shared" si="73"/>
        <v>#DIV/0!</v>
      </c>
      <c r="DM84" s="168" t="e">
        <f t="shared" si="74"/>
        <v>#DIV/0!</v>
      </c>
      <c r="DN84" s="163" t="e">
        <f t="shared" si="75"/>
        <v>#DIV/0!</v>
      </c>
      <c r="DO84" s="169"/>
      <c r="DP84" s="170"/>
      <c r="DQ84" s="171"/>
      <c r="DR84" s="172">
        <f t="shared" si="76"/>
        <v>0</v>
      </c>
      <c r="DS84" s="173" t="e">
        <f t="shared" si="77"/>
        <v>#DIV/0!</v>
      </c>
      <c r="DT84" s="163" t="e">
        <f t="shared" si="78"/>
        <v>#DIV/0!</v>
      </c>
      <c r="DU84" s="174"/>
      <c r="DV84" s="175" t="e">
        <f t="shared" si="79"/>
        <v>#DIV/0!</v>
      </c>
      <c r="DW84" s="163">
        <f t="shared" si="80"/>
        <v>0</v>
      </c>
      <c r="DX84" s="164"/>
      <c r="DY84" s="176">
        <f t="shared" si="81"/>
        <v>0</v>
      </c>
      <c r="DZ84" s="177">
        <f t="shared" si="82"/>
        <v>0</v>
      </c>
      <c r="EA84" s="178">
        <f t="shared" si="83"/>
        <v>0</v>
      </c>
      <c r="EB84" s="179">
        <f t="shared" si="84"/>
        <v>0</v>
      </c>
      <c r="EC84" s="180"/>
      <c r="ED84" s="175" t="e">
        <f t="shared" si="85"/>
        <v>#DIV/0!</v>
      </c>
      <c r="EE84" s="163">
        <f t="shared" si="86"/>
        <v>0</v>
      </c>
      <c r="EF84" s="164"/>
      <c r="EG84" s="181">
        <f t="shared" si="87"/>
        <v>0</v>
      </c>
      <c r="EH84" s="182">
        <f t="shared" si="88"/>
        <v>0</v>
      </c>
      <c r="EI84" s="182">
        <f t="shared" si="89"/>
        <v>0</v>
      </c>
      <c r="EJ84" s="182">
        <f t="shared" si="90"/>
        <v>0</v>
      </c>
      <c r="EK84" s="183">
        <f t="shared" si="91"/>
        <v>0</v>
      </c>
      <c r="EL84" s="184" t="e">
        <f t="shared" si="92"/>
        <v>#DIV/0!</v>
      </c>
      <c r="EM84" s="185">
        <f t="shared" si="93"/>
        <v>0</v>
      </c>
      <c r="EN84" s="164"/>
      <c r="EO84" s="181">
        <f t="shared" si="94"/>
        <v>0</v>
      </c>
      <c r="EP84" s="183">
        <f t="shared" si="95"/>
        <v>0</v>
      </c>
      <c r="EQ84" s="184" t="e">
        <f t="shared" si="96"/>
        <v>#DIV/0!</v>
      </c>
      <c r="ER84" s="185">
        <f t="shared" si="97"/>
        <v>0</v>
      </c>
      <c r="ES84" s="164"/>
      <c r="ET84" s="164"/>
      <c r="EU84" s="186">
        <f t="shared" si="98"/>
        <v>0</v>
      </c>
      <c r="EV84" s="186">
        <f t="shared" si="99"/>
        <v>0</v>
      </c>
      <c r="EW84" s="186">
        <f t="shared" si="100"/>
        <v>0</v>
      </c>
      <c r="EX84" s="186">
        <f t="shared" si="101"/>
        <v>0</v>
      </c>
      <c r="EY84" s="131"/>
      <c r="EZ84" s="187">
        <f t="shared" si="102"/>
        <v>0</v>
      </c>
      <c r="FA84" s="188" t="e">
        <f t="shared" si="103"/>
        <v>#DIV/0!</v>
      </c>
      <c r="FB84" s="189"/>
      <c r="FC84" s="219"/>
      <c r="FD84" s="219"/>
      <c r="FE84" s="219"/>
      <c r="FF84" s="219"/>
      <c r="FG84" s="219"/>
    </row>
    <row r="85" spans="2:163" s="220" customFormat="1" ht="16" outlineLevel="1" thickBot="1" x14ac:dyDescent="0.4">
      <c r="B85" s="358"/>
      <c r="C85" s="355"/>
      <c r="D85" s="204"/>
      <c r="E85" s="205"/>
      <c r="F85" s="135"/>
      <c r="G85" s="206"/>
      <c r="H85" s="207"/>
      <c r="I85" s="138">
        <f t="shared" si="56"/>
        <v>0</v>
      </c>
      <c r="J85" s="139"/>
      <c r="K85" s="208">
        <f t="shared" si="107"/>
        <v>0</v>
      </c>
      <c r="L85" s="141"/>
      <c r="M85" s="209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09"/>
      <c r="AB85" s="210"/>
      <c r="AC85" s="210"/>
      <c r="AD85" s="210"/>
      <c r="AE85" s="210"/>
      <c r="AF85" s="210"/>
      <c r="AG85" s="210"/>
      <c r="AH85" s="210"/>
      <c r="AI85" s="210"/>
      <c r="AJ85" s="210"/>
      <c r="AK85" s="210"/>
      <c r="AL85" s="210"/>
      <c r="AM85" s="211"/>
      <c r="AN85" s="212">
        <f t="shared" si="58"/>
        <v>0</v>
      </c>
      <c r="AO85" s="146"/>
      <c r="AP85" s="147">
        <f t="shared" si="59"/>
        <v>0</v>
      </c>
      <c r="AQ85" s="221"/>
      <c r="AR85" s="213"/>
      <c r="AS85" s="213"/>
      <c r="AT85" s="222"/>
      <c r="AU85" s="233"/>
      <c r="AV85" s="234"/>
      <c r="AW85" s="234"/>
      <c r="AX85" s="234"/>
      <c r="AY85" s="234"/>
      <c r="AZ85" s="234"/>
      <c r="BA85" s="234"/>
      <c r="BB85" s="234"/>
      <c r="BC85" s="234"/>
      <c r="BD85" s="234"/>
      <c r="BE85" s="234"/>
      <c r="BF85" s="235"/>
      <c r="BG85" s="235"/>
      <c r="BH85" s="235"/>
      <c r="BI85" s="235"/>
      <c r="BJ85" s="235"/>
      <c r="BK85" s="235"/>
      <c r="BL85" s="235"/>
      <c r="BM85" s="235"/>
      <c r="BN85" s="235"/>
      <c r="BO85" s="235"/>
      <c r="BP85" s="235"/>
      <c r="BQ85" s="235"/>
      <c r="BR85" s="233"/>
      <c r="BS85" s="234"/>
      <c r="BT85" s="234"/>
      <c r="BU85" s="234"/>
      <c r="BV85" s="234"/>
      <c r="BW85" s="234"/>
      <c r="BX85" s="234"/>
      <c r="BY85" s="234"/>
      <c r="BZ85" s="234"/>
      <c r="CA85" s="234"/>
      <c r="CB85" s="234"/>
      <c r="CC85" s="236"/>
      <c r="CD85" s="233"/>
      <c r="CE85" s="209"/>
      <c r="CF85" s="210"/>
      <c r="CG85" s="210"/>
      <c r="CH85" s="210"/>
      <c r="CI85" s="210"/>
      <c r="CJ85" s="210"/>
      <c r="CK85" s="210"/>
      <c r="CL85" s="210"/>
      <c r="CM85" s="210"/>
      <c r="CN85" s="210"/>
      <c r="CO85" s="351"/>
      <c r="CP85" s="234"/>
      <c r="CQ85" s="235"/>
      <c r="CR85" s="236"/>
      <c r="CS85" s="237">
        <f t="shared" si="60"/>
        <v>0</v>
      </c>
      <c r="CT85" s="146"/>
      <c r="CU85" s="147">
        <f t="shared" si="61"/>
        <v>0</v>
      </c>
      <c r="CV85" s="156"/>
      <c r="CW85" s="157" t="e">
        <f t="shared" si="62"/>
        <v>#DIV/0!</v>
      </c>
      <c r="CX85" s="157" t="e">
        <f t="shared" si="63"/>
        <v>#DIV/0!</v>
      </c>
      <c r="CY85" s="157" t="e">
        <f t="shared" si="64"/>
        <v>#DIV/0!</v>
      </c>
      <c r="CZ85" s="157" t="e">
        <f t="shared" si="65"/>
        <v>#DIV/0!</v>
      </c>
      <c r="DA85" s="157" t="e">
        <f t="shared" si="66"/>
        <v>#DIV/0!</v>
      </c>
      <c r="DB85" s="158" t="e">
        <f t="shared" si="67"/>
        <v>#DIV/0!</v>
      </c>
      <c r="DC85" s="131"/>
      <c r="DD85" s="159">
        <f t="shared" si="68"/>
        <v>0</v>
      </c>
      <c r="DE85" s="160">
        <f t="shared" si="69"/>
        <v>0</v>
      </c>
      <c r="DF85" s="161">
        <f t="shared" si="70"/>
        <v>0</v>
      </c>
      <c r="DG85" s="162" t="e">
        <f t="shared" si="71"/>
        <v>#DIV/0!</v>
      </c>
      <c r="DH85" s="163">
        <f t="shared" si="72"/>
        <v>0</v>
      </c>
      <c r="DI85" s="164"/>
      <c r="DJ85" s="165">
        <f t="shared" si="55"/>
        <v>0</v>
      </c>
      <c r="DK85" s="166">
        <f t="shared" si="55"/>
        <v>0</v>
      </c>
      <c r="DL85" s="167" t="e">
        <f t="shared" si="73"/>
        <v>#DIV/0!</v>
      </c>
      <c r="DM85" s="168" t="e">
        <f t="shared" si="74"/>
        <v>#DIV/0!</v>
      </c>
      <c r="DN85" s="163" t="e">
        <f t="shared" si="75"/>
        <v>#DIV/0!</v>
      </c>
      <c r="DO85" s="169"/>
      <c r="DP85" s="170"/>
      <c r="DQ85" s="171"/>
      <c r="DR85" s="172">
        <f t="shared" si="76"/>
        <v>0</v>
      </c>
      <c r="DS85" s="173" t="e">
        <f t="shared" si="77"/>
        <v>#DIV/0!</v>
      </c>
      <c r="DT85" s="163" t="e">
        <f t="shared" si="78"/>
        <v>#DIV/0!</v>
      </c>
      <c r="DU85" s="174"/>
      <c r="DV85" s="175" t="e">
        <f t="shared" si="79"/>
        <v>#DIV/0!</v>
      </c>
      <c r="DW85" s="163">
        <f t="shared" si="80"/>
        <v>0</v>
      </c>
      <c r="DX85" s="164"/>
      <c r="DY85" s="176">
        <f t="shared" si="81"/>
        <v>0</v>
      </c>
      <c r="DZ85" s="177">
        <f t="shared" si="82"/>
        <v>0</v>
      </c>
      <c r="EA85" s="178">
        <f t="shared" si="83"/>
        <v>0</v>
      </c>
      <c r="EB85" s="179">
        <f t="shared" si="84"/>
        <v>0</v>
      </c>
      <c r="EC85" s="180"/>
      <c r="ED85" s="175" t="e">
        <f t="shared" si="85"/>
        <v>#DIV/0!</v>
      </c>
      <c r="EE85" s="163">
        <f t="shared" si="86"/>
        <v>0</v>
      </c>
      <c r="EF85" s="164"/>
      <c r="EG85" s="181">
        <f t="shared" si="87"/>
        <v>0</v>
      </c>
      <c r="EH85" s="182">
        <f t="shared" si="88"/>
        <v>0</v>
      </c>
      <c r="EI85" s="182">
        <f t="shared" si="89"/>
        <v>0</v>
      </c>
      <c r="EJ85" s="182">
        <f t="shared" si="90"/>
        <v>0</v>
      </c>
      <c r="EK85" s="183">
        <f t="shared" si="91"/>
        <v>0</v>
      </c>
      <c r="EL85" s="184" t="e">
        <f t="shared" si="92"/>
        <v>#DIV/0!</v>
      </c>
      <c r="EM85" s="185">
        <f t="shared" si="93"/>
        <v>0</v>
      </c>
      <c r="EN85" s="164"/>
      <c r="EO85" s="181">
        <f t="shared" si="94"/>
        <v>0</v>
      </c>
      <c r="EP85" s="183">
        <f t="shared" si="95"/>
        <v>0</v>
      </c>
      <c r="EQ85" s="184" t="e">
        <f t="shared" si="96"/>
        <v>#DIV/0!</v>
      </c>
      <c r="ER85" s="185">
        <f t="shared" si="97"/>
        <v>0</v>
      </c>
      <c r="ES85" s="164"/>
      <c r="ET85" s="164"/>
      <c r="EU85" s="186">
        <f t="shared" si="98"/>
        <v>0</v>
      </c>
      <c r="EV85" s="186">
        <f t="shared" si="99"/>
        <v>0</v>
      </c>
      <c r="EW85" s="186">
        <f t="shared" si="100"/>
        <v>0</v>
      </c>
      <c r="EX85" s="186">
        <f t="shared" si="101"/>
        <v>0</v>
      </c>
      <c r="EY85" s="131"/>
      <c r="EZ85" s="187">
        <f t="shared" si="102"/>
        <v>0</v>
      </c>
      <c r="FA85" s="188" t="e">
        <f t="shared" si="103"/>
        <v>#DIV/0!</v>
      </c>
      <c r="FB85" s="189"/>
      <c r="FC85" s="131"/>
      <c r="FD85" s="131"/>
      <c r="FE85" s="219"/>
      <c r="FF85" s="219"/>
      <c r="FG85" s="219"/>
    </row>
    <row r="86" spans="2:163" ht="16" outlineLevel="1" thickBot="1" x14ac:dyDescent="0.4">
      <c r="B86" s="356"/>
      <c r="C86" s="353"/>
      <c r="D86" s="133"/>
      <c r="E86" s="134"/>
      <c r="F86" s="135"/>
      <c r="G86" s="136"/>
      <c r="H86" s="137"/>
      <c r="I86" s="138">
        <f>IF(E86&gt;0.0001,9.4,0)</f>
        <v>0</v>
      </c>
      <c r="J86" s="139"/>
      <c r="K86" s="140">
        <f t="shared" si="107"/>
        <v>0</v>
      </c>
      <c r="L86" s="141"/>
      <c r="M86" s="142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2"/>
      <c r="AB86" s="143"/>
      <c r="AC86" s="143"/>
      <c r="AD86" s="143"/>
      <c r="AE86" s="143"/>
      <c r="AF86" s="143"/>
      <c r="AG86" s="143"/>
      <c r="AH86" s="143"/>
      <c r="AI86" s="143"/>
      <c r="AJ86" s="143"/>
      <c r="AK86" s="143"/>
      <c r="AL86" s="143"/>
      <c r="AM86" s="144"/>
      <c r="AN86" s="145">
        <f t="shared" si="58"/>
        <v>0</v>
      </c>
      <c r="AO86" s="146"/>
      <c r="AP86" s="147">
        <f t="shared" si="59"/>
        <v>0</v>
      </c>
      <c r="AQ86" s="148"/>
      <c r="AR86" s="149"/>
      <c r="AS86" s="149"/>
      <c r="AT86" s="135"/>
      <c r="AU86" s="150"/>
      <c r="AV86" s="151"/>
      <c r="AW86" s="151"/>
      <c r="AX86" s="151"/>
      <c r="AY86" s="151"/>
      <c r="AZ86" s="151"/>
      <c r="BA86" s="151"/>
      <c r="BB86" s="151"/>
      <c r="BC86" s="151"/>
      <c r="BD86" s="151"/>
      <c r="BE86" s="151"/>
      <c r="BF86" s="152"/>
      <c r="BG86" s="152"/>
      <c r="BH86" s="152"/>
      <c r="BI86" s="152"/>
      <c r="BJ86" s="152"/>
      <c r="BK86" s="152"/>
      <c r="BL86" s="152"/>
      <c r="BM86" s="152"/>
      <c r="BN86" s="152"/>
      <c r="BO86" s="152"/>
      <c r="BP86" s="152"/>
      <c r="BQ86" s="152"/>
      <c r="BR86" s="150"/>
      <c r="BS86" s="151"/>
      <c r="BT86" s="151"/>
      <c r="BU86" s="151"/>
      <c r="BV86" s="151"/>
      <c r="BW86" s="151"/>
      <c r="BX86" s="151"/>
      <c r="BY86" s="151"/>
      <c r="BZ86" s="151"/>
      <c r="CA86" s="151"/>
      <c r="CB86" s="151"/>
      <c r="CC86" s="154"/>
      <c r="CD86" s="150"/>
      <c r="CE86" s="142"/>
      <c r="CF86" s="143"/>
      <c r="CG86" s="143"/>
      <c r="CH86" s="143"/>
      <c r="CI86" s="143"/>
      <c r="CJ86" s="143"/>
      <c r="CK86" s="143"/>
      <c r="CL86" s="143"/>
      <c r="CM86" s="143"/>
      <c r="CN86" s="143"/>
      <c r="CO86" s="346"/>
      <c r="CP86" s="151"/>
      <c r="CQ86" s="152"/>
      <c r="CR86" s="154"/>
      <c r="CS86" s="155">
        <f t="shared" si="60"/>
        <v>0</v>
      </c>
      <c r="CT86" s="146"/>
      <c r="CU86" s="147">
        <f t="shared" si="61"/>
        <v>0</v>
      </c>
      <c r="CV86" s="156"/>
      <c r="CW86" s="157" t="e">
        <f t="shared" si="62"/>
        <v>#DIV/0!</v>
      </c>
      <c r="CX86" s="157" t="e">
        <f t="shared" si="63"/>
        <v>#DIV/0!</v>
      </c>
      <c r="CY86" s="157" t="e">
        <f t="shared" si="64"/>
        <v>#DIV/0!</v>
      </c>
      <c r="CZ86" s="157" t="e">
        <f t="shared" si="65"/>
        <v>#DIV/0!</v>
      </c>
      <c r="DA86" s="157" t="e">
        <f t="shared" si="66"/>
        <v>#DIV/0!</v>
      </c>
      <c r="DB86" s="158" t="e">
        <f t="shared" si="67"/>
        <v>#DIV/0!</v>
      </c>
      <c r="DC86" s="131"/>
      <c r="DD86" s="159">
        <f t="shared" si="68"/>
        <v>0</v>
      </c>
      <c r="DE86" s="160">
        <f t="shared" si="69"/>
        <v>0</v>
      </c>
      <c r="DF86" s="161">
        <f t="shared" si="70"/>
        <v>0</v>
      </c>
      <c r="DG86" s="162" t="e">
        <f t="shared" si="71"/>
        <v>#DIV/0!</v>
      </c>
      <c r="DH86" s="163">
        <f t="shared" si="72"/>
        <v>0</v>
      </c>
      <c r="DI86" s="164"/>
      <c r="DJ86" s="165">
        <f t="shared" si="55"/>
        <v>0</v>
      </c>
      <c r="DK86" s="166">
        <f t="shared" si="55"/>
        <v>0</v>
      </c>
      <c r="DL86" s="167" t="e">
        <f t="shared" si="73"/>
        <v>#DIV/0!</v>
      </c>
      <c r="DM86" s="168" t="e">
        <f t="shared" si="74"/>
        <v>#DIV/0!</v>
      </c>
      <c r="DN86" s="163" t="e">
        <f t="shared" si="75"/>
        <v>#DIV/0!</v>
      </c>
      <c r="DO86" s="169"/>
      <c r="DP86" s="170"/>
      <c r="DQ86" s="171"/>
      <c r="DR86" s="172">
        <f t="shared" si="76"/>
        <v>0</v>
      </c>
      <c r="DS86" s="173" t="e">
        <f t="shared" si="77"/>
        <v>#DIV/0!</v>
      </c>
      <c r="DT86" s="163" t="e">
        <f t="shared" si="78"/>
        <v>#DIV/0!</v>
      </c>
      <c r="DU86" s="174"/>
      <c r="DV86" s="175" t="e">
        <f t="shared" si="79"/>
        <v>#DIV/0!</v>
      </c>
      <c r="DW86" s="163">
        <f t="shared" si="80"/>
        <v>0</v>
      </c>
      <c r="DX86" s="164"/>
      <c r="DY86" s="176">
        <f t="shared" si="81"/>
        <v>0</v>
      </c>
      <c r="DZ86" s="177">
        <f t="shared" si="82"/>
        <v>0</v>
      </c>
      <c r="EA86" s="178">
        <f t="shared" si="83"/>
        <v>0</v>
      </c>
      <c r="EB86" s="179">
        <f t="shared" si="84"/>
        <v>0</v>
      </c>
      <c r="EC86" s="180"/>
      <c r="ED86" s="175" t="e">
        <f t="shared" si="85"/>
        <v>#DIV/0!</v>
      </c>
      <c r="EE86" s="163">
        <f t="shared" si="86"/>
        <v>0</v>
      </c>
      <c r="EF86" s="164"/>
      <c r="EG86" s="181">
        <f t="shared" si="87"/>
        <v>0</v>
      </c>
      <c r="EH86" s="182">
        <f t="shared" si="88"/>
        <v>0</v>
      </c>
      <c r="EI86" s="182">
        <f t="shared" ref="EI86:EI88" si="108">SUM(M86:Z86)</f>
        <v>0</v>
      </c>
      <c r="EJ86" s="182">
        <f t="shared" si="90"/>
        <v>0</v>
      </c>
      <c r="EK86" s="183">
        <f t="shared" si="91"/>
        <v>0</v>
      </c>
      <c r="EL86" s="184" t="e">
        <f t="shared" si="92"/>
        <v>#DIV/0!</v>
      </c>
      <c r="EM86" s="185">
        <f t="shared" si="93"/>
        <v>0</v>
      </c>
      <c r="EN86" s="164"/>
      <c r="EO86" s="181">
        <f t="shared" si="94"/>
        <v>0</v>
      </c>
      <c r="EP86" s="183">
        <f t="shared" si="95"/>
        <v>0</v>
      </c>
      <c r="EQ86" s="184" t="e">
        <f t="shared" si="96"/>
        <v>#DIV/0!</v>
      </c>
      <c r="ER86" s="185">
        <f t="shared" si="97"/>
        <v>0</v>
      </c>
      <c r="ES86" s="164"/>
      <c r="ET86" s="164"/>
      <c r="EU86" s="186">
        <f t="shared" si="98"/>
        <v>0</v>
      </c>
      <c r="EV86" s="186">
        <f t="shared" si="99"/>
        <v>0</v>
      </c>
      <c r="EW86" s="186">
        <f t="shared" si="100"/>
        <v>0</v>
      </c>
      <c r="EX86" s="186">
        <f t="shared" si="101"/>
        <v>0</v>
      </c>
      <c r="EY86" s="131"/>
      <c r="EZ86" s="187">
        <f t="shared" si="102"/>
        <v>0</v>
      </c>
      <c r="FA86" s="188" t="e">
        <f t="shared" si="103"/>
        <v>#DIV/0!</v>
      </c>
      <c r="FB86" s="189"/>
      <c r="FC86" s="131"/>
      <c r="FD86" s="131"/>
      <c r="FE86" s="131"/>
      <c r="FF86" s="131"/>
      <c r="FG86" s="131"/>
    </row>
    <row r="87" spans="2:163" ht="16" outlineLevel="1" thickBot="1" x14ac:dyDescent="0.4">
      <c r="B87" s="357"/>
      <c r="C87" s="354"/>
      <c r="D87" s="190"/>
      <c r="E87" s="191"/>
      <c r="F87" s="135"/>
      <c r="G87" s="192"/>
      <c r="H87" s="137"/>
      <c r="I87" s="138">
        <f t="shared" ref="I87:I88" si="109">IF(E87&gt;0.0001,0,0)</f>
        <v>0</v>
      </c>
      <c r="J87" s="139"/>
      <c r="K87" s="193">
        <f t="shared" si="107"/>
        <v>0</v>
      </c>
      <c r="L87" s="141"/>
      <c r="M87" s="194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4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6"/>
      <c r="AN87" s="197">
        <f t="shared" si="58"/>
        <v>0</v>
      </c>
      <c r="AO87" s="146"/>
      <c r="AP87" s="147">
        <f t="shared" si="59"/>
        <v>0</v>
      </c>
      <c r="AQ87" s="148"/>
      <c r="AR87" s="198"/>
      <c r="AS87" s="198"/>
      <c r="AT87" s="135"/>
      <c r="AU87" s="199"/>
      <c r="AV87" s="200"/>
      <c r="AW87" s="200"/>
      <c r="AX87" s="200"/>
      <c r="AY87" s="200"/>
      <c r="AZ87" s="200"/>
      <c r="BA87" s="200"/>
      <c r="BB87" s="200"/>
      <c r="BC87" s="200"/>
      <c r="BD87" s="200"/>
      <c r="BE87" s="200"/>
      <c r="BF87" s="201"/>
      <c r="BG87" s="201"/>
      <c r="BH87" s="201"/>
      <c r="BI87" s="201"/>
      <c r="BJ87" s="201"/>
      <c r="BK87" s="201"/>
      <c r="BL87" s="201"/>
      <c r="BM87" s="201"/>
      <c r="BN87" s="201"/>
      <c r="BO87" s="201"/>
      <c r="BP87" s="201"/>
      <c r="BQ87" s="201"/>
      <c r="BR87" s="199"/>
      <c r="BS87" s="200"/>
      <c r="BT87" s="200"/>
      <c r="BU87" s="200"/>
      <c r="BV87" s="200"/>
      <c r="BW87" s="200"/>
      <c r="BX87" s="200"/>
      <c r="BY87" s="200"/>
      <c r="BZ87" s="200"/>
      <c r="CA87" s="200"/>
      <c r="CB87" s="200"/>
      <c r="CC87" s="202"/>
      <c r="CD87" s="199"/>
      <c r="CE87" s="194"/>
      <c r="CF87" s="195"/>
      <c r="CG87" s="195"/>
      <c r="CH87" s="195"/>
      <c r="CI87" s="195"/>
      <c r="CJ87" s="195"/>
      <c r="CK87" s="195"/>
      <c r="CL87" s="195"/>
      <c r="CM87" s="195"/>
      <c r="CN87" s="195"/>
      <c r="CO87" s="347"/>
      <c r="CP87" s="200"/>
      <c r="CQ87" s="201"/>
      <c r="CR87" s="202"/>
      <c r="CS87" s="203">
        <f t="shared" si="60"/>
        <v>0</v>
      </c>
      <c r="CT87" s="146"/>
      <c r="CU87" s="147">
        <f t="shared" si="61"/>
        <v>0</v>
      </c>
      <c r="CV87" s="156"/>
      <c r="CW87" s="157" t="e">
        <f t="shared" si="62"/>
        <v>#DIV/0!</v>
      </c>
      <c r="CX87" s="157" t="e">
        <f t="shared" si="63"/>
        <v>#DIV/0!</v>
      </c>
      <c r="CY87" s="157" t="e">
        <f t="shared" si="64"/>
        <v>#DIV/0!</v>
      </c>
      <c r="CZ87" s="157" t="e">
        <f t="shared" si="65"/>
        <v>#DIV/0!</v>
      </c>
      <c r="DA87" s="157" t="e">
        <f t="shared" si="66"/>
        <v>#DIV/0!</v>
      </c>
      <c r="DB87" s="158" t="e">
        <f t="shared" si="67"/>
        <v>#DIV/0!</v>
      </c>
      <c r="DC87" s="131"/>
      <c r="DD87" s="159">
        <f t="shared" si="68"/>
        <v>0</v>
      </c>
      <c r="DE87" s="160">
        <f t="shared" si="69"/>
        <v>0</v>
      </c>
      <c r="DF87" s="161">
        <f t="shared" si="70"/>
        <v>0</v>
      </c>
      <c r="DG87" s="162" t="e">
        <f t="shared" si="71"/>
        <v>#DIV/0!</v>
      </c>
      <c r="DH87" s="163">
        <f t="shared" si="72"/>
        <v>0</v>
      </c>
      <c r="DI87" s="164"/>
      <c r="DJ87" s="165">
        <f t="shared" si="55"/>
        <v>0</v>
      </c>
      <c r="DK87" s="166">
        <f t="shared" si="55"/>
        <v>0</v>
      </c>
      <c r="DL87" s="167" t="e">
        <f t="shared" si="73"/>
        <v>#DIV/0!</v>
      </c>
      <c r="DM87" s="168" t="e">
        <f t="shared" si="74"/>
        <v>#DIV/0!</v>
      </c>
      <c r="DN87" s="163" t="e">
        <f t="shared" si="75"/>
        <v>#DIV/0!</v>
      </c>
      <c r="DO87" s="169"/>
      <c r="DP87" s="170"/>
      <c r="DQ87" s="171"/>
      <c r="DR87" s="172">
        <f t="shared" si="76"/>
        <v>0</v>
      </c>
      <c r="DS87" s="173" t="e">
        <f t="shared" si="77"/>
        <v>#DIV/0!</v>
      </c>
      <c r="DT87" s="163" t="e">
        <f t="shared" si="78"/>
        <v>#DIV/0!</v>
      </c>
      <c r="DU87" s="174"/>
      <c r="DV87" s="175" t="e">
        <f t="shared" si="79"/>
        <v>#DIV/0!</v>
      </c>
      <c r="DW87" s="163">
        <f t="shared" si="80"/>
        <v>0</v>
      </c>
      <c r="DX87" s="164"/>
      <c r="DY87" s="176">
        <f t="shared" si="81"/>
        <v>0</v>
      </c>
      <c r="DZ87" s="177">
        <f t="shared" si="82"/>
        <v>0</v>
      </c>
      <c r="EA87" s="178">
        <f t="shared" si="83"/>
        <v>0</v>
      </c>
      <c r="EB87" s="179">
        <f t="shared" si="84"/>
        <v>0</v>
      </c>
      <c r="EC87" s="180"/>
      <c r="ED87" s="175" t="e">
        <f t="shared" si="85"/>
        <v>#DIV/0!</v>
      </c>
      <c r="EE87" s="163">
        <f t="shared" si="86"/>
        <v>0</v>
      </c>
      <c r="EF87" s="164"/>
      <c r="EG87" s="181">
        <f t="shared" si="87"/>
        <v>0</v>
      </c>
      <c r="EH87" s="182">
        <f t="shared" si="88"/>
        <v>0</v>
      </c>
      <c r="EI87" s="182">
        <f t="shared" si="108"/>
        <v>0</v>
      </c>
      <c r="EJ87" s="182">
        <f t="shared" si="90"/>
        <v>0</v>
      </c>
      <c r="EK87" s="183">
        <f t="shared" si="91"/>
        <v>0</v>
      </c>
      <c r="EL87" s="184" t="e">
        <f t="shared" si="92"/>
        <v>#DIV/0!</v>
      </c>
      <c r="EM87" s="185">
        <f t="shared" si="93"/>
        <v>0</v>
      </c>
      <c r="EN87" s="164"/>
      <c r="EO87" s="181">
        <f t="shared" si="94"/>
        <v>0</v>
      </c>
      <c r="EP87" s="183">
        <f t="shared" si="95"/>
        <v>0</v>
      </c>
      <c r="EQ87" s="184" t="e">
        <f t="shared" si="96"/>
        <v>#DIV/0!</v>
      </c>
      <c r="ER87" s="185">
        <f t="shared" si="97"/>
        <v>0</v>
      </c>
      <c r="ES87" s="164"/>
      <c r="ET87" s="164"/>
      <c r="EU87" s="186">
        <f t="shared" si="98"/>
        <v>0</v>
      </c>
      <c r="EV87" s="186">
        <f t="shared" si="99"/>
        <v>0</v>
      </c>
      <c r="EW87" s="186">
        <f t="shared" si="100"/>
        <v>0</v>
      </c>
      <c r="EX87" s="186">
        <f t="shared" si="101"/>
        <v>0</v>
      </c>
      <c r="EY87" s="131"/>
      <c r="EZ87" s="187">
        <f t="shared" si="102"/>
        <v>0</v>
      </c>
      <c r="FA87" s="188" t="e">
        <f t="shared" si="103"/>
        <v>#DIV/0!</v>
      </c>
      <c r="FB87" s="189"/>
      <c r="FC87" s="131"/>
      <c r="FD87" s="131"/>
      <c r="FE87" s="131"/>
      <c r="FF87" s="131"/>
      <c r="FG87" s="131"/>
    </row>
    <row r="88" spans="2:163" ht="16" outlineLevel="1" thickBot="1" x14ac:dyDescent="0.4">
      <c r="B88" s="358"/>
      <c r="C88" s="355"/>
      <c r="D88" s="204"/>
      <c r="E88" s="205"/>
      <c r="F88" s="135"/>
      <c r="G88" s="206"/>
      <c r="H88" s="207"/>
      <c r="I88" s="138">
        <f t="shared" si="109"/>
        <v>0</v>
      </c>
      <c r="J88" s="139"/>
      <c r="K88" s="208">
        <f t="shared" si="107"/>
        <v>0</v>
      </c>
      <c r="L88" s="141"/>
      <c r="M88" s="209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09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1"/>
      <c r="AN88" s="212">
        <f t="shared" si="58"/>
        <v>0</v>
      </c>
      <c r="AO88" s="146"/>
      <c r="AP88" s="147">
        <f t="shared" si="59"/>
        <v>0</v>
      </c>
      <c r="AQ88" s="148"/>
      <c r="AR88" s="213"/>
      <c r="AS88" s="213"/>
      <c r="AT88" s="135"/>
      <c r="AU88" s="214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6"/>
      <c r="BG88" s="216"/>
      <c r="BH88" s="216"/>
      <c r="BI88" s="216"/>
      <c r="BJ88" s="216"/>
      <c r="BK88" s="216"/>
      <c r="BL88" s="216"/>
      <c r="BM88" s="216"/>
      <c r="BN88" s="216"/>
      <c r="BO88" s="216"/>
      <c r="BP88" s="216"/>
      <c r="BQ88" s="216"/>
      <c r="BR88" s="214"/>
      <c r="BS88" s="215"/>
      <c r="BT88" s="215"/>
      <c r="BU88" s="215"/>
      <c r="BV88" s="215"/>
      <c r="BW88" s="215"/>
      <c r="BX88" s="215"/>
      <c r="BY88" s="215"/>
      <c r="BZ88" s="215"/>
      <c r="CA88" s="215"/>
      <c r="CB88" s="215"/>
      <c r="CC88" s="217"/>
      <c r="CD88" s="214"/>
      <c r="CE88" s="209"/>
      <c r="CF88" s="210"/>
      <c r="CG88" s="210"/>
      <c r="CH88" s="210"/>
      <c r="CI88" s="210"/>
      <c r="CJ88" s="210"/>
      <c r="CK88" s="210"/>
      <c r="CL88" s="210"/>
      <c r="CM88" s="210"/>
      <c r="CN88" s="210"/>
      <c r="CO88" s="348"/>
      <c r="CP88" s="215"/>
      <c r="CQ88" s="216"/>
      <c r="CR88" s="217"/>
      <c r="CS88" s="218">
        <f t="shared" si="60"/>
        <v>0</v>
      </c>
      <c r="CT88" s="146"/>
      <c r="CU88" s="147">
        <f t="shared" si="61"/>
        <v>0</v>
      </c>
      <c r="CV88" s="156"/>
      <c r="CW88" s="157" t="e">
        <f t="shared" si="62"/>
        <v>#DIV/0!</v>
      </c>
      <c r="CX88" s="157" t="e">
        <f t="shared" si="63"/>
        <v>#DIV/0!</v>
      </c>
      <c r="CY88" s="157" t="e">
        <f t="shared" si="64"/>
        <v>#DIV/0!</v>
      </c>
      <c r="CZ88" s="157" t="e">
        <f t="shared" si="65"/>
        <v>#DIV/0!</v>
      </c>
      <c r="DA88" s="157" t="e">
        <f t="shared" si="66"/>
        <v>#DIV/0!</v>
      </c>
      <c r="DB88" s="158" t="e">
        <f t="shared" si="67"/>
        <v>#DIV/0!</v>
      </c>
      <c r="DC88" s="131"/>
      <c r="DD88" s="159">
        <f t="shared" si="68"/>
        <v>0</v>
      </c>
      <c r="DE88" s="160">
        <f t="shared" si="69"/>
        <v>0</v>
      </c>
      <c r="DF88" s="161">
        <f t="shared" si="70"/>
        <v>0</v>
      </c>
      <c r="DG88" s="162" t="e">
        <f t="shared" si="71"/>
        <v>#DIV/0!</v>
      </c>
      <c r="DH88" s="163">
        <f t="shared" si="72"/>
        <v>0</v>
      </c>
      <c r="DI88" s="164"/>
      <c r="DJ88" s="165">
        <f t="shared" si="55"/>
        <v>0</v>
      </c>
      <c r="DK88" s="166">
        <f t="shared" si="55"/>
        <v>0</v>
      </c>
      <c r="DL88" s="167" t="e">
        <f t="shared" si="73"/>
        <v>#DIV/0!</v>
      </c>
      <c r="DM88" s="168" t="e">
        <f t="shared" si="74"/>
        <v>#DIV/0!</v>
      </c>
      <c r="DN88" s="163" t="e">
        <f t="shared" si="75"/>
        <v>#DIV/0!</v>
      </c>
      <c r="DO88" s="169"/>
      <c r="DP88" s="170"/>
      <c r="DQ88" s="171"/>
      <c r="DR88" s="172">
        <f t="shared" si="76"/>
        <v>0</v>
      </c>
      <c r="DS88" s="173" t="e">
        <f t="shared" si="77"/>
        <v>#DIV/0!</v>
      </c>
      <c r="DT88" s="163" t="e">
        <f t="shared" si="78"/>
        <v>#DIV/0!</v>
      </c>
      <c r="DU88" s="174"/>
      <c r="DV88" s="175" t="e">
        <f t="shared" si="79"/>
        <v>#DIV/0!</v>
      </c>
      <c r="DW88" s="163">
        <f t="shared" si="80"/>
        <v>0</v>
      </c>
      <c r="DX88" s="164"/>
      <c r="DY88" s="176">
        <f t="shared" si="81"/>
        <v>0</v>
      </c>
      <c r="DZ88" s="177">
        <f t="shared" si="82"/>
        <v>0</v>
      </c>
      <c r="EA88" s="178">
        <f t="shared" si="83"/>
        <v>0</v>
      </c>
      <c r="EB88" s="179">
        <f t="shared" si="84"/>
        <v>0</v>
      </c>
      <c r="EC88" s="180"/>
      <c r="ED88" s="175" t="e">
        <f t="shared" si="85"/>
        <v>#DIV/0!</v>
      </c>
      <c r="EE88" s="163">
        <f t="shared" si="86"/>
        <v>0</v>
      </c>
      <c r="EF88" s="164"/>
      <c r="EG88" s="181">
        <f t="shared" si="87"/>
        <v>0</v>
      </c>
      <c r="EH88" s="182">
        <f t="shared" si="88"/>
        <v>0</v>
      </c>
      <c r="EI88" s="182">
        <f t="shared" si="108"/>
        <v>0</v>
      </c>
      <c r="EJ88" s="182">
        <f t="shared" si="90"/>
        <v>0</v>
      </c>
      <c r="EK88" s="183">
        <f t="shared" si="91"/>
        <v>0</v>
      </c>
      <c r="EL88" s="184" t="e">
        <f t="shared" si="92"/>
        <v>#DIV/0!</v>
      </c>
      <c r="EM88" s="185">
        <f t="shared" si="93"/>
        <v>0</v>
      </c>
      <c r="EN88" s="164"/>
      <c r="EO88" s="181">
        <f t="shared" si="94"/>
        <v>0</v>
      </c>
      <c r="EP88" s="183">
        <f t="shared" si="95"/>
        <v>0</v>
      </c>
      <c r="EQ88" s="184" t="e">
        <f t="shared" si="96"/>
        <v>#DIV/0!</v>
      </c>
      <c r="ER88" s="185">
        <f t="shared" si="97"/>
        <v>0</v>
      </c>
      <c r="ES88" s="164"/>
      <c r="ET88" s="164"/>
      <c r="EU88" s="186">
        <f t="shared" si="98"/>
        <v>0</v>
      </c>
      <c r="EV88" s="186">
        <f t="shared" si="99"/>
        <v>0</v>
      </c>
      <c r="EW88" s="186">
        <f t="shared" si="100"/>
        <v>0</v>
      </c>
      <c r="EX88" s="186">
        <f t="shared" si="101"/>
        <v>0</v>
      </c>
      <c r="EY88" s="131"/>
      <c r="EZ88" s="187">
        <f t="shared" si="102"/>
        <v>0</v>
      </c>
      <c r="FA88" s="188" t="e">
        <f t="shared" si="103"/>
        <v>#DIV/0!</v>
      </c>
      <c r="FB88" s="189"/>
      <c r="FC88" s="131"/>
      <c r="FD88" s="131"/>
      <c r="FE88" s="131"/>
      <c r="FF88" s="131"/>
      <c r="FG88" s="131"/>
    </row>
    <row r="89" spans="2:163" ht="16" outlineLevel="1" thickBot="1" x14ac:dyDescent="0.4">
      <c r="B89" s="356"/>
      <c r="C89" s="353"/>
      <c r="D89" s="133"/>
      <c r="E89" s="134"/>
      <c r="F89" s="135"/>
      <c r="G89" s="136"/>
      <c r="H89" s="137"/>
      <c r="I89" s="138">
        <f>IF(E89&gt;0.0001,9.4,0)</f>
        <v>0</v>
      </c>
      <c r="J89" s="139"/>
      <c r="K89" s="140">
        <f t="shared" si="107"/>
        <v>0</v>
      </c>
      <c r="L89" s="141"/>
      <c r="M89" s="142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2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4"/>
      <c r="AN89" s="145">
        <f t="shared" si="58"/>
        <v>0</v>
      </c>
      <c r="AO89" s="146"/>
      <c r="AP89" s="147">
        <f t="shared" si="59"/>
        <v>0</v>
      </c>
      <c r="AQ89" s="148"/>
      <c r="AR89" s="149"/>
      <c r="AS89" s="149"/>
      <c r="AT89" s="135"/>
      <c r="AU89" s="150"/>
      <c r="AV89" s="151"/>
      <c r="AW89" s="151"/>
      <c r="AX89" s="151"/>
      <c r="AY89" s="151"/>
      <c r="AZ89" s="151"/>
      <c r="BA89" s="151"/>
      <c r="BB89" s="151"/>
      <c r="BC89" s="151"/>
      <c r="BD89" s="151"/>
      <c r="BE89" s="151"/>
      <c r="BF89" s="152"/>
      <c r="BG89" s="152"/>
      <c r="BH89" s="152"/>
      <c r="BI89" s="152"/>
      <c r="BJ89" s="152"/>
      <c r="BK89" s="152"/>
      <c r="BL89" s="152"/>
      <c r="BM89" s="152"/>
      <c r="BN89" s="152"/>
      <c r="BO89" s="152"/>
      <c r="BP89" s="152"/>
      <c r="BQ89" s="152"/>
      <c r="BR89" s="150"/>
      <c r="BS89" s="151"/>
      <c r="BT89" s="151"/>
      <c r="BU89" s="151"/>
      <c r="BV89" s="151"/>
      <c r="BW89" s="151"/>
      <c r="BX89" s="151"/>
      <c r="BY89" s="151"/>
      <c r="BZ89" s="151"/>
      <c r="CA89" s="151"/>
      <c r="CB89" s="151"/>
      <c r="CC89" s="154"/>
      <c r="CD89" s="150"/>
      <c r="CE89" s="142"/>
      <c r="CF89" s="143"/>
      <c r="CG89" s="143"/>
      <c r="CH89" s="143"/>
      <c r="CI89" s="143"/>
      <c r="CJ89" s="143"/>
      <c r="CK89" s="143"/>
      <c r="CL89" s="143"/>
      <c r="CM89" s="143"/>
      <c r="CN89" s="143"/>
      <c r="CO89" s="346"/>
      <c r="CP89" s="151"/>
      <c r="CQ89" s="152"/>
      <c r="CR89" s="154"/>
      <c r="CS89" s="155">
        <f t="shared" si="60"/>
        <v>0</v>
      </c>
      <c r="CT89" s="146"/>
      <c r="CU89" s="147">
        <f t="shared" si="61"/>
        <v>0</v>
      </c>
      <c r="CV89" s="156"/>
      <c r="CW89" s="157" t="e">
        <f t="shared" si="62"/>
        <v>#DIV/0!</v>
      </c>
      <c r="CX89" s="157" t="e">
        <f t="shared" si="63"/>
        <v>#DIV/0!</v>
      </c>
      <c r="CY89" s="157" t="e">
        <f t="shared" si="64"/>
        <v>#DIV/0!</v>
      </c>
      <c r="CZ89" s="157" t="e">
        <f t="shared" si="65"/>
        <v>#DIV/0!</v>
      </c>
      <c r="DA89" s="157" t="e">
        <f t="shared" si="66"/>
        <v>#DIV/0!</v>
      </c>
      <c r="DB89" s="158" t="e">
        <f t="shared" si="67"/>
        <v>#DIV/0!</v>
      </c>
      <c r="DC89" s="131"/>
      <c r="DD89" s="159">
        <f t="shared" si="68"/>
        <v>0</v>
      </c>
      <c r="DE89" s="160">
        <f t="shared" si="69"/>
        <v>0</v>
      </c>
      <c r="DF89" s="161">
        <f t="shared" si="70"/>
        <v>0</v>
      </c>
      <c r="DG89" s="162" t="e">
        <f t="shared" si="71"/>
        <v>#DIV/0!</v>
      </c>
      <c r="DH89" s="163">
        <f t="shared" si="72"/>
        <v>0</v>
      </c>
      <c r="DI89" s="164"/>
      <c r="DJ89" s="165">
        <f t="shared" si="55"/>
        <v>0</v>
      </c>
      <c r="DK89" s="166">
        <f t="shared" si="55"/>
        <v>0</v>
      </c>
      <c r="DL89" s="167" t="e">
        <f t="shared" si="73"/>
        <v>#DIV/0!</v>
      </c>
      <c r="DM89" s="168" t="e">
        <f t="shared" si="74"/>
        <v>#DIV/0!</v>
      </c>
      <c r="DN89" s="163" t="e">
        <f t="shared" si="75"/>
        <v>#DIV/0!</v>
      </c>
      <c r="DO89" s="169"/>
      <c r="DP89" s="170"/>
      <c r="DQ89" s="171"/>
      <c r="DR89" s="172">
        <f t="shared" si="76"/>
        <v>0</v>
      </c>
      <c r="DS89" s="173" t="e">
        <f t="shared" si="77"/>
        <v>#DIV/0!</v>
      </c>
      <c r="DT89" s="163" t="e">
        <f t="shared" si="78"/>
        <v>#DIV/0!</v>
      </c>
      <c r="DU89" s="174"/>
      <c r="DV89" s="175" t="e">
        <f t="shared" si="79"/>
        <v>#DIV/0!</v>
      </c>
      <c r="DW89" s="163">
        <f t="shared" si="80"/>
        <v>0</v>
      </c>
      <c r="DX89" s="164"/>
      <c r="DY89" s="176">
        <f t="shared" si="81"/>
        <v>0</v>
      </c>
      <c r="DZ89" s="177">
        <f t="shared" si="82"/>
        <v>0</v>
      </c>
      <c r="EA89" s="178">
        <f t="shared" si="83"/>
        <v>0</v>
      </c>
      <c r="EB89" s="179">
        <f t="shared" si="84"/>
        <v>0</v>
      </c>
      <c r="EC89" s="180"/>
      <c r="ED89" s="175" t="e">
        <f t="shared" si="85"/>
        <v>#DIV/0!</v>
      </c>
      <c r="EE89" s="163">
        <f t="shared" si="86"/>
        <v>0</v>
      </c>
      <c r="EF89" s="164"/>
      <c r="EG89" s="181">
        <f t="shared" si="87"/>
        <v>0</v>
      </c>
      <c r="EH89" s="182">
        <f t="shared" si="88"/>
        <v>0</v>
      </c>
      <c r="EI89" s="182">
        <f t="shared" si="89"/>
        <v>0</v>
      </c>
      <c r="EJ89" s="182">
        <f t="shared" si="90"/>
        <v>0</v>
      </c>
      <c r="EK89" s="183">
        <f t="shared" si="91"/>
        <v>0</v>
      </c>
      <c r="EL89" s="184" t="e">
        <f t="shared" si="92"/>
        <v>#DIV/0!</v>
      </c>
      <c r="EM89" s="185">
        <f t="shared" si="93"/>
        <v>0</v>
      </c>
      <c r="EN89" s="164"/>
      <c r="EO89" s="181">
        <f t="shared" si="94"/>
        <v>0</v>
      </c>
      <c r="EP89" s="183">
        <f t="shared" si="95"/>
        <v>0</v>
      </c>
      <c r="EQ89" s="184" t="e">
        <f t="shared" si="96"/>
        <v>#DIV/0!</v>
      </c>
      <c r="ER89" s="185">
        <f t="shared" si="97"/>
        <v>0</v>
      </c>
      <c r="ES89" s="164"/>
      <c r="ET89" s="164"/>
      <c r="EU89" s="186">
        <f t="shared" si="98"/>
        <v>0</v>
      </c>
      <c r="EV89" s="186">
        <f t="shared" si="99"/>
        <v>0</v>
      </c>
      <c r="EW89" s="186">
        <f t="shared" si="100"/>
        <v>0</v>
      </c>
      <c r="EX89" s="186">
        <f t="shared" si="101"/>
        <v>0</v>
      </c>
      <c r="EY89" s="131"/>
      <c r="EZ89" s="187">
        <f t="shared" si="102"/>
        <v>0</v>
      </c>
      <c r="FA89" s="188" t="e">
        <f t="shared" si="103"/>
        <v>#DIV/0!</v>
      </c>
      <c r="FB89" s="189"/>
      <c r="FC89" s="131"/>
      <c r="FD89" s="131"/>
      <c r="FE89" s="131"/>
      <c r="FF89" s="131"/>
      <c r="FG89" s="131"/>
    </row>
    <row r="90" spans="2:163" ht="16" outlineLevel="1" thickBot="1" x14ac:dyDescent="0.4">
      <c r="B90" s="357"/>
      <c r="C90" s="354"/>
      <c r="D90" s="190"/>
      <c r="E90" s="191"/>
      <c r="F90" s="135"/>
      <c r="G90" s="192"/>
      <c r="H90" s="137"/>
      <c r="I90" s="138">
        <f t="shared" ref="I90:I91" si="110">IF(E90&gt;0.0001,0,0)</f>
        <v>0</v>
      </c>
      <c r="J90" s="139"/>
      <c r="K90" s="193">
        <f t="shared" si="107"/>
        <v>0</v>
      </c>
      <c r="L90" s="141"/>
      <c r="M90" s="194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4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6"/>
      <c r="AN90" s="197">
        <f t="shared" si="58"/>
        <v>0</v>
      </c>
      <c r="AO90" s="146"/>
      <c r="AP90" s="147">
        <f t="shared" si="59"/>
        <v>0</v>
      </c>
      <c r="AQ90" s="148"/>
      <c r="AR90" s="198"/>
      <c r="AS90" s="198"/>
      <c r="AT90" s="135"/>
      <c r="AU90" s="199"/>
      <c r="AV90" s="200"/>
      <c r="AW90" s="200"/>
      <c r="AX90" s="200"/>
      <c r="AY90" s="200"/>
      <c r="AZ90" s="200"/>
      <c r="BA90" s="200"/>
      <c r="BB90" s="200"/>
      <c r="BC90" s="200"/>
      <c r="BD90" s="200"/>
      <c r="BE90" s="200"/>
      <c r="BF90" s="201"/>
      <c r="BG90" s="201"/>
      <c r="BH90" s="201"/>
      <c r="BI90" s="201"/>
      <c r="BJ90" s="201"/>
      <c r="BK90" s="201"/>
      <c r="BL90" s="201"/>
      <c r="BM90" s="201"/>
      <c r="BN90" s="201"/>
      <c r="BO90" s="201"/>
      <c r="BP90" s="201"/>
      <c r="BQ90" s="201"/>
      <c r="BR90" s="199"/>
      <c r="BS90" s="200"/>
      <c r="BT90" s="200"/>
      <c r="BU90" s="200"/>
      <c r="BV90" s="200"/>
      <c r="BW90" s="200"/>
      <c r="BX90" s="200"/>
      <c r="BY90" s="200"/>
      <c r="BZ90" s="200"/>
      <c r="CA90" s="200"/>
      <c r="CB90" s="200"/>
      <c r="CC90" s="202"/>
      <c r="CD90" s="199"/>
      <c r="CE90" s="194"/>
      <c r="CF90" s="195"/>
      <c r="CG90" s="195"/>
      <c r="CH90" s="195"/>
      <c r="CI90" s="195"/>
      <c r="CJ90" s="195"/>
      <c r="CK90" s="195"/>
      <c r="CL90" s="195"/>
      <c r="CM90" s="195"/>
      <c r="CN90" s="195"/>
      <c r="CO90" s="347"/>
      <c r="CP90" s="200"/>
      <c r="CQ90" s="201"/>
      <c r="CR90" s="202"/>
      <c r="CS90" s="203">
        <f t="shared" si="60"/>
        <v>0</v>
      </c>
      <c r="CT90" s="146"/>
      <c r="CU90" s="147">
        <f t="shared" si="61"/>
        <v>0</v>
      </c>
      <c r="CV90" s="156"/>
      <c r="CW90" s="157" t="e">
        <f t="shared" si="62"/>
        <v>#DIV/0!</v>
      </c>
      <c r="CX90" s="157" t="e">
        <f t="shared" si="63"/>
        <v>#DIV/0!</v>
      </c>
      <c r="CY90" s="157" t="e">
        <f t="shared" si="64"/>
        <v>#DIV/0!</v>
      </c>
      <c r="CZ90" s="157" t="e">
        <f t="shared" si="65"/>
        <v>#DIV/0!</v>
      </c>
      <c r="DA90" s="157" t="e">
        <f t="shared" si="66"/>
        <v>#DIV/0!</v>
      </c>
      <c r="DB90" s="158" t="e">
        <f t="shared" si="67"/>
        <v>#DIV/0!</v>
      </c>
      <c r="DC90" s="131"/>
      <c r="DD90" s="159">
        <f t="shared" si="68"/>
        <v>0</v>
      </c>
      <c r="DE90" s="160">
        <f t="shared" si="69"/>
        <v>0</v>
      </c>
      <c r="DF90" s="161">
        <f t="shared" si="70"/>
        <v>0</v>
      </c>
      <c r="DG90" s="162" t="e">
        <f t="shared" si="71"/>
        <v>#DIV/0!</v>
      </c>
      <c r="DH90" s="163">
        <f t="shared" si="72"/>
        <v>0</v>
      </c>
      <c r="DI90" s="164"/>
      <c r="DJ90" s="165">
        <f t="shared" si="55"/>
        <v>0</v>
      </c>
      <c r="DK90" s="166">
        <f t="shared" si="55"/>
        <v>0</v>
      </c>
      <c r="DL90" s="167" t="e">
        <f t="shared" si="73"/>
        <v>#DIV/0!</v>
      </c>
      <c r="DM90" s="168" t="e">
        <f t="shared" si="74"/>
        <v>#DIV/0!</v>
      </c>
      <c r="DN90" s="163" t="e">
        <f t="shared" si="75"/>
        <v>#DIV/0!</v>
      </c>
      <c r="DO90" s="169"/>
      <c r="DP90" s="170"/>
      <c r="DQ90" s="171"/>
      <c r="DR90" s="172">
        <f t="shared" si="76"/>
        <v>0</v>
      </c>
      <c r="DS90" s="173" t="e">
        <f t="shared" si="77"/>
        <v>#DIV/0!</v>
      </c>
      <c r="DT90" s="163" t="e">
        <f t="shared" si="78"/>
        <v>#DIV/0!</v>
      </c>
      <c r="DU90" s="174"/>
      <c r="DV90" s="175" t="e">
        <f t="shared" si="79"/>
        <v>#DIV/0!</v>
      </c>
      <c r="DW90" s="163">
        <f t="shared" si="80"/>
        <v>0</v>
      </c>
      <c r="DX90" s="164"/>
      <c r="DY90" s="176">
        <f t="shared" si="81"/>
        <v>0</v>
      </c>
      <c r="DZ90" s="177">
        <f t="shared" si="82"/>
        <v>0</v>
      </c>
      <c r="EA90" s="178">
        <f t="shared" si="83"/>
        <v>0</v>
      </c>
      <c r="EB90" s="179">
        <f t="shared" si="84"/>
        <v>0</v>
      </c>
      <c r="EC90" s="180"/>
      <c r="ED90" s="175" t="e">
        <f t="shared" si="85"/>
        <v>#DIV/0!</v>
      </c>
      <c r="EE90" s="163">
        <f t="shared" si="86"/>
        <v>0</v>
      </c>
      <c r="EF90" s="164"/>
      <c r="EG90" s="181">
        <f t="shared" si="87"/>
        <v>0</v>
      </c>
      <c r="EH90" s="182">
        <f t="shared" si="88"/>
        <v>0</v>
      </c>
      <c r="EI90" s="182">
        <f t="shared" si="89"/>
        <v>0</v>
      </c>
      <c r="EJ90" s="182">
        <f t="shared" si="90"/>
        <v>0</v>
      </c>
      <c r="EK90" s="183">
        <f t="shared" si="91"/>
        <v>0</v>
      </c>
      <c r="EL90" s="184" t="e">
        <f t="shared" si="92"/>
        <v>#DIV/0!</v>
      </c>
      <c r="EM90" s="185">
        <f t="shared" si="93"/>
        <v>0</v>
      </c>
      <c r="EN90" s="164"/>
      <c r="EO90" s="181">
        <f t="shared" si="94"/>
        <v>0</v>
      </c>
      <c r="EP90" s="183">
        <f t="shared" si="95"/>
        <v>0</v>
      </c>
      <c r="EQ90" s="184" t="e">
        <f t="shared" si="96"/>
        <v>#DIV/0!</v>
      </c>
      <c r="ER90" s="185">
        <f t="shared" si="97"/>
        <v>0</v>
      </c>
      <c r="ES90" s="164"/>
      <c r="ET90" s="164"/>
      <c r="EU90" s="186">
        <f t="shared" si="98"/>
        <v>0</v>
      </c>
      <c r="EV90" s="186">
        <f t="shared" si="99"/>
        <v>0</v>
      </c>
      <c r="EW90" s="186">
        <f t="shared" si="100"/>
        <v>0</v>
      </c>
      <c r="EX90" s="186">
        <f t="shared" si="101"/>
        <v>0</v>
      </c>
      <c r="EY90" s="131"/>
      <c r="EZ90" s="187">
        <f t="shared" si="102"/>
        <v>0</v>
      </c>
      <c r="FA90" s="188" t="e">
        <f t="shared" si="103"/>
        <v>#DIV/0!</v>
      </c>
      <c r="FB90" s="189"/>
      <c r="FC90" s="131"/>
      <c r="FD90" s="131"/>
      <c r="FE90" s="131"/>
      <c r="FF90" s="131"/>
      <c r="FG90" s="131"/>
    </row>
    <row r="91" spans="2:163" ht="16" outlineLevel="1" thickBot="1" x14ac:dyDescent="0.4">
      <c r="B91" s="358"/>
      <c r="C91" s="355"/>
      <c r="D91" s="204"/>
      <c r="E91" s="205"/>
      <c r="F91" s="135"/>
      <c r="G91" s="206"/>
      <c r="H91" s="207"/>
      <c r="I91" s="138">
        <f t="shared" si="110"/>
        <v>0</v>
      </c>
      <c r="J91" s="139"/>
      <c r="K91" s="208">
        <f t="shared" si="107"/>
        <v>0</v>
      </c>
      <c r="L91" s="141"/>
      <c r="M91" s="209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09"/>
      <c r="AB91" s="210"/>
      <c r="AC91" s="210"/>
      <c r="AD91" s="210"/>
      <c r="AE91" s="210"/>
      <c r="AF91" s="210"/>
      <c r="AG91" s="210"/>
      <c r="AH91" s="210"/>
      <c r="AI91" s="210"/>
      <c r="AJ91" s="210"/>
      <c r="AK91" s="210"/>
      <c r="AL91" s="210"/>
      <c r="AM91" s="211"/>
      <c r="AN91" s="212">
        <f t="shared" si="58"/>
        <v>0</v>
      </c>
      <c r="AO91" s="146"/>
      <c r="AP91" s="147">
        <f t="shared" si="59"/>
        <v>0</v>
      </c>
      <c r="AQ91" s="148"/>
      <c r="AR91" s="213"/>
      <c r="AS91" s="213"/>
      <c r="AT91" s="135"/>
      <c r="AU91" s="214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6"/>
      <c r="BG91" s="216"/>
      <c r="BH91" s="216"/>
      <c r="BI91" s="216"/>
      <c r="BJ91" s="216"/>
      <c r="BK91" s="216"/>
      <c r="BL91" s="216"/>
      <c r="BM91" s="216"/>
      <c r="BN91" s="216"/>
      <c r="BO91" s="216"/>
      <c r="BP91" s="216"/>
      <c r="BQ91" s="216"/>
      <c r="BR91" s="214"/>
      <c r="BS91" s="215"/>
      <c r="BT91" s="215"/>
      <c r="BU91" s="215"/>
      <c r="BV91" s="215"/>
      <c r="BW91" s="215"/>
      <c r="BX91" s="215"/>
      <c r="BY91" s="215"/>
      <c r="BZ91" s="215"/>
      <c r="CA91" s="215"/>
      <c r="CB91" s="215"/>
      <c r="CC91" s="217"/>
      <c r="CD91" s="214"/>
      <c r="CE91" s="209"/>
      <c r="CF91" s="210"/>
      <c r="CG91" s="210"/>
      <c r="CH91" s="210"/>
      <c r="CI91" s="210"/>
      <c r="CJ91" s="210"/>
      <c r="CK91" s="210"/>
      <c r="CL91" s="210"/>
      <c r="CM91" s="210"/>
      <c r="CN91" s="210"/>
      <c r="CO91" s="348"/>
      <c r="CP91" s="215"/>
      <c r="CQ91" s="216"/>
      <c r="CR91" s="217"/>
      <c r="CS91" s="218">
        <f t="shared" si="60"/>
        <v>0</v>
      </c>
      <c r="CT91" s="146"/>
      <c r="CU91" s="147">
        <f t="shared" si="61"/>
        <v>0</v>
      </c>
      <c r="CV91" s="156"/>
      <c r="CW91" s="157" t="e">
        <f t="shared" si="62"/>
        <v>#DIV/0!</v>
      </c>
      <c r="CX91" s="157" t="e">
        <f t="shared" si="63"/>
        <v>#DIV/0!</v>
      </c>
      <c r="CY91" s="157" t="e">
        <f t="shared" si="64"/>
        <v>#DIV/0!</v>
      </c>
      <c r="CZ91" s="157" t="e">
        <f t="shared" si="65"/>
        <v>#DIV/0!</v>
      </c>
      <c r="DA91" s="157" t="e">
        <f t="shared" si="66"/>
        <v>#DIV/0!</v>
      </c>
      <c r="DB91" s="158" t="e">
        <f t="shared" si="67"/>
        <v>#DIV/0!</v>
      </c>
      <c r="DC91" s="131"/>
      <c r="DD91" s="159">
        <f t="shared" si="68"/>
        <v>0</v>
      </c>
      <c r="DE91" s="160">
        <f t="shared" si="69"/>
        <v>0</v>
      </c>
      <c r="DF91" s="161">
        <f t="shared" si="70"/>
        <v>0</v>
      </c>
      <c r="DG91" s="162" t="e">
        <f t="shared" si="71"/>
        <v>#DIV/0!</v>
      </c>
      <c r="DH91" s="163">
        <f t="shared" si="72"/>
        <v>0</v>
      </c>
      <c r="DI91" s="164"/>
      <c r="DJ91" s="165">
        <f t="shared" si="55"/>
        <v>0</v>
      </c>
      <c r="DK91" s="166">
        <f t="shared" si="55"/>
        <v>0</v>
      </c>
      <c r="DL91" s="167" t="e">
        <f t="shared" si="73"/>
        <v>#DIV/0!</v>
      </c>
      <c r="DM91" s="168" t="e">
        <f t="shared" si="74"/>
        <v>#DIV/0!</v>
      </c>
      <c r="DN91" s="163" t="e">
        <f t="shared" si="75"/>
        <v>#DIV/0!</v>
      </c>
      <c r="DO91" s="169"/>
      <c r="DP91" s="170"/>
      <c r="DQ91" s="171"/>
      <c r="DR91" s="172">
        <f t="shared" si="76"/>
        <v>0</v>
      </c>
      <c r="DS91" s="173" t="e">
        <f t="shared" si="77"/>
        <v>#DIV/0!</v>
      </c>
      <c r="DT91" s="163" t="e">
        <f t="shared" si="78"/>
        <v>#DIV/0!</v>
      </c>
      <c r="DU91" s="174"/>
      <c r="DV91" s="175" t="e">
        <f t="shared" si="79"/>
        <v>#DIV/0!</v>
      </c>
      <c r="DW91" s="163">
        <f t="shared" si="80"/>
        <v>0</v>
      </c>
      <c r="DX91" s="164"/>
      <c r="DY91" s="176">
        <f t="shared" si="81"/>
        <v>0</v>
      </c>
      <c r="DZ91" s="177">
        <f t="shared" si="82"/>
        <v>0</v>
      </c>
      <c r="EA91" s="178">
        <f t="shared" si="83"/>
        <v>0</v>
      </c>
      <c r="EB91" s="179">
        <f t="shared" si="84"/>
        <v>0</v>
      </c>
      <c r="EC91" s="180"/>
      <c r="ED91" s="175" t="e">
        <f t="shared" si="85"/>
        <v>#DIV/0!</v>
      </c>
      <c r="EE91" s="163">
        <f t="shared" si="86"/>
        <v>0</v>
      </c>
      <c r="EF91" s="164"/>
      <c r="EG91" s="181">
        <f t="shared" si="87"/>
        <v>0</v>
      </c>
      <c r="EH91" s="182">
        <f t="shared" si="88"/>
        <v>0</v>
      </c>
      <c r="EI91" s="182">
        <f t="shared" si="89"/>
        <v>0</v>
      </c>
      <c r="EJ91" s="182">
        <f t="shared" si="90"/>
        <v>0</v>
      </c>
      <c r="EK91" s="183">
        <f t="shared" si="91"/>
        <v>0</v>
      </c>
      <c r="EL91" s="184" t="e">
        <f t="shared" si="92"/>
        <v>#DIV/0!</v>
      </c>
      <c r="EM91" s="185">
        <f t="shared" si="93"/>
        <v>0</v>
      </c>
      <c r="EN91" s="164"/>
      <c r="EO91" s="181">
        <f t="shared" si="94"/>
        <v>0</v>
      </c>
      <c r="EP91" s="183">
        <f t="shared" si="95"/>
        <v>0</v>
      </c>
      <c r="EQ91" s="184" t="e">
        <f t="shared" si="96"/>
        <v>#DIV/0!</v>
      </c>
      <c r="ER91" s="185">
        <f t="shared" si="97"/>
        <v>0</v>
      </c>
      <c r="ES91" s="164"/>
      <c r="ET91" s="164"/>
      <c r="EU91" s="186">
        <f t="shared" si="98"/>
        <v>0</v>
      </c>
      <c r="EV91" s="186">
        <f t="shared" si="99"/>
        <v>0</v>
      </c>
      <c r="EW91" s="186">
        <f t="shared" si="100"/>
        <v>0</v>
      </c>
      <c r="EX91" s="186">
        <f t="shared" si="101"/>
        <v>0</v>
      </c>
      <c r="EY91" s="131"/>
      <c r="EZ91" s="187">
        <f t="shared" si="102"/>
        <v>0</v>
      </c>
      <c r="FA91" s="188" t="e">
        <f t="shared" si="103"/>
        <v>#DIV/0!</v>
      </c>
      <c r="FB91" s="189"/>
      <c r="FC91" s="131"/>
      <c r="FD91" s="131"/>
      <c r="FE91" s="131"/>
      <c r="FF91" s="131"/>
      <c r="FG91" s="131"/>
    </row>
    <row r="92" spans="2:163" ht="16" outlineLevel="1" thickBot="1" x14ac:dyDescent="0.4">
      <c r="B92" s="356"/>
      <c r="C92" s="353"/>
      <c r="D92" s="133"/>
      <c r="E92" s="134"/>
      <c r="F92" s="135"/>
      <c r="G92" s="136"/>
      <c r="H92" s="137"/>
      <c r="I92" s="138">
        <f>IF(E92&gt;0.0001,9.4,0)</f>
        <v>0</v>
      </c>
      <c r="J92" s="139"/>
      <c r="K92" s="140">
        <f t="shared" si="107"/>
        <v>0</v>
      </c>
      <c r="L92" s="141"/>
      <c r="M92" s="142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2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4"/>
      <c r="AN92" s="145">
        <f t="shared" si="58"/>
        <v>0</v>
      </c>
      <c r="AO92" s="146"/>
      <c r="AP92" s="147">
        <f t="shared" si="59"/>
        <v>0</v>
      </c>
      <c r="AQ92" s="148"/>
      <c r="AR92" s="149"/>
      <c r="AS92" s="149"/>
      <c r="AT92" s="135"/>
      <c r="AU92" s="150"/>
      <c r="AV92" s="151"/>
      <c r="AW92" s="151"/>
      <c r="AX92" s="151"/>
      <c r="AY92" s="151"/>
      <c r="AZ92" s="151"/>
      <c r="BA92" s="151"/>
      <c r="BB92" s="151"/>
      <c r="BC92" s="151"/>
      <c r="BD92" s="151"/>
      <c r="BE92" s="151"/>
      <c r="BF92" s="152"/>
      <c r="BG92" s="152"/>
      <c r="BH92" s="152"/>
      <c r="BI92" s="152"/>
      <c r="BJ92" s="152"/>
      <c r="BK92" s="152"/>
      <c r="BL92" s="152"/>
      <c r="BM92" s="152"/>
      <c r="BN92" s="152"/>
      <c r="BO92" s="152"/>
      <c r="BP92" s="152"/>
      <c r="BQ92" s="152"/>
      <c r="BR92" s="150"/>
      <c r="BS92" s="151"/>
      <c r="BT92" s="151"/>
      <c r="BU92" s="151"/>
      <c r="BV92" s="151"/>
      <c r="BW92" s="151"/>
      <c r="BX92" s="151"/>
      <c r="BY92" s="151"/>
      <c r="BZ92" s="151"/>
      <c r="CA92" s="151"/>
      <c r="CB92" s="151"/>
      <c r="CC92" s="154"/>
      <c r="CD92" s="150"/>
      <c r="CE92" s="142"/>
      <c r="CF92" s="143"/>
      <c r="CG92" s="143"/>
      <c r="CH92" s="143"/>
      <c r="CI92" s="143"/>
      <c r="CJ92" s="143"/>
      <c r="CK92" s="143"/>
      <c r="CL92" s="143"/>
      <c r="CM92" s="143"/>
      <c r="CN92" s="143"/>
      <c r="CO92" s="346"/>
      <c r="CP92" s="151"/>
      <c r="CQ92" s="152"/>
      <c r="CR92" s="154"/>
      <c r="CS92" s="155">
        <f t="shared" si="60"/>
        <v>0</v>
      </c>
      <c r="CT92" s="146"/>
      <c r="CU92" s="147">
        <f t="shared" si="61"/>
        <v>0</v>
      </c>
      <c r="CV92" s="156"/>
      <c r="CW92" s="157" t="e">
        <f t="shared" si="62"/>
        <v>#DIV/0!</v>
      </c>
      <c r="CX92" s="157" t="e">
        <f t="shared" si="63"/>
        <v>#DIV/0!</v>
      </c>
      <c r="CY92" s="157" t="e">
        <f t="shared" si="64"/>
        <v>#DIV/0!</v>
      </c>
      <c r="CZ92" s="157" t="e">
        <f t="shared" si="65"/>
        <v>#DIV/0!</v>
      </c>
      <c r="DA92" s="157" t="e">
        <f t="shared" si="66"/>
        <v>#DIV/0!</v>
      </c>
      <c r="DB92" s="158" t="e">
        <f t="shared" si="67"/>
        <v>#DIV/0!</v>
      </c>
      <c r="DC92" s="131"/>
      <c r="DD92" s="159">
        <f t="shared" si="68"/>
        <v>0</v>
      </c>
      <c r="DE92" s="160">
        <f t="shared" si="69"/>
        <v>0</v>
      </c>
      <c r="DF92" s="161">
        <f t="shared" si="70"/>
        <v>0</v>
      </c>
      <c r="DG92" s="162" t="e">
        <f t="shared" si="71"/>
        <v>#DIV/0!</v>
      </c>
      <c r="DH92" s="163">
        <f t="shared" si="72"/>
        <v>0</v>
      </c>
      <c r="DI92" s="164"/>
      <c r="DJ92" s="165">
        <f t="shared" si="55"/>
        <v>0</v>
      </c>
      <c r="DK92" s="166">
        <f t="shared" si="55"/>
        <v>0</v>
      </c>
      <c r="DL92" s="167" t="e">
        <f t="shared" si="73"/>
        <v>#DIV/0!</v>
      </c>
      <c r="DM92" s="168" t="e">
        <f t="shared" si="74"/>
        <v>#DIV/0!</v>
      </c>
      <c r="DN92" s="163" t="e">
        <f t="shared" si="75"/>
        <v>#DIV/0!</v>
      </c>
      <c r="DO92" s="169"/>
      <c r="DP92" s="170"/>
      <c r="DQ92" s="171"/>
      <c r="DR92" s="172">
        <f t="shared" si="76"/>
        <v>0</v>
      </c>
      <c r="DS92" s="173" t="e">
        <f t="shared" si="77"/>
        <v>#DIV/0!</v>
      </c>
      <c r="DT92" s="163" t="e">
        <f t="shared" si="78"/>
        <v>#DIV/0!</v>
      </c>
      <c r="DU92" s="174"/>
      <c r="DV92" s="175" t="e">
        <f t="shared" si="79"/>
        <v>#DIV/0!</v>
      </c>
      <c r="DW92" s="163">
        <f t="shared" si="80"/>
        <v>0</v>
      </c>
      <c r="DX92" s="164"/>
      <c r="DY92" s="176">
        <f t="shared" si="81"/>
        <v>0</v>
      </c>
      <c r="DZ92" s="177">
        <f t="shared" si="82"/>
        <v>0</v>
      </c>
      <c r="EA92" s="178">
        <f t="shared" si="83"/>
        <v>0</v>
      </c>
      <c r="EB92" s="179">
        <f t="shared" si="84"/>
        <v>0</v>
      </c>
      <c r="EC92" s="180"/>
      <c r="ED92" s="175" t="e">
        <f t="shared" si="85"/>
        <v>#DIV/0!</v>
      </c>
      <c r="EE92" s="163">
        <f t="shared" si="86"/>
        <v>0</v>
      </c>
      <c r="EF92" s="164"/>
      <c r="EG92" s="181">
        <f t="shared" si="87"/>
        <v>0</v>
      </c>
      <c r="EH92" s="182">
        <f t="shared" si="88"/>
        <v>0</v>
      </c>
      <c r="EI92" s="182">
        <f t="shared" ref="EI92:EI94" si="111">SUM(M92:Z92)</f>
        <v>0</v>
      </c>
      <c r="EJ92" s="182">
        <f t="shared" si="90"/>
        <v>0</v>
      </c>
      <c r="EK92" s="183">
        <f t="shared" si="91"/>
        <v>0</v>
      </c>
      <c r="EL92" s="184" t="e">
        <f t="shared" si="92"/>
        <v>#DIV/0!</v>
      </c>
      <c r="EM92" s="185">
        <f t="shared" si="93"/>
        <v>0</v>
      </c>
      <c r="EN92" s="164"/>
      <c r="EO92" s="181">
        <f t="shared" si="94"/>
        <v>0</v>
      </c>
      <c r="EP92" s="183">
        <f t="shared" si="95"/>
        <v>0</v>
      </c>
      <c r="EQ92" s="184" t="e">
        <f t="shared" si="96"/>
        <v>#DIV/0!</v>
      </c>
      <c r="ER92" s="185">
        <f t="shared" si="97"/>
        <v>0</v>
      </c>
      <c r="ES92" s="164"/>
      <c r="ET92" s="164"/>
      <c r="EU92" s="186">
        <f t="shared" si="98"/>
        <v>0</v>
      </c>
      <c r="EV92" s="186">
        <f t="shared" si="99"/>
        <v>0</v>
      </c>
      <c r="EW92" s="186">
        <f t="shared" si="100"/>
        <v>0</v>
      </c>
      <c r="EX92" s="186">
        <f t="shared" si="101"/>
        <v>0</v>
      </c>
      <c r="EY92" s="131"/>
      <c r="EZ92" s="187">
        <f t="shared" si="102"/>
        <v>0</v>
      </c>
      <c r="FA92" s="188" t="e">
        <f t="shared" si="103"/>
        <v>#DIV/0!</v>
      </c>
      <c r="FB92" s="189"/>
      <c r="FC92" s="131"/>
      <c r="FD92" s="131"/>
      <c r="FE92" s="131"/>
      <c r="FF92" s="131"/>
      <c r="FG92" s="131"/>
    </row>
    <row r="93" spans="2:163" ht="16" outlineLevel="1" thickBot="1" x14ac:dyDescent="0.4">
      <c r="B93" s="357"/>
      <c r="C93" s="354"/>
      <c r="D93" s="190"/>
      <c r="E93" s="191"/>
      <c r="F93" s="135"/>
      <c r="G93" s="192"/>
      <c r="H93" s="137"/>
      <c r="I93" s="138">
        <f t="shared" ref="I93:I94" si="112">IF(E93&gt;0.0001,0,0)</f>
        <v>0</v>
      </c>
      <c r="J93" s="139"/>
      <c r="K93" s="193">
        <f t="shared" si="107"/>
        <v>0</v>
      </c>
      <c r="L93" s="141"/>
      <c r="M93" s="194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4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6"/>
      <c r="AN93" s="197">
        <f t="shared" si="58"/>
        <v>0</v>
      </c>
      <c r="AO93" s="146"/>
      <c r="AP93" s="147">
        <f t="shared" si="59"/>
        <v>0</v>
      </c>
      <c r="AQ93" s="148"/>
      <c r="AR93" s="198"/>
      <c r="AS93" s="198"/>
      <c r="AT93" s="135"/>
      <c r="AU93" s="199"/>
      <c r="AV93" s="200"/>
      <c r="AW93" s="200"/>
      <c r="AX93" s="200"/>
      <c r="AY93" s="200"/>
      <c r="AZ93" s="200"/>
      <c r="BA93" s="200"/>
      <c r="BB93" s="200"/>
      <c r="BC93" s="200"/>
      <c r="BD93" s="200"/>
      <c r="BE93" s="200"/>
      <c r="BF93" s="201"/>
      <c r="BG93" s="201"/>
      <c r="BH93" s="201"/>
      <c r="BI93" s="201"/>
      <c r="BJ93" s="201"/>
      <c r="BK93" s="201"/>
      <c r="BL93" s="201"/>
      <c r="BM93" s="201"/>
      <c r="BN93" s="201"/>
      <c r="BO93" s="201"/>
      <c r="BP93" s="201"/>
      <c r="BQ93" s="201"/>
      <c r="BR93" s="199"/>
      <c r="BS93" s="200"/>
      <c r="BT93" s="200"/>
      <c r="BU93" s="200"/>
      <c r="BV93" s="200"/>
      <c r="BW93" s="200"/>
      <c r="BX93" s="200"/>
      <c r="BY93" s="200"/>
      <c r="BZ93" s="200"/>
      <c r="CA93" s="200"/>
      <c r="CB93" s="200"/>
      <c r="CC93" s="202"/>
      <c r="CD93" s="199"/>
      <c r="CE93" s="194"/>
      <c r="CF93" s="195"/>
      <c r="CG93" s="195"/>
      <c r="CH93" s="195"/>
      <c r="CI93" s="195"/>
      <c r="CJ93" s="195"/>
      <c r="CK93" s="195"/>
      <c r="CL93" s="195"/>
      <c r="CM93" s="195"/>
      <c r="CN93" s="195"/>
      <c r="CO93" s="347"/>
      <c r="CP93" s="200"/>
      <c r="CQ93" s="201"/>
      <c r="CR93" s="202"/>
      <c r="CS93" s="203">
        <f t="shared" si="60"/>
        <v>0</v>
      </c>
      <c r="CT93" s="146"/>
      <c r="CU93" s="147">
        <f t="shared" si="61"/>
        <v>0</v>
      </c>
      <c r="CV93" s="156"/>
      <c r="CW93" s="157" t="e">
        <f t="shared" si="62"/>
        <v>#DIV/0!</v>
      </c>
      <c r="CX93" s="157" t="e">
        <f t="shared" si="63"/>
        <v>#DIV/0!</v>
      </c>
      <c r="CY93" s="157" t="e">
        <f t="shared" si="64"/>
        <v>#DIV/0!</v>
      </c>
      <c r="CZ93" s="157" t="e">
        <f t="shared" si="65"/>
        <v>#DIV/0!</v>
      </c>
      <c r="DA93" s="157" t="e">
        <f t="shared" si="66"/>
        <v>#DIV/0!</v>
      </c>
      <c r="DB93" s="158" t="e">
        <f t="shared" si="67"/>
        <v>#DIV/0!</v>
      </c>
      <c r="DC93" s="131"/>
      <c r="DD93" s="159">
        <f t="shared" si="68"/>
        <v>0</v>
      </c>
      <c r="DE93" s="160">
        <f t="shared" si="69"/>
        <v>0</v>
      </c>
      <c r="DF93" s="161">
        <f t="shared" si="70"/>
        <v>0</v>
      </c>
      <c r="DG93" s="162" t="e">
        <f t="shared" si="71"/>
        <v>#DIV/0!</v>
      </c>
      <c r="DH93" s="163">
        <f t="shared" si="72"/>
        <v>0</v>
      </c>
      <c r="DI93" s="164"/>
      <c r="DJ93" s="165">
        <f t="shared" si="55"/>
        <v>0</v>
      </c>
      <c r="DK93" s="166">
        <f t="shared" si="55"/>
        <v>0</v>
      </c>
      <c r="DL93" s="167" t="e">
        <f t="shared" si="73"/>
        <v>#DIV/0!</v>
      </c>
      <c r="DM93" s="168" t="e">
        <f t="shared" si="74"/>
        <v>#DIV/0!</v>
      </c>
      <c r="DN93" s="163" t="e">
        <f t="shared" si="75"/>
        <v>#DIV/0!</v>
      </c>
      <c r="DO93" s="169"/>
      <c r="DP93" s="170"/>
      <c r="DQ93" s="171"/>
      <c r="DR93" s="172">
        <f t="shared" si="76"/>
        <v>0</v>
      </c>
      <c r="DS93" s="173" t="e">
        <f t="shared" si="77"/>
        <v>#DIV/0!</v>
      </c>
      <c r="DT93" s="163" t="e">
        <f t="shared" si="78"/>
        <v>#DIV/0!</v>
      </c>
      <c r="DU93" s="174"/>
      <c r="DV93" s="175" t="e">
        <f t="shared" si="79"/>
        <v>#DIV/0!</v>
      </c>
      <c r="DW93" s="163">
        <f t="shared" si="80"/>
        <v>0</v>
      </c>
      <c r="DX93" s="164"/>
      <c r="DY93" s="176">
        <f t="shared" si="81"/>
        <v>0</v>
      </c>
      <c r="DZ93" s="177">
        <f t="shared" si="82"/>
        <v>0</v>
      </c>
      <c r="EA93" s="178">
        <f t="shared" si="83"/>
        <v>0</v>
      </c>
      <c r="EB93" s="179">
        <f t="shared" si="84"/>
        <v>0</v>
      </c>
      <c r="EC93" s="180"/>
      <c r="ED93" s="175" t="e">
        <f t="shared" si="85"/>
        <v>#DIV/0!</v>
      </c>
      <c r="EE93" s="163">
        <f t="shared" si="86"/>
        <v>0</v>
      </c>
      <c r="EF93" s="164"/>
      <c r="EG93" s="181">
        <f t="shared" si="87"/>
        <v>0</v>
      </c>
      <c r="EH93" s="182">
        <f t="shared" si="88"/>
        <v>0</v>
      </c>
      <c r="EI93" s="182">
        <f t="shared" si="111"/>
        <v>0</v>
      </c>
      <c r="EJ93" s="182">
        <f t="shared" si="90"/>
        <v>0</v>
      </c>
      <c r="EK93" s="183">
        <f t="shared" si="91"/>
        <v>0</v>
      </c>
      <c r="EL93" s="184" t="e">
        <f t="shared" si="92"/>
        <v>#DIV/0!</v>
      </c>
      <c r="EM93" s="185">
        <f t="shared" si="93"/>
        <v>0</v>
      </c>
      <c r="EN93" s="164"/>
      <c r="EO93" s="181">
        <f t="shared" si="94"/>
        <v>0</v>
      </c>
      <c r="EP93" s="183">
        <f t="shared" si="95"/>
        <v>0</v>
      </c>
      <c r="EQ93" s="184" t="e">
        <f t="shared" si="96"/>
        <v>#DIV/0!</v>
      </c>
      <c r="ER93" s="185">
        <f t="shared" si="97"/>
        <v>0</v>
      </c>
      <c r="ES93" s="164"/>
      <c r="ET93" s="164"/>
      <c r="EU93" s="186">
        <f t="shared" si="98"/>
        <v>0</v>
      </c>
      <c r="EV93" s="186">
        <f t="shared" si="99"/>
        <v>0</v>
      </c>
      <c r="EW93" s="186">
        <f t="shared" si="100"/>
        <v>0</v>
      </c>
      <c r="EX93" s="186">
        <f t="shared" si="101"/>
        <v>0</v>
      </c>
      <c r="EY93" s="131"/>
      <c r="EZ93" s="187">
        <f t="shared" si="102"/>
        <v>0</v>
      </c>
      <c r="FA93" s="188" t="e">
        <f t="shared" si="103"/>
        <v>#DIV/0!</v>
      </c>
      <c r="FB93" s="189"/>
      <c r="FC93" s="131"/>
      <c r="FD93" s="131"/>
      <c r="FE93" s="131"/>
      <c r="FF93" s="131"/>
      <c r="FG93" s="131"/>
    </row>
    <row r="94" spans="2:163" ht="16" outlineLevel="1" thickBot="1" x14ac:dyDescent="0.4">
      <c r="B94" s="358"/>
      <c r="C94" s="355"/>
      <c r="D94" s="204"/>
      <c r="E94" s="205"/>
      <c r="F94" s="135"/>
      <c r="G94" s="206"/>
      <c r="H94" s="207"/>
      <c r="I94" s="138">
        <f t="shared" si="112"/>
        <v>0</v>
      </c>
      <c r="J94" s="139"/>
      <c r="K94" s="208">
        <f t="shared" si="107"/>
        <v>0</v>
      </c>
      <c r="L94" s="141"/>
      <c r="M94" s="209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09"/>
      <c r="AB94" s="210"/>
      <c r="AC94" s="210"/>
      <c r="AD94" s="210"/>
      <c r="AE94" s="210"/>
      <c r="AF94" s="210"/>
      <c r="AG94" s="210"/>
      <c r="AH94" s="210"/>
      <c r="AI94" s="210"/>
      <c r="AJ94" s="210"/>
      <c r="AK94" s="210"/>
      <c r="AL94" s="210"/>
      <c r="AM94" s="211"/>
      <c r="AN94" s="212">
        <f t="shared" si="58"/>
        <v>0</v>
      </c>
      <c r="AO94" s="146"/>
      <c r="AP94" s="147">
        <f t="shared" si="59"/>
        <v>0</v>
      </c>
      <c r="AQ94" s="148"/>
      <c r="AR94" s="213"/>
      <c r="AS94" s="213"/>
      <c r="AT94" s="135"/>
      <c r="AU94" s="214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6"/>
      <c r="BG94" s="216"/>
      <c r="BH94" s="216"/>
      <c r="BI94" s="216"/>
      <c r="BJ94" s="216"/>
      <c r="BK94" s="216"/>
      <c r="BL94" s="216"/>
      <c r="BM94" s="216"/>
      <c r="BN94" s="216"/>
      <c r="BO94" s="216"/>
      <c r="BP94" s="216"/>
      <c r="BQ94" s="216"/>
      <c r="BR94" s="214"/>
      <c r="BS94" s="215"/>
      <c r="BT94" s="215"/>
      <c r="BU94" s="215"/>
      <c r="BV94" s="215"/>
      <c r="BW94" s="215"/>
      <c r="BX94" s="215"/>
      <c r="BY94" s="215"/>
      <c r="BZ94" s="215"/>
      <c r="CA94" s="215"/>
      <c r="CB94" s="215"/>
      <c r="CC94" s="217"/>
      <c r="CD94" s="214"/>
      <c r="CE94" s="209"/>
      <c r="CF94" s="210"/>
      <c r="CG94" s="210"/>
      <c r="CH94" s="210"/>
      <c r="CI94" s="210"/>
      <c r="CJ94" s="210"/>
      <c r="CK94" s="210"/>
      <c r="CL94" s="210"/>
      <c r="CM94" s="210"/>
      <c r="CN94" s="210"/>
      <c r="CO94" s="348"/>
      <c r="CP94" s="215"/>
      <c r="CQ94" s="216"/>
      <c r="CR94" s="217"/>
      <c r="CS94" s="218">
        <f t="shared" si="60"/>
        <v>0</v>
      </c>
      <c r="CT94" s="146"/>
      <c r="CU94" s="147">
        <f t="shared" si="61"/>
        <v>0</v>
      </c>
      <c r="CV94" s="156"/>
      <c r="CW94" s="157" t="e">
        <f t="shared" si="62"/>
        <v>#DIV/0!</v>
      </c>
      <c r="CX94" s="157" t="e">
        <f t="shared" si="63"/>
        <v>#DIV/0!</v>
      </c>
      <c r="CY94" s="157" t="e">
        <f t="shared" si="64"/>
        <v>#DIV/0!</v>
      </c>
      <c r="CZ94" s="157" t="e">
        <f t="shared" si="65"/>
        <v>#DIV/0!</v>
      </c>
      <c r="DA94" s="157" t="e">
        <f t="shared" si="66"/>
        <v>#DIV/0!</v>
      </c>
      <c r="DB94" s="158" t="e">
        <f t="shared" si="67"/>
        <v>#DIV/0!</v>
      </c>
      <c r="DC94" s="131"/>
      <c r="DD94" s="159">
        <f t="shared" si="68"/>
        <v>0</v>
      </c>
      <c r="DE94" s="160">
        <f t="shared" si="69"/>
        <v>0</v>
      </c>
      <c r="DF94" s="161">
        <f t="shared" si="70"/>
        <v>0</v>
      </c>
      <c r="DG94" s="162" t="e">
        <f t="shared" si="71"/>
        <v>#DIV/0!</v>
      </c>
      <c r="DH94" s="163">
        <f t="shared" si="72"/>
        <v>0</v>
      </c>
      <c r="DI94" s="164"/>
      <c r="DJ94" s="165">
        <f t="shared" si="55"/>
        <v>0</v>
      </c>
      <c r="DK94" s="166">
        <f t="shared" si="55"/>
        <v>0</v>
      </c>
      <c r="DL94" s="167" t="e">
        <f t="shared" si="73"/>
        <v>#DIV/0!</v>
      </c>
      <c r="DM94" s="168" t="e">
        <f t="shared" si="74"/>
        <v>#DIV/0!</v>
      </c>
      <c r="DN94" s="163" t="e">
        <f t="shared" si="75"/>
        <v>#DIV/0!</v>
      </c>
      <c r="DO94" s="169"/>
      <c r="DP94" s="170"/>
      <c r="DQ94" s="171"/>
      <c r="DR94" s="172">
        <f t="shared" si="76"/>
        <v>0</v>
      </c>
      <c r="DS94" s="173" t="e">
        <f t="shared" si="77"/>
        <v>#DIV/0!</v>
      </c>
      <c r="DT94" s="163" t="e">
        <f t="shared" si="78"/>
        <v>#DIV/0!</v>
      </c>
      <c r="DU94" s="174"/>
      <c r="DV94" s="175" t="e">
        <f t="shared" si="79"/>
        <v>#DIV/0!</v>
      </c>
      <c r="DW94" s="163">
        <f t="shared" si="80"/>
        <v>0</v>
      </c>
      <c r="DX94" s="164"/>
      <c r="DY94" s="176">
        <f t="shared" si="81"/>
        <v>0</v>
      </c>
      <c r="DZ94" s="177">
        <f t="shared" si="82"/>
        <v>0</v>
      </c>
      <c r="EA94" s="178">
        <f t="shared" si="83"/>
        <v>0</v>
      </c>
      <c r="EB94" s="179">
        <f t="shared" si="84"/>
        <v>0</v>
      </c>
      <c r="EC94" s="180"/>
      <c r="ED94" s="175" t="e">
        <f t="shared" si="85"/>
        <v>#DIV/0!</v>
      </c>
      <c r="EE94" s="163">
        <f t="shared" si="86"/>
        <v>0</v>
      </c>
      <c r="EF94" s="164"/>
      <c r="EG94" s="181">
        <f t="shared" si="87"/>
        <v>0</v>
      </c>
      <c r="EH94" s="182">
        <f t="shared" si="88"/>
        <v>0</v>
      </c>
      <c r="EI94" s="182">
        <f t="shared" si="111"/>
        <v>0</v>
      </c>
      <c r="EJ94" s="182">
        <f t="shared" si="90"/>
        <v>0</v>
      </c>
      <c r="EK94" s="183">
        <f t="shared" si="91"/>
        <v>0</v>
      </c>
      <c r="EL94" s="184" t="e">
        <f t="shared" si="92"/>
        <v>#DIV/0!</v>
      </c>
      <c r="EM94" s="185">
        <f t="shared" si="93"/>
        <v>0</v>
      </c>
      <c r="EN94" s="164"/>
      <c r="EO94" s="181">
        <f t="shared" si="94"/>
        <v>0</v>
      </c>
      <c r="EP94" s="183">
        <f t="shared" si="95"/>
        <v>0</v>
      </c>
      <c r="EQ94" s="184" t="e">
        <f t="shared" si="96"/>
        <v>#DIV/0!</v>
      </c>
      <c r="ER94" s="185">
        <f t="shared" si="97"/>
        <v>0</v>
      </c>
      <c r="ES94" s="164"/>
      <c r="ET94" s="164"/>
      <c r="EU94" s="186">
        <f t="shared" si="98"/>
        <v>0</v>
      </c>
      <c r="EV94" s="186">
        <f t="shared" si="99"/>
        <v>0</v>
      </c>
      <c r="EW94" s="186">
        <f t="shared" si="100"/>
        <v>0</v>
      </c>
      <c r="EX94" s="186">
        <f t="shared" si="101"/>
        <v>0</v>
      </c>
      <c r="EY94" s="131"/>
      <c r="EZ94" s="187">
        <f t="shared" si="102"/>
        <v>0</v>
      </c>
      <c r="FA94" s="188" t="e">
        <f t="shared" si="103"/>
        <v>#DIV/0!</v>
      </c>
      <c r="FB94" s="189"/>
      <c r="FC94" s="131"/>
      <c r="FD94" s="131"/>
      <c r="FE94" s="131"/>
      <c r="FF94" s="131"/>
      <c r="FG94" s="131"/>
    </row>
    <row r="95" spans="2:163" ht="16" outlineLevel="1" thickBot="1" x14ac:dyDescent="0.4">
      <c r="B95" s="356"/>
      <c r="C95" s="353"/>
      <c r="D95" s="133"/>
      <c r="E95" s="134"/>
      <c r="F95" s="135"/>
      <c r="G95" s="136"/>
      <c r="H95" s="137"/>
      <c r="I95" s="138">
        <f>IF(E95&gt;0.0001,9.4,0)</f>
        <v>0</v>
      </c>
      <c r="J95" s="139"/>
      <c r="K95" s="140">
        <f t="shared" si="107"/>
        <v>0</v>
      </c>
      <c r="L95" s="141"/>
      <c r="M95" s="142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2"/>
      <c r="AB95" s="143"/>
      <c r="AC95" s="143"/>
      <c r="AD95" s="143"/>
      <c r="AE95" s="143"/>
      <c r="AF95" s="143"/>
      <c r="AG95" s="143"/>
      <c r="AH95" s="143"/>
      <c r="AI95" s="143"/>
      <c r="AJ95" s="143"/>
      <c r="AK95" s="143"/>
      <c r="AL95" s="143"/>
      <c r="AM95" s="144"/>
      <c r="AN95" s="145">
        <f t="shared" si="58"/>
        <v>0</v>
      </c>
      <c r="AO95" s="146"/>
      <c r="AP95" s="147">
        <f t="shared" si="59"/>
        <v>0</v>
      </c>
      <c r="AQ95" s="148"/>
      <c r="AR95" s="149"/>
      <c r="AS95" s="149"/>
      <c r="AT95" s="135"/>
      <c r="AU95" s="150"/>
      <c r="AV95" s="151"/>
      <c r="AW95" s="151"/>
      <c r="AX95" s="151"/>
      <c r="AY95" s="151"/>
      <c r="AZ95" s="151"/>
      <c r="BA95" s="151"/>
      <c r="BB95" s="151"/>
      <c r="BC95" s="151"/>
      <c r="BD95" s="151"/>
      <c r="BE95" s="151"/>
      <c r="BF95" s="152"/>
      <c r="BG95" s="152"/>
      <c r="BH95" s="152"/>
      <c r="BI95" s="152"/>
      <c r="BJ95" s="152"/>
      <c r="BK95" s="152"/>
      <c r="BL95" s="152"/>
      <c r="BM95" s="152"/>
      <c r="BN95" s="152"/>
      <c r="BO95" s="152"/>
      <c r="BP95" s="152"/>
      <c r="BQ95" s="152"/>
      <c r="BR95" s="150"/>
      <c r="BS95" s="151"/>
      <c r="BT95" s="151"/>
      <c r="BU95" s="151"/>
      <c r="BV95" s="151"/>
      <c r="BW95" s="151"/>
      <c r="BX95" s="151"/>
      <c r="BY95" s="151"/>
      <c r="BZ95" s="151"/>
      <c r="CA95" s="151"/>
      <c r="CB95" s="151"/>
      <c r="CC95" s="154"/>
      <c r="CD95" s="150"/>
      <c r="CE95" s="142"/>
      <c r="CF95" s="143"/>
      <c r="CG95" s="143"/>
      <c r="CH95" s="143"/>
      <c r="CI95" s="143"/>
      <c r="CJ95" s="143"/>
      <c r="CK95" s="143"/>
      <c r="CL95" s="143"/>
      <c r="CM95" s="143"/>
      <c r="CN95" s="143"/>
      <c r="CO95" s="346"/>
      <c r="CP95" s="151"/>
      <c r="CQ95" s="152"/>
      <c r="CR95" s="154"/>
      <c r="CS95" s="155">
        <f t="shared" si="60"/>
        <v>0</v>
      </c>
      <c r="CT95" s="146"/>
      <c r="CU95" s="147">
        <f t="shared" si="61"/>
        <v>0</v>
      </c>
      <c r="CV95" s="156"/>
      <c r="CW95" s="157" t="e">
        <f t="shared" si="62"/>
        <v>#DIV/0!</v>
      </c>
      <c r="CX95" s="157" t="e">
        <f t="shared" si="63"/>
        <v>#DIV/0!</v>
      </c>
      <c r="CY95" s="157" t="e">
        <f t="shared" si="64"/>
        <v>#DIV/0!</v>
      </c>
      <c r="CZ95" s="157" t="e">
        <f t="shared" si="65"/>
        <v>#DIV/0!</v>
      </c>
      <c r="DA95" s="157" t="e">
        <f t="shared" si="66"/>
        <v>#DIV/0!</v>
      </c>
      <c r="DB95" s="158" t="e">
        <f t="shared" si="67"/>
        <v>#DIV/0!</v>
      </c>
      <c r="DC95" s="131"/>
      <c r="DD95" s="159">
        <f t="shared" si="68"/>
        <v>0</v>
      </c>
      <c r="DE95" s="160">
        <f t="shared" si="69"/>
        <v>0</v>
      </c>
      <c r="DF95" s="161">
        <f t="shared" si="70"/>
        <v>0</v>
      </c>
      <c r="DG95" s="162" t="e">
        <f t="shared" si="71"/>
        <v>#DIV/0!</v>
      </c>
      <c r="DH95" s="163">
        <f t="shared" si="72"/>
        <v>0</v>
      </c>
      <c r="DI95" s="164"/>
      <c r="DJ95" s="165">
        <f t="shared" si="55"/>
        <v>0</v>
      </c>
      <c r="DK95" s="166">
        <f t="shared" si="55"/>
        <v>0</v>
      </c>
      <c r="DL95" s="167" t="e">
        <f t="shared" si="73"/>
        <v>#DIV/0!</v>
      </c>
      <c r="DM95" s="168" t="e">
        <f t="shared" si="74"/>
        <v>#DIV/0!</v>
      </c>
      <c r="DN95" s="163" t="e">
        <f t="shared" si="75"/>
        <v>#DIV/0!</v>
      </c>
      <c r="DO95" s="169"/>
      <c r="DP95" s="170"/>
      <c r="DQ95" s="171"/>
      <c r="DR95" s="172">
        <f t="shared" si="76"/>
        <v>0</v>
      </c>
      <c r="DS95" s="173" t="e">
        <f t="shared" si="77"/>
        <v>#DIV/0!</v>
      </c>
      <c r="DT95" s="163" t="e">
        <f t="shared" si="78"/>
        <v>#DIV/0!</v>
      </c>
      <c r="DU95" s="174"/>
      <c r="DV95" s="175" t="e">
        <f t="shared" si="79"/>
        <v>#DIV/0!</v>
      </c>
      <c r="DW95" s="163">
        <f t="shared" si="80"/>
        <v>0</v>
      </c>
      <c r="DX95" s="164"/>
      <c r="DY95" s="176">
        <f t="shared" si="81"/>
        <v>0</v>
      </c>
      <c r="DZ95" s="177">
        <f t="shared" si="82"/>
        <v>0</v>
      </c>
      <c r="EA95" s="178">
        <f t="shared" si="83"/>
        <v>0</v>
      </c>
      <c r="EB95" s="179">
        <f t="shared" si="84"/>
        <v>0</v>
      </c>
      <c r="EC95" s="180"/>
      <c r="ED95" s="175" t="e">
        <f t="shared" si="85"/>
        <v>#DIV/0!</v>
      </c>
      <c r="EE95" s="163">
        <f t="shared" si="86"/>
        <v>0</v>
      </c>
      <c r="EF95" s="164"/>
      <c r="EG95" s="181">
        <f t="shared" si="87"/>
        <v>0</v>
      </c>
      <c r="EH95" s="182">
        <f t="shared" si="88"/>
        <v>0</v>
      </c>
      <c r="EI95" s="182">
        <f t="shared" si="89"/>
        <v>0</v>
      </c>
      <c r="EJ95" s="182">
        <f t="shared" si="90"/>
        <v>0</v>
      </c>
      <c r="EK95" s="183">
        <f t="shared" si="91"/>
        <v>0</v>
      </c>
      <c r="EL95" s="184" t="e">
        <f t="shared" si="92"/>
        <v>#DIV/0!</v>
      </c>
      <c r="EM95" s="185">
        <f t="shared" si="93"/>
        <v>0</v>
      </c>
      <c r="EN95" s="164"/>
      <c r="EO95" s="181">
        <f t="shared" si="94"/>
        <v>0</v>
      </c>
      <c r="EP95" s="183">
        <f t="shared" si="95"/>
        <v>0</v>
      </c>
      <c r="EQ95" s="184" t="e">
        <f t="shared" si="96"/>
        <v>#DIV/0!</v>
      </c>
      <c r="ER95" s="185">
        <f t="shared" si="97"/>
        <v>0</v>
      </c>
      <c r="ES95" s="164"/>
      <c r="ET95" s="164"/>
      <c r="EU95" s="186">
        <f t="shared" si="98"/>
        <v>0</v>
      </c>
      <c r="EV95" s="186">
        <f t="shared" si="99"/>
        <v>0</v>
      </c>
      <c r="EW95" s="186">
        <f t="shared" si="100"/>
        <v>0</v>
      </c>
      <c r="EX95" s="186">
        <f t="shared" si="101"/>
        <v>0</v>
      </c>
      <c r="EY95" s="131"/>
      <c r="EZ95" s="187">
        <f t="shared" si="102"/>
        <v>0</v>
      </c>
      <c r="FA95" s="188" t="e">
        <f t="shared" si="103"/>
        <v>#DIV/0!</v>
      </c>
      <c r="FB95" s="189"/>
      <c r="FC95" s="131"/>
      <c r="FD95" s="131"/>
      <c r="FE95" s="131"/>
      <c r="FF95" s="131"/>
      <c r="FG95" s="131"/>
    </row>
    <row r="96" spans="2:163" ht="16" outlineLevel="1" thickBot="1" x14ac:dyDescent="0.4">
      <c r="B96" s="357"/>
      <c r="C96" s="354"/>
      <c r="D96" s="190"/>
      <c r="E96" s="191"/>
      <c r="F96" s="135"/>
      <c r="G96" s="192"/>
      <c r="H96" s="137"/>
      <c r="I96" s="138">
        <f t="shared" si="56"/>
        <v>0</v>
      </c>
      <c r="J96" s="139"/>
      <c r="K96" s="193">
        <f t="shared" si="107"/>
        <v>0</v>
      </c>
      <c r="L96" s="141"/>
      <c r="M96" s="194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4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6"/>
      <c r="AN96" s="197">
        <f t="shared" si="58"/>
        <v>0</v>
      </c>
      <c r="AO96" s="146"/>
      <c r="AP96" s="147">
        <f t="shared" si="59"/>
        <v>0</v>
      </c>
      <c r="AQ96" s="148"/>
      <c r="AR96" s="198"/>
      <c r="AS96" s="198"/>
      <c r="AT96" s="135"/>
      <c r="AU96" s="199"/>
      <c r="AV96" s="200"/>
      <c r="AW96" s="200"/>
      <c r="AX96" s="200"/>
      <c r="AY96" s="200"/>
      <c r="AZ96" s="200"/>
      <c r="BA96" s="200"/>
      <c r="BB96" s="200"/>
      <c r="BC96" s="200"/>
      <c r="BD96" s="200"/>
      <c r="BE96" s="200"/>
      <c r="BF96" s="201"/>
      <c r="BG96" s="201"/>
      <c r="BH96" s="201"/>
      <c r="BI96" s="201"/>
      <c r="BJ96" s="201"/>
      <c r="BK96" s="201"/>
      <c r="BL96" s="201"/>
      <c r="BM96" s="201"/>
      <c r="BN96" s="201"/>
      <c r="BO96" s="201"/>
      <c r="BP96" s="201"/>
      <c r="BQ96" s="201"/>
      <c r="BR96" s="199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2"/>
      <c r="CD96" s="199"/>
      <c r="CE96" s="194"/>
      <c r="CF96" s="195"/>
      <c r="CG96" s="195"/>
      <c r="CH96" s="195"/>
      <c r="CI96" s="195"/>
      <c r="CJ96" s="195"/>
      <c r="CK96" s="195"/>
      <c r="CL96" s="195"/>
      <c r="CM96" s="195"/>
      <c r="CN96" s="195"/>
      <c r="CO96" s="347"/>
      <c r="CP96" s="200"/>
      <c r="CQ96" s="201"/>
      <c r="CR96" s="202"/>
      <c r="CS96" s="203">
        <f t="shared" si="60"/>
        <v>0</v>
      </c>
      <c r="CT96" s="146"/>
      <c r="CU96" s="147">
        <f t="shared" si="61"/>
        <v>0</v>
      </c>
      <c r="CV96" s="156"/>
      <c r="CW96" s="157" t="e">
        <f t="shared" si="62"/>
        <v>#DIV/0!</v>
      </c>
      <c r="CX96" s="157" t="e">
        <f t="shared" si="63"/>
        <v>#DIV/0!</v>
      </c>
      <c r="CY96" s="157" t="e">
        <f t="shared" si="64"/>
        <v>#DIV/0!</v>
      </c>
      <c r="CZ96" s="157" t="e">
        <f t="shared" si="65"/>
        <v>#DIV/0!</v>
      </c>
      <c r="DA96" s="157" t="e">
        <f t="shared" si="66"/>
        <v>#DIV/0!</v>
      </c>
      <c r="DB96" s="158" t="e">
        <f t="shared" si="67"/>
        <v>#DIV/0!</v>
      </c>
      <c r="DC96" s="131"/>
      <c r="DD96" s="159">
        <f t="shared" si="68"/>
        <v>0</v>
      </c>
      <c r="DE96" s="160">
        <f t="shared" si="69"/>
        <v>0</v>
      </c>
      <c r="DF96" s="161">
        <f t="shared" si="70"/>
        <v>0</v>
      </c>
      <c r="DG96" s="162" t="e">
        <f t="shared" si="71"/>
        <v>#DIV/0!</v>
      </c>
      <c r="DH96" s="163">
        <f t="shared" si="72"/>
        <v>0</v>
      </c>
      <c r="DI96" s="164"/>
      <c r="DJ96" s="165">
        <f t="shared" si="55"/>
        <v>0</v>
      </c>
      <c r="DK96" s="166">
        <f t="shared" si="55"/>
        <v>0</v>
      </c>
      <c r="DL96" s="167" t="e">
        <f t="shared" si="73"/>
        <v>#DIV/0!</v>
      </c>
      <c r="DM96" s="168" t="e">
        <f t="shared" si="74"/>
        <v>#DIV/0!</v>
      </c>
      <c r="DN96" s="163" t="e">
        <f t="shared" si="75"/>
        <v>#DIV/0!</v>
      </c>
      <c r="DO96" s="169"/>
      <c r="DP96" s="170"/>
      <c r="DQ96" s="171"/>
      <c r="DR96" s="172">
        <f t="shared" si="76"/>
        <v>0</v>
      </c>
      <c r="DS96" s="173" t="e">
        <f t="shared" si="77"/>
        <v>#DIV/0!</v>
      </c>
      <c r="DT96" s="163" t="e">
        <f t="shared" si="78"/>
        <v>#DIV/0!</v>
      </c>
      <c r="DU96" s="174"/>
      <c r="DV96" s="175" t="e">
        <f t="shared" si="79"/>
        <v>#DIV/0!</v>
      </c>
      <c r="DW96" s="163">
        <f t="shared" si="80"/>
        <v>0</v>
      </c>
      <c r="DX96" s="164"/>
      <c r="DY96" s="176">
        <f t="shared" si="81"/>
        <v>0</v>
      </c>
      <c r="DZ96" s="177">
        <f t="shared" si="82"/>
        <v>0</v>
      </c>
      <c r="EA96" s="178">
        <f t="shared" si="83"/>
        <v>0</v>
      </c>
      <c r="EB96" s="179">
        <f t="shared" si="84"/>
        <v>0</v>
      </c>
      <c r="EC96" s="180"/>
      <c r="ED96" s="175" t="e">
        <f t="shared" si="85"/>
        <v>#DIV/0!</v>
      </c>
      <c r="EE96" s="163">
        <f t="shared" si="86"/>
        <v>0</v>
      </c>
      <c r="EF96" s="164"/>
      <c r="EG96" s="181">
        <f t="shared" si="87"/>
        <v>0</v>
      </c>
      <c r="EH96" s="182">
        <f t="shared" si="88"/>
        <v>0</v>
      </c>
      <c r="EI96" s="182">
        <f t="shared" si="89"/>
        <v>0</v>
      </c>
      <c r="EJ96" s="182">
        <f t="shared" si="90"/>
        <v>0</v>
      </c>
      <c r="EK96" s="183">
        <f t="shared" si="91"/>
        <v>0</v>
      </c>
      <c r="EL96" s="184" t="e">
        <f t="shared" si="92"/>
        <v>#DIV/0!</v>
      </c>
      <c r="EM96" s="185">
        <f t="shared" si="93"/>
        <v>0</v>
      </c>
      <c r="EN96" s="164"/>
      <c r="EO96" s="181">
        <f t="shared" si="94"/>
        <v>0</v>
      </c>
      <c r="EP96" s="183">
        <f t="shared" si="95"/>
        <v>0</v>
      </c>
      <c r="EQ96" s="184" t="e">
        <f t="shared" si="96"/>
        <v>#DIV/0!</v>
      </c>
      <c r="ER96" s="185">
        <f t="shared" si="97"/>
        <v>0</v>
      </c>
      <c r="ES96" s="164"/>
      <c r="ET96" s="164"/>
      <c r="EU96" s="186">
        <f t="shared" si="98"/>
        <v>0</v>
      </c>
      <c r="EV96" s="186">
        <f t="shared" si="99"/>
        <v>0</v>
      </c>
      <c r="EW96" s="186">
        <f t="shared" si="100"/>
        <v>0</v>
      </c>
      <c r="EX96" s="186">
        <f t="shared" si="101"/>
        <v>0</v>
      </c>
      <c r="EY96" s="131"/>
      <c r="EZ96" s="187">
        <f t="shared" si="102"/>
        <v>0</v>
      </c>
      <c r="FA96" s="188" t="e">
        <f t="shared" si="103"/>
        <v>#DIV/0!</v>
      </c>
      <c r="FB96" s="189"/>
      <c r="FC96" s="131"/>
      <c r="FD96" s="131"/>
      <c r="FE96" s="131"/>
      <c r="FF96" s="131"/>
      <c r="FG96" s="131"/>
    </row>
    <row r="97" spans="1:164" ht="16" outlineLevel="1" thickBot="1" x14ac:dyDescent="0.4">
      <c r="B97" s="358"/>
      <c r="C97" s="355"/>
      <c r="D97" s="204"/>
      <c r="E97" s="205"/>
      <c r="F97" s="135"/>
      <c r="G97" s="206"/>
      <c r="H97" s="207"/>
      <c r="I97" s="138">
        <f t="shared" si="56"/>
        <v>0</v>
      </c>
      <c r="J97" s="139"/>
      <c r="K97" s="208">
        <f t="shared" si="107"/>
        <v>0</v>
      </c>
      <c r="L97" s="141"/>
      <c r="M97" s="209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09"/>
      <c r="AB97" s="210"/>
      <c r="AC97" s="210"/>
      <c r="AD97" s="210"/>
      <c r="AE97" s="210"/>
      <c r="AF97" s="210"/>
      <c r="AG97" s="210"/>
      <c r="AH97" s="210"/>
      <c r="AI97" s="210"/>
      <c r="AJ97" s="210"/>
      <c r="AK97" s="210"/>
      <c r="AL97" s="210"/>
      <c r="AM97" s="211"/>
      <c r="AN97" s="212">
        <f t="shared" si="58"/>
        <v>0</v>
      </c>
      <c r="AO97" s="146"/>
      <c r="AP97" s="147">
        <f t="shared" si="59"/>
        <v>0</v>
      </c>
      <c r="AQ97" s="148"/>
      <c r="AR97" s="213"/>
      <c r="AS97" s="213"/>
      <c r="AT97" s="135"/>
      <c r="AU97" s="214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6"/>
      <c r="BG97" s="216"/>
      <c r="BH97" s="216"/>
      <c r="BI97" s="216"/>
      <c r="BJ97" s="216"/>
      <c r="BK97" s="216"/>
      <c r="BL97" s="216"/>
      <c r="BM97" s="216"/>
      <c r="BN97" s="216"/>
      <c r="BO97" s="216"/>
      <c r="BP97" s="216"/>
      <c r="BQ97" s="216"/>
      <c r="BR97" s="214"/>
      <c r="BS97" s="215"/>
      <c r="BT97" s="215"/>
      <c r="BU97" s="215"/>
      <c r="BV97" s="215"/>
      <c r="BW97" s="215"/>
      <c r="BX97" s="215"/>
      <c r="BY97" s="215"/>
      <c r="BZ97" s="215"/>
      <c r="CA97" s="215"/>
      <c r="CB97" s="215"/>
      <c r="CC97" s="217"/>
      <c r="CD97" s="214"/>
      <c r="CE97" s="209"/>
      <c r="CF97" s="210"/>
      <c r="CG97" s="210"/>
      <c r="CH97" s="210"/>
      <c r="CI97" s="210"/>
      <c r="CJ97" s="210"/>
      <c r="CK97" s="210"/>
      <c r="CL97" s="210"/>
      <c r="CM97" s="210"/>
      <c r="CN97" s="210"/>
      <c r="CO97" s="348"/>
      <c r="CP97" s="215"/>
      <c r="CQ97" s="216"/>
      <c r="CR97" s="217"/>
      <c r="CS97" s="218">
        <f t="shared" si="60"/>
        <v>0</v>
      </c>
      <c r="CT97" s="146"/>
      <c r="CU97" s="147">
        <f t="shared" si="61"/>
        <v>0</v>
      </c>
      <c r="CV97" s="156"/>
      <c r="CW97" s="157" t="e">
        <f t="shared" si="62"/>
        <v>#DIV/0!</v>
      </c>
      <c r="CX97" s="157" t="e">
        <f t="shared" si="63"/>
        <v>#DIV/0!</v>
      </c>
      <c r="CY97" s="157" t="e">
        <f t="shared" si="64"/>
        <v>#DIV/0!</v>
      </c>
      <c r="CZ97" s="157" t="e">
        <f t="shared" si="65"/>
        <v>#DIV/0!</v>
      </c>
      <c r="DA97" s="157" t="e">
        <f t="shared" si="66"/>
        <v>#DIV/0!</v>
      </c>
      <c r="DB97" s="158" t="e">
        <f t="shared" si="67"/>
        <v>#DIV/0!</v>
      </c>
      <c r="DC97" s="131"/>
      <c r="DD97" s="159">
        <f t="shared" si="68"/>
        <v>0</v>
      </c>
      <c r="DE97" s="160">
        <f t="shared" si="69"/>
        <v>0</v>
      </c>
      <c r="DF97" s="161">
        <f t="shared" si="70"/>
        <v>0</v>
      </c>
      <c r="DG97" s="162" t="e">
        <f t="shared" si="71"/>
        <v>#DIV/0!</v>
      </c>
      <c r="DH97" s="163">
        <f t="shared" si="72"/>
        <v>0</v>
      </c>
      <c r="DI97" s="164"/>
      <c r="DJ97" s="165">
        <f t="shared" si="55"/>
        <v>0</v>
      </c>
      <c r="DK97" s="166">
        <f t="shared" si="55"/>
        <v>0</v>
      </c>
      <c r="DL97" s="167" t="e">
        <f t="shared" si="73"/>
        <v>#DIV/0!</v>
      </c>
      <c r="DM97" s="168" t="e">
        <f t="shared" si="74"/>
        <v>#DIV/0!</v>
      </c>
      <c r="DN97" s="163" t="e">
        <f t="shared" si="75"/>
        <v>#DIV/0!</v>
      </c>
      <c r="DO97" s="169"/>
      <c r="DP97" s="170"/>
      <c r="DQ97" s="171"/>
      <c r="DR97" s="172">
        <f t="shared" si="76"/>
        <v>0</v>
      </c>
      <c r="DS97" s="173" t="e">
        <f t="shared" si="77"/>
        <v>#DIV/0!</v>
      </c>
      <c r="DT97" s="163" t="e">
        <f t="shared" si="78"/>
        <v>#DIV/0!</v>
      </c>
      <c r="DU97" s="174"/>
      <c r="DV97" s="175" t="e">
        <f t="shared" si="79"/>
        <v>#DIV/0!</v>
      </c>
      <c r="DW97" s="163">
        <f t="shared" si="80"/>
        <v>0</v>
      </c>
      <c r="DX97" s="164"/>
      <c r="DY97" s="176">
        <f t="shared" si="81"/>
        <v>0</v>
      </c>
      <c r="DZ97" s="177">
        <f t="shared" si="82"/>
        <v>0</v>
      </c>
      <c r="EA97" s="178">
        <f t="shared" si="83"/>
        <v>0</v>
      </c>
      <c r="EB97" s="179">
        <f t="shared" si="84"/>
        <v>0</v>
      </c>
      <c r="EC97" s="180"/>
      <c r="ED97" s="175" t="e">
        <f t="shared" si="85"/>
        <v>#DIV/0!</v>
      </c>
      <c r="EE97" s="163">
        <f t="shared" si="86"/>
        <v>0</v>
      </c>
      <c r="EF97" s="164"/>
      <c r="EG97" s="181">
        <f t="shared" si="87"/>
        <v>0</v>
      </c>
      <c r="EH97" s="182">
        <f t="shared" si="88"/>
        <v>0</v>
      </c>
      <c r="EI97" s="182">
        <f t="shared" si="89"/>
        <v>0</v>
      </c>
      <c r="EJ97" s="182">
        <f t="shared" si="90"/>
        <v>0</v>
      </c>
      <c r="EK97" s="183">
        <f t="shared" si="91"/>
        <v>0</v>
      </c>
      <c r="EL97" s="184" t="e">
        <f t="shared" si="92"/>
        <v>#DIV/0!</v>
      </c>
      <c r="EM97" s="185">
        <f t="shared" si="93"/>
        <v>0</v>
      </c>
      <c r="EN97" s="164"/>
      <c r="EO97" s="181">
        <f t="shared" si="94"/>
        <v>0</v>
      </c>
      <c r="EP97" s="183">
        <f t="shared" si="95"/>
        <v>0</v>
      </c>
      <c r="EQ97" s="184" t="e">
        <f t="shared" si="96"/>
        <v>#DIV/0!</v>
      </c>
      <c r="ER97" s="185">
        <f t="shared" si="97"/>
        <v>0</v>
      </c>
      <c r="ES97" s="164"/>
      <c r="ET97" s="164"/>
      <c r="EU97" s="186">
        <f t="shared" si="98"/>
        <v>0</v>
      </c>
      <c r="EV97" s="186">
        <f t="shared" si="99"/>
        <v>0</v>
      </c>
      <c r="EW97" s="186">
        <f t="shared" si="100"/>
        <v>0</v>
      </c>
      <c r="EX97" s="186">
        <f t="shared" si="101"/>
        <v>0</v>
      </c>
      <c r="EY97" s="131"/>
      <c r="EZ97" s="187">
        <f t="shared" si="102"/>
        <v>0</v>
      </c>
      <c r="FA97" s="188" t="e">
        <f t="shared" si="103"/>
        <v>#DIV/0!</v>
      </c>
      <c r="FB97" s="189"/>
      <c r="FC97" s="131"/>
      <c r="FD97" s="131"/>
      <c r="FE97" s="131"/>
      <c r="FF97" s="131"/>
      <c r="FG97" s="131"/>
    </row>
    <row r="98" spans="1:164" s="169" customFormat="1" ht="16" hidden="1" outlineLevel="1" thickBot="1" x14ac:dyDescent="0.4">
      <c r="B98" s="356">
        <v>44863</v>
      </c>
      <c r="C98" s="353"/>
      <c r="D98" s="133"/>
      <c r="E98" s="134"/>
      <c r="F98" s="135"/>
      <c r="G98" s="136"/>
      <c r="H98" s="137"/>
      <c r="I98" s="138">
        <f t="shared" si="56"/>
        <v>0</v>
      </c>
      <c r="J98" s="139"/>
      <c r="K98" s="140">
        <f>E98*60</f>
        <v>0</v>
      </c>
      <c r="L98" s="141"/>
      <c r="M98" s="142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2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4"/>
      <c r="AN98" s="145">
        <f t="shared" si="58"/>
        <v>0</v>
      </c>
      <c r="AO98" s="146"/>
      <c r="AP98" s="147">
        <f t="shared" si="59"/>
        <v>0</v>
      </c>
      <c r="AQ98" s="148"/>
      <c r="AR98" s="149"/>
      <c r="AS98" s="149"/>
      <c r="AT98" s="135"/>
      <c r="AU98" s="150"/>
      <c r="AV98" s="151"/>
      <c r="AW98" s="151"/>
      <c r="AX98" s="151"/>
      <c r="AY98" s="151"/>
      <c r="AZ98" s="151"/>
      <c r="BA98" s="151"/>
      <c r="BB98" s="151"/>
      <c r="BC98" s="151"/>
      <c r="BD98" s="151"/>
      <c r="BE98" s="151"/>
      <c r="BF98" s="152"/>
      <c r="BG98" s="152"/>
      <c r="BH98" s="152"/>
      <c r="BI98" s="152"/>
      <c r="BJ98" s="152"/>
      <c r="BK98" s="152"/>
      <c r="BL98" s="152"/>
      <c r="BM98" s="152"/>
      <c r="BN98" s="152"/>
      <c r="BO98" s="152"/>
      <c r="BP98" s="152"/>
      <c r="BQ98" s="152"/>
      <c r="BR98" s="150"/>
      <c r="BS98" s="151"/>
      <c r="BT98" s="151"/>
      <c r="BU98" s="151"/>
      <c r="BV98" s="151"/>
      <c r="BW98" s="151"/>
      <c r="BX98" s="151"/>
      <c r="BY98" s="151"/>
      <c r="BZ98" s="151"/>
      <c r="CA98" s="151"/>
      <c r="CB98" s="151"/>
      <c r="CC98" s="154"/>
      <c r="CD98" s="150"/>
      <c r="CE98" s="142"/>
      <c r="CF98" s="143"/>
      <c r="CG98" s="143"/>
      <c r="CH98" s="143"/>
      <c r="CI98" s="143"/>
      <c r="CJ98" s="143"/>
      <c r="CK98" s="143"/>
      <c r="CL98" s="143"/>
      <c r="CM98" s="143"/>
      <c r="CN98" s="144"/>
      <c r="CO98" s="151"/>
      <c r="CP98" s="151"/>
      <c r="CQ98" s="152"/>
      <c r="CR98" s="154"/>
      <c r="CS98" s="155">
        <f t="shared" si="60"/>
        <v>0</v>
      </c>
      <c r="CT98" s="146"/>
      <c r="CU98" s="147">
        <f t="shared" si="61"/>
        <v>0</v>
      </c>
      <c r="CV98" s="156"/>
      <c r="CW98" s="157" t="e">
        <f t="shared" si="62"/>
        <v>#DIV/0!</v>
      </c>
      <c r="CX98" s="157" t="e">
        <f t="shared" si="63"/>
        <v>#DIV/0!</v>
      </c>
      <c r="CY98" s="157" t="e">
        <f t="shared" si="64"/>
        <v>#DIV/0!</v>
      </c>
      <c r="CZ98" s="157" t="e">
        <f t="shared" si="65"/>
        <v>#DIV/0!</v>
      </c>
      <c r="DA98" s="157" t="e">
        <f t="shared" si="66"/>
        <v>#DIV/0!</v>
      </c>
      <c r="DB98" s="158" t="e">
        <f t="shared" si="67"/>
        <v>#DIV/0!</v>
      </c>
      <c r="DC98" s="131"/>
      <c r="DD98" s="159">
        <f t="shared" si="68"/>
        <v>0</v>
      </c>
      <c r="DE98" s="160">
        <f t="shared" si="69"/>
        <v>0</v>
      </c>
      <c r="DF98" s="161">
        <f t="shared" si="70"/>
        <v>0</v>
      </c>
      <c r="DG98" s="162" t="e">
        <f t="shared" si="71"/>
        <v>#DIV/0!</v>
      </c>
      <c r="DH98" s="163">
        <f t="shared" si="72"/>
        <v>0</v>
      </c>
      <c r="DI98" s="164"/>
      <c r="DJ98" s="165">
        <f t="shared" si="55"/>
        <v>0</v>
      </c>
      <c r="DK98" s="166">
        <f t="shared" si="55"/>
        <v>0</v>
      </c>
      <c r="DL98" s="167" t="e">
        <f t="shared" si="73"/>
        <v>#DIV/0!</v>
      </c>
      <c r="DM98" s="168" t="e">
        <f t="shared" si="74"/>
        <v>#DIV/0!</v>
      </c>
      <c r="DN98" s="163" t="e">
        <f t="shared" si="75"/>
        <v>#DIV/0!</v>
      </c>
      <c r="DP98" s="170"/>
      <c r="DQ98" s="171"/>
      <c r="DR98" s="172">
        <f t="shared" si="76"/>
        <v>0</v>
      </c>
      <c r="DS98" s="173" t="e">
        <f t="shared" si="77"/>
        <v>#DIV/0!</v>
      </c>
      <c r="DT98" s="163" t="e">
        <f t="shared" si="78"/>
        <v>#DIV/0!</v>
      </c>
      <c r="DU98" s="174"/>
      <c r="DV98" s="175" t="e">
        <f t="shared" si="79"/>
        <v>#DIV/0!</v>
      </c>
      <c r="DW98" s="163">
        <f t="shared" si="80"/>
        <v>0</v>
      </c>
      <c r="DX98" s="164"/>
      <c r="DY98" s="176">
        <f t="shared" si="81"/>
        <v>0</v>
      </c>
      <c r="DZ98" s="177">
        <f t="shared" si="82"/>
        <v>0</v>
      </c>
      <c r="EA98" s="178">
        <f t="shared" si="83"/>
        <v>0</v>
      </c>
      <c r="EB98" s="179">
        <f t="shared" si="84"/>
        <v>0</v>
      </c>
      <c r="EC98" s="180"/>
      <c r="ED98" s="175" t="e">
        <f t="shared" si="85"/>
        <v>#DIV/0!</v>
      </c>
      <c r="EE98" s="163">
        <f t="shared" si="86"/>
        <v>0</v>
      </c>
      <c r="EF98" s="164"/>
      <c r="EG98" s="181">
        <f t="shared" si="87"/>
        <v>0</v>
      </c>
      <c r="EH98" s="182">
        <f t="shared" si="88"/>
        <v>0</v>
      </c>
      <c r="EI98" s="182">
        <f t="shared" si="89"/>
        <v>0</v>
      </c>
      <c r="EJ98" s="182">
        <f t="shared" si="90"/>
        <v>0</v>
      </c>
      <c r="EK98" s="183">
        <f t="shared" si="91"/>
        <v>0</v>
      </c>
      <c r="EL98" s="184" t="e">
        <f t="shared" si="92"/>
        <v>#DIV/0!</v>
      </c>
      <c r="EM98" s="185">
        <f t="shared" si="93"/>
        <v>0</v>
      </c>
      <c r="EN98" s="164"/>
      <c r="EO98" s="181">
        <f t="shared" si="94"/>
        <v>0</v>
      </c>
      <c r="EP98" s="183">
        <f t="shared" si="95"/>
        <v>0</v>
      </c>
      <c r="EQ98" s="184" t="e">
        <f t="shared" si="96"/>
        <v>#DIV/0!</v>
      </c>
      <c r="ER98" s="185">
        <f t="shared" si="97"/>
        <v>0</v>
      </c>
      <c r="ES98" s="164"/>
      <c r="ET98" s="164"/>
      <c r="EU98" s="186">
        <f t="shared" si="98"/>
        <v>0</v>
      </c>
      <c r="EV98" s="186">
        <f t="shared" si="99"/>
        <v>0</v>
      </c>
      <c r="EW98" s="186">
        <f t="shared" si="100"/>
        <v>0</v>
      </c>
      <c r="EX98" s="186">
        <f t="shared" si="101"/>
        <v>0</v>
      </c>
      <c r="EY98" s="131"/>
      <c r="EZ98" s="187">
        <f t="shared" si="102"/>
        <v>0</v>
      </c>
      <c r="FA98" s="188" t="e">
        <f t="shared" si="103"/>
        <v>#DIV/0!</v>
      </c>
      <c r="FB98" s="189"/>
      <c r="FC98" s="131"/>
      <c r="FD98" s="131"/>
      <c r="FE98" s="131"/>
      <c r="FF98" s="131"/>
      <c r="FG98" s="131"/>
    </row>
    <row r="99" spans="1:164" s="169" customFormat="1" ht="16" hidden="1" outlineLevel="1" thickBot="1" x14ac:dyDescent="0.4">
      <c r="B99" s="357"/>
      <c r="C99" s="354"/>
      <c r="D99" s="240"/>
      <c r="E99" s="241"/>
      <c r="F99" s="135"/>
      <c r="G99" s="192"/>
      <c r="H99" s="242"/>
      <c r="I99" s="138">
        <f t="shared" si="56"/>
        <v>0</v>
      </c>
      <c r="J99" s="139"/>
      <c r="K99" s="193">
        <f t="shared" si="107"/>
        <v>0</v>
      </c>
      <c r="L99" s="141"/>
      <c r="M99" s="194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4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6"/>
      <c r="AN99" s="197">
        <f t="shared" si="58"/>
        <v>0</v>
      </c>
      <c r="AO99" s="146"/>
      <c r="AP99" s="147">
        <f t="shared" si="59"/>
        <v>0</v>
      </c>
      <c r="AQ99" s="148"/>
      <c r="AR99" s="198"/>
      <c r="AS99" s="198"/>
      <c r="AT99" s="135"/>
      <c r="AU99" s="199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1"/>
      <c r="BG99" s="201"/>
      <c r="BH99" s="201"/>
      <c r="BI99" s="201"/>
      <c r="BJ99" s="201"/>
      <c r="BK99" s="201"/>
      <c r="BL99" s="201"/>
      <c r="BM99" s="201"/>
      <c r="BN99" s="201"/>
      <c r="BO99" s="201"/>
      <c r="BP99" s="201"/>
      <c r="BQ99" s="201"/>
      <c r="BR99" s="199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2"/>
      <c r="CD99" s="199"/>
      <c r="CE99" s="194"/>
      <c r="CF99" s="195"/>
      <c r="CG99" s="195"/>
      <c r="CH99" s="195"/>
      <c r="CI99" s="195"/>
      <c r="CJ99" s="195"/>
      <c r="CK99" s="195"/>
      <c r="CL99" s="195"/>
      <c r="CM99" s="195"/>
      <c r="CN99" s="196"/>
      <c r="CO99" s="200"/>
      <c r="CP99" s="200"/>
      <c r="CQ99" s="201"/>
      <c r="CR99" s="202"/>
      <c r="CS99" s="203">
        <f t="shared" si="60"/>
        <v>0</v>
      </c>
      <c r="CT99" s="146"/>
      <c r="CU99" s="147">
        <f t="shared" si="61"/>
        <v>0</v>
      </c>
      <c r="CV99" s="156"/>
      <c r="CW99" s="157" t="e">
        <f t="shared" si="62"/>
        <v>#DIV/0!</v>
      </c>
      <c r="CX99" s="157" t="e">
        <f t="shared" si="63"/>
        <v>#DIV/0!</v>
      </c>
      <c r="CY99" s="157" t="e">
        <f t="shared" si="64"/>
        <v>#DIV/0!</v>
      </c>
      <c r="CZ99" s="157" t="e">
        <f t="shared" si="65"/>
        <v>#DIV/0!</v>
      </c>
      <c r="DA99" s="157" t="e">
        <f t="shared" si="66"/>
        <v>#DIV/0!</v>
      </c>
      <c r="DB99" s="158" t="e">
        <f t="shared" si="67"/>
        <v>#DIV/0!</v>
      </c>
      <c r="DC99" s="131"/>
      <c r="DD99" s="159">
        <f t="shared" si="68"/>
        <v>0</v>
      </c>
      <c r="DE99" s="160">
        <f t="shared" si="69"/>
        <v>0</v>
      </c>
      <c r="DF99" s="161">
        <f t="shared" si="70"/>
        <v>0</v>
      </c>
      <c r="DG99" s="162" t="e">
        <f t="shared" si="71"/>
        <v>#DIV/0!</v>
      </c>
      <c r="DH99" s="163">
        <f t="shared" si="72"/>
        <v>0</v>
      </c>
      <c r="DI99" s="164"/>
      <c r="DJ99" s="165">
        <f t="shared" si="55"/>
        <v>0</v>
      </c>
      <c r="DK99" s="166">
        <f t="shared" si="55"/>
        <v>0</v>
      </c>
      <c r="DL99" s="167" t="e">
        <f t="shared" si="73"/>
        <v>#DIV/0!</v>
      </c>
      <c r="DM99" s="168" t="e">
        <f t="shared" si="74"/>
        <v>#DIV/0!</v>
      </c>
      <c r="DN99" s="163" t="e">
        <f t="shared" si="75"/>
        <v>#DIV/0!</v>
      </c>
      <c r="DP99" s="170"/>
      <c r="DQ99" s="171"/>
      <c r="DR99" s="172">
        <f t="shared" si="76"/>
        <v>0</v>
      </c>
      <c r="DS99" s="173" t="e">
        <f t="shared" si="77"/>
        <v>#DIV/0!</v>
      </c>
      <c r="DT99" s="163" t="e">
        <f t="shared" si="78"/>
        <v>#DIV/0!</v>
      </c>
      <c r="DU99" s="174"/>
      <c r="DV99" s="175" t="e">
        <f t="shared" si="79"/>
        <v>#DIV/0!</v>
      </c>
      <c r="DW99" s="163">
        <f t="shared" si="80"/>
        <v>0</v>
      </c>
      <c r="DX99" s="164"/>
      <c r="DY99" s="176">
        <f t="shared" si="81"/>
        <v>0</v>
      </c>
      <c r="DZ99" s="177">
        <f t="shared" si="82"/>
        <v>0</v>
      </c>
      <c r="EA99" s="178">
        <f t="shared" si="83"/>
        <v>0</v>
      </c>
      <c r="EB99" s="179">
        <f t="shared" si="84"/>
        <v>0</v>
      </c>
      <c r="EC99" s="180"/>
      <c r="ED99" s="175" t="e">
        <f t="shared" si="85"/>
        <v>#DIV/0!</v>
      </c>
      <c r="EE99" s="163">
        <f t="shared" si="86"/>
        <v>0</v>
      </c>
      <c r="EF99" s="164"/>
      <c r="EG99" s="181">
        <f t="shared" si="87"/>
        <v>0</v>
      </c>
      <c r="EH99" s="182">
        <f t="shared" si="88"/>
        <v>0</v>
      </c>
      <c r="EI99" s="182">
        <f t="shared" si="89"/>
        <v>0</v>
      </c>
      <c r="EJ99" s="182">
        <f t="shared" si="90"/>
        <v>0</v>
      </c>
      <c r="EK99" s="183">
        <f t="shared" si="91"/>
        <v>0</v>
      </c>
      <c r="EL99" s="184" t="e">
        <f t="shared" si="92"/>
        <v>#DIV/0!</v>
      </c>
      <c r="EM99" s="185">
        <f t="shared" si="93"/>
        <v>0</v>
      </c>
      <c r="EN99" s="164"/>
      <c r="EO99" s="181">
        <f t="shared" si="94"/>
        <v>0</v>
      </c>
      <c r="EP99" s="183">
        <f t="shared" si="95"/>
        <v>0</v>
      </c>
      <c r="EQ99" s="184" t="e">
        <f t="shared" si="96"/>
        <v>#DIV/0!</v>
      </c>
      <c r="ER99" s="185">
        <f t="shared" si="97"/>
        <v>0</v>
      </c>
      <c r="ES99" s="164"/>
      <c r="ET99" s="164"/>
      <c r="EU99" s="186">
        <f t="shared" si="98"/>
        <v>0</v>
      </c>
      <c r="EV99" s="186">
        <f t="shared" si="99"/>
        <v>0</v>
      </c>
      <c r="EW99" s="186">
        <f t="shared" si="100"/>
        <v>0</v>
      </c>
      <c r="EX99" s="186">
        <f t="shared" si="101"/>
        <v>0</v>
      </c>
      <c r="EY99" s="131"/>
      <c r="EZ99" s="187">
        <f t="shared" si="102"/>
        <v>0</v>
      </c>
      <c r="FA99" s="188" t="e">
        <f t="shared" si="103"/>
        <v>#DIV/0!</v>
      </c>
      <c r="FB99" s="189"/>
      <c r="FC99" s="131"/>
      <c r="FD99" s="131"/>
      <c r="FE99" s="131"/>
      <c r="FF99" s="131"/>
      <c r="FG99" s="131"/>
    </row>
    <row r="100" spans="1:164" s="169" customFormat="1" ht="16" hidden="1" outlineLevel="1" thickBot="1" x14ac:dyDescent="0.4">
      <c r="B100" s="358"/>
      <c r="C100" s="355"/>
      <c r="D100" s="243"/>
      <c r="E100" s="244"/>
      <c r="F100" s="135"/>
      <c r="G100" s="192"/>
      <c r="H100" s="245"/>
      <c r="I100" s="138">
        <f t="shared" si="56"/>
        <v>0</v>
      </c>
      <c r="J100" s="139"/>
      <c r="K100" s="208">
        <f t="shared" si="107"/>
        <v>0</v>
      </c>
      <c r="L100" s="141"/>
      <c r="M100" s="209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09"/>
      <c r="AB100" s="210"/>
      <c r="AC100" s="210"/>
      <c r="AD100" s="210"/>
      <c r="AE100" s="210"/>
      <c r="AF100" s="210"/>
      <c r="AG100" s="210"/>
      <c r="AH100" s="210"/>
      <c r="AI100" s="210"/>
      <c r="AJ100" s="210"/>
      <c r="AK100" s="210"/>
      <c r="AL100" s="210"/>
      <c r="AM100" s="211"/>
      <c r="AN100" s="212">
        <f t="shared" si="58"/>
        <v>0</v>
      </c>
      <c r="AO100" s="146"/>
      <c r="AP100" s="147">
        <f t="shared" si="59"/>
        <v>0</v>
      </c>
      <c r="AQ100" s="148"/>
      <c r="AR100" s="213"/>
      <c r="AS100" s="213"/>
      <c r="AT100" s="135"/>
      <c r="AU100" s="214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6"/>
      <c r="BG100" s="216"/>
      <c r="BH100" s="216"/>
      <c r="BI100" s="216"/>
      <c r="BJ100" s="216"/>
      <c r="BK100" s="216"/>
      <c r="BL100" s="216"/>
      <c r="BM100" s="216"/>
      <c r="BN100" s="216"/>
      <c r="BO100" s="216"/>
      <c r="BP100" s="216"/>
      <c r="BQ100" s="216"/>
      <c r="BR100" s="214"/>
      <c r="BS100" s="215"/>
      <c r="BT100" s="215"/>
      <c r="BU100" s="215"/>
      <c r="BV100" s="215"/>
      <c r="BW100" s="215"/>
      <c r="BX100" s="215"/>
      <c r="BY100" s="215"/>
      <c r="BZ100" s="215"/>
      <c r="CA100" s="215"/>
      <c r="CB100" s="215"/>
      <c r="CC100" s="217"/>
      <c r="CD100" s="214"/>
      <c r="CE100" s="209"/>
      <c r="CF100" s="210"/>
      <c r="CG100" s="210"/>
      <c r="CH100" s="210"/>
      <c r="CI100" s="210"/>
      <c r="CJ100" s="210"/>
      <c r="CK100" s="210"/>
      <c r="CL100" s="210"/>
      <c r="CM100" s="210"/>
      <c r="CN100" s="211"/>
      <c r="CO100" s="215"/>
      <c r="CP100" s="215"/>
      <c r="CQ100" s="216"/>
      <c r="CR100" s="217"/>
      <c r="CS100" s="218">
        <f t="shared" si="60"/>
        <v>0</v>
      </c>
      <c r="CT100" s="146"/>
      <c r="CU100" s="147">
        <f t="shared" si="61"/>
        <v>0</v>
      </c>
      <c r="CV100" s="156"/>
      <c r="CW100" s="157" t="e">
        <f t="shared" si="62"/>
        <v>#DIV/0!</v>
      </c>
      <c r="CX100" s="157" t="e">
        <f t="shared" si="63"/>
        <v>#DIV/0!</v>
      </c>
      <c r="CY100" s="157" t="e">
        <f t="shared" si="64"/>
        <v>#DIV/0!</v>
      </c>
      <c r="CZ100" s="157" t="e">
        <f t="shared" si="65"/>
        <v>#DIV/0!</v>
      </c>
      <c r="DA100" s="157" t="e">
        <f t="shared" si="66"/>
        <v>#DIV/0!</v>
      </c>
      <c r="DB100" s="158" t="e">
        <f t="shared" si="67"/>
        <v>#DIV/0!</v>
      </c>
      <c r="DC100" s="131"/>
      <c r="DD100" s="159">
        <f t="shared" si="68"/>
        <v>0</v>
      </c>
      <c r="DE100" s="160">
        <f t="shared" si="69"/>
        <v>0</v>
      </c>
      <c r="DF100" s="161">
        <f t="shared" si="70"/>
        <v>0</v>
      </c>
      <c r="DG100" s="162" t="e">
        <f t="shared" si="71"/>
        <v>#DIV/0!</v>
      </c>
      <c r="DH100" s="163">
        <f t="shared" si="72"/>
        <v>0</v>
      </c>
      <c r="DI100" s="164"/>
      <c r="DJ100" s="165">
        <f t="shared" si="55"/>
        <v>0</v>
      </c>
      <c r="DK100" s="166">
        <f t="shared" si="55"/>
        <v>0</v>
      </c>
      <c r="DL100" s="167" t="e">
        <f t="shared" si="73"/>
        <v>#DIV/0!</v>
      </c>
      <c r="DM100" s="168" t="e">
        <f t="shared" si="74"/>
        <v>#DIV/0!</v>
      </c>
      <c r="DN100" s="163" t="e">
        <f t="shared" si="75"/>
        <v>#DIV/0!</v>
      </c>
      <c r="DP100" s="170"/>
      <c r="DQ100" s="171"/>
      <c r="DR100" s="172">
        <f t="shared" si="76"/>
        <v>0</v>
      </c>
      <c r="DS100" s="173" t="e">
        <f t="shared" si="77"/>
        <v>#DIV/0!</v>
      </c>
      <c r="DT100" s="163" t="e">
        <f t="shared" si="78"/>
        <v>#DIV/0!</v>
      </c>
      <c r="DU100" s="174"/>
      <c r="DV100" s="175" t="e">
        <f t="shared" si="79"/>
        <v>#DIV/0!</v>
      </c>
      <c r="DW100" s="163">
        <f t="shared" si="80"/>
        <v>0</v>
      </c>
      <c r="DX100" s="164"/>
      <c r="DY100" s="176">
        <f t="shared" si="81"/>
        <v>0</v>
      </c>
      <c r="DZ100" s="177">
        <f t="shared" si="82"/>
        <v>0</v>
      </c>
      <c r="EA100" s="178">
        <f t="shared" si="83"/>
        <v>0</v>
      </c>
      <c r="EB100" s="179">
        <f t="shared" si="84"/>
        <v>0</v>
      </c>
      <c r="EC100" s="180"/>
      <c r="ED100" s="175" t="e">
        <f t="shared" si="85"/>
        <v>#DIV/0!</v>
      </c>
      <c r="EE100" s="163">
        <f t="shared" si="86"/>
        <v>0</v>
      </c>
      <c r="EF100" s="164"/>
      <c r="EG100" s="181">
        <f t="shared" si="87"/>
        <v>0</v>
      </c>
      <c r="EH100" s="182">
        <f t="shared" si="88"/>
        <v>0</v>
      </c>
      <c r="EI100" s="182">
        <f t="shared" si="89"/>
        <v>0</v>
      </c>
      <c r="EJ100" s="182">
        <f t="shared" si="90"/>
        <v>0</v>
      </c>
      <c r="EK100" s="183">
        <f t="shared" si="91"/>
        <v>0</v>
      </c>
      <c r="EL100" s="184" t="e">
        <f t="shared" si="92"/>
        <v>#DIV/0!</v>
      </c>
      <c r="EM100" s="185">
        <f t="shared" si="93"/>
        <v>0</v>
      </c>
      <c r="EN100" s="164"/>
      <c r="EO100" s="181">
        <f t="shared" si="94"/>
        <v>0</v>
      </c>
      <c r="EP100" s="183">
        <f t="shared" si="95"/>
        <v>0</v>
      </c>
      <c r="EQ100" s="184" t="e">
        <f t="shared" si="96"/>
        <v>#DIV/0!</v>
      </c>
      <c r="ER100" s="185">
        <f t="shared" si="97"/>
        <v>0</v>
      </c>
      <c r="ES100" s="164"/>
      <c r="ET100" s="164"/>
      <c r="EU100" s="186">
        <f t="shared" si="98"/>
        <v>0</v>
      </c>
      <c r="EV100" s="186">
        <f t="shared" si="99"/>
        <v>0</v>
      </c>
      <c r="EW100" s="186">
        <f t="shared" si="100"/>
        <v>0</v>
      </c>
      <c r="EX100" s="186">
        <f t="shared" si="101"/>
        <v>0</v>
      </c>
      <c r="EY100" s="131"/>
      <c r="EZ100" s="187">
        <f t="shared" si="102"/>
        <v>0</v>
      </c>
      <c r="FA100" s="188" t="e">
        <f t="shared" si="103"/>
        <v>#DIV/0!</v>
      </c>
      <c r="FB100" s="189"/>
      <c r="FC100" s="131"/>
      <c r="FD100" s="131"/>
      <c r="FE100" s="131"/>
      <c r="FF100" s="131"/>
      <c r="FG100" s="131"/>
    </row>
    <row r="101" spans="1:164" s="169" customFormat="1" ht="16" hidden="1" outlineLevel="1" thickBot="1" x14ac:dyDescent="0.4">
      <c r="B101" s="356">
        <v>44864</v>
      </c>
      <c r="C101" s="353"/>
      <c r="D101" s="133"/>
      <c r="E101" s="134"/>
      <c r="F101" s="135"/>
      <c r="G101" s="136"/>
      <c r="H101" s="137"/>
      <c r="I101" s="138">
        <f t="shared" si="56"/>
        <v>0</v>
      </c>
      <c r="J101" s="139"/>
      <c r="K101" s="140">
        <f>E101*60</f>
        <v>0</v>
      </c>
      <c r="L101" s="141"/>
      <c r="M101" s="142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2"/>
      <c r="AB101" s="143"/>
      <c r="AC101" s="143"/>
      <c r="AD101" s="143"/>
      <c r="AE101" s="143"/>
      <c r="AF101" s="143"/>
      <c r="AG101" s="143"/>
      <c r="AH101" s="143"/>
      <c r="AI101" s="143"/>
      <c r="AJ101" s="143"/>
      <c r="AK101" s="143"/>
      <c r="AL101" s="143"/>
      <c r="AM101" s="144"/>
      <c r="AN101" s="145">
        <f t="shared" si="58"/>
        <v>0</v>
      </c>
      <c r="AO101" s="146"/>
      <c r="AP101" s="147">
        <f t="shared" si="59"/>
        <v>0</v>
      </c>
      <c r="AQ101" s="148"/>
      <c r="AR101" s="149"/>
      <c r="AS101" s="149"/>
      <c r="AT101" s="135"/>
      <c r="AU101" s="150"/>
      <c r="AV101" s="151"/>
      <c r="AW101" s="151"/>
      <c r="AX101" s="151"/>
      <c r="AY101" s="151"/>
      <c r="AZ101" s="151"/>
      <c r="BA101" s="151"/>
      <c r="BB101" s="151"/>
      <c r="BC101" s="151"/>
      <c r="BD101" s="151"/>
      <c r="BE101" s="151"/>
      <c r="BF101" s="152"/>
      <c r="BG101" s="152"/>
      <c r="BH101" s="152"/>
      <c r="BI101" s="152"/>
      <c r="BJ101" s="152"/>
      <c r="BK101" s="152"/>
      <c r="BL101" s="152"/>
      <c r="BM101" s="152"/>
      <c r="BN101" s="152"/>
      <c r="BO101" s="152"/>
      <c r="BP101" s="152"/>
      <c r="BQ101" s="152"/>
      <c r="BR101" s="150"/>
      <c r="BS101" s="151"/>
      <c r="BT101" s="151"/>
      <c r="BU101" s="151"/>
      <c r="BV101" s="151"/>
      <c r="BW101" s="151"/>
      <c r="BX101" s="151"/>
      <c r="BY101" s="151"/>
      <c r="BZ101" s="151"/>
      <c r="CA101" s="151"/>
      <c r="CB101" s="151"/>
      <c r="CC101" s="154"/>
      <c r="CD101" s="150"/>
      <c r="CE101" s="142"/>
      <c r="CF101" s="143"/>
      <c r="CG101" s="143"/>
      <c r="CH101" s="143"/>
      <c r="CI101" s="143"/>
      <c r="CJ101" s="143"/>
      <c r="CK101" s="143"/>
      <c r="CL101" s="143"/>
      <c r="CM101" s="143"/>
      <c r="CN101" s="144"/>
      <c r="CO101" s="151"/>
      <c r="CP101" s="151"/>
      <c r="CQ101" s="152"/>
      <c r="CR101" s="154"/>
      <c r="CS101" s="155">
        <f t="shared" ref="CS101:CS106" si="113">SUM(AU101:CR101)</f>
        <v>0</v>
      </c>
      <c r="CT101" s="146"/>
      <c r="CU101" s="147">
        <f t="shared" si="61"/>
        <v>0</v>
      </c>
      <c r="CV101" s="156"/>
      <c r="CW101" s="157" t="e">
        <f t="shared" si="62"/>
        <v>#DIV/0!</v>
      </c>
      <c r="CX101" s="157" t="e">
        <f t="shared" si="63"/>
        <v>#DIV/0!</v>
      </c>
      <c r="CY101" s="157" t="e">
        <f t="shared" ref="CY101:CY106" si="114">(SUM(AU101:BQ101))/$K101</f>
        <v>#DIV/0!</v>
      </c>
      <c r="CZ101" s="157" t="e">
        <f t="shared" si="65"/>
        <v>#DIV/0!</v>
      </c>
      <c r="DA101" s="157" t="e">
        <f t="shared" si="66"/>
        <v>#DIV/0!</v>
      </c>
      <c r="DB101" s="158" t="e">
        <f t="shared" si="67"/>
        <v>#DIV/0!</v>
      </c>
      <c r="DC101" s="131"/>
      <c r="DD101" s="159">
        <f t="shared" si="68"/>
        <v>0</v>
      </c>
      <c r="DE101" s="160">
        <f t="shared" si="69"/>
        <v>0</v>
      </c>
      <c r="DF101" s="161">
        <f t="shared" si="70"/>
        <v>0</v>
      </c>
      <c r="DG101" s="162" t="e">
        <f t="shared" si="71"/>
        <v>#DIV/0!</v>
      </c>
      <c r="DH101" s="163">
        <f t="shared" si="72"/>
        <v>0</v>
      </c>
      <c r="DI101" s="164"/>
      <c r="DJ101" s="165">
        <f t="shared" si="55"/>
        <v>0</v>
      </c>
      <c r="DK101" s="166">
        <f t="shared" si="55"/>
        <v>0</v>
      </c>
      <c r="DL101" s="167" t="e">
        <f t="shared" si="73"/>
        <v>#DIV/0!</v>
      </c>
      <c r="DM101" s="168" t="e">
        <f t="shared" si="74"/>
        <v>#DIV/0!</v>
      </c>
      <c r="DN101" s="163" t="e">
        <f t="shared" si="75"/>
        <v>#DIV/0!</v>
      </c>
      <c r="DP101" s="170"/>
      <c r="DQ101" s="171"/>
      <c r="DR101" s="172">
        <f t="shared" si="76"/>
        <v>0</v>
      </c>
      <c r="DS101" s="173" t="e">
        <f t="shared" si="77"/>
        <v>#DIV/0!</v>
      </c>
      <c r="DT101" s="163" t="e">
        <f t="shared" si="78"/>
        <v>#DIV/0!</v>
      </c>
      <c r="DU101" s="174"/>
      <c r="DV101" s="175" t="e">
        <f t="shared" si="79"/>
        <v>#DIV/0!</v>
      </c>
      <c r="DW101" s="163">
        <f t="shared" si="80"/>
        <v>0</v>
      </c>
      <c r="DX101" s="164"/>
      <c r="DY101" s="176">
        <f t="shared" si="81"/>
        <v>0</v>
      </c>
      <c r="DZ101" s="177">
        <f t="shared" si="82"/>
        <v>0</v>
      </c>
      <c r="EA101" s="178">
        <f t="shared" si="83"/>
        <v>0</v>
      </c>
      <c r="EB101" s="179">
        <f t="shared" si="84"/>
        <v>0</v>
      </c>
      <c r="EC101" s="180"/>
      <c r="ED101" s="175" t="e">
        <f t="shared" si="85"/>
        <v>#DIV/0!</v>
      </c>
      <c r="EE101" s="163">
        <f t="shared" si="86"/>
        <v>0</v>
      </c>
      <c r="EF101" s="164"/>
      <c r="EG101" s="181">
        <f t="shared" si="87"/>
        <v>0</v>
      </c>
      <c r="EH101" s="182">
        <f t="shared" si="88"/>
        <v>0</v>
      </c>
      <c r="EI101" s="182">
        <f t="shared" si="89"/>
        <v>0</v>
      </c>
      <c r="EJ101" s="182">
        <f t="shared" si="90"/>
        <v>0</v>
      </c>
      <c r="EK101" s="183">
        <f t="shared" si="91"/>
        <v>0</v>
      </c>
      <c r="EL101" s="184" t="e">
        <f t="shared" si="92"/>
        <v>#DIV/0!</v>
      </c>
      <c r="EM101" s="185">
        <f t="shared" si="93"/>
        <v>0</v>
      </c>
      <c r="EN101" s="164"/>
      <c r="EO101" s="181">
        <f t="shared" si="94"/>
        <v>0</v>
      </c>
      <c r="EP101" s="183">
        <f t="shared" si="95"/>
        <v>0</v>
      </c>
      <c r="EQ101" s="184" t="e">
        <f t="shared" si="96"/>
        <v>#DIV/0!</v>
      </c>
      <c r="ER101" s="185">
        <f t="shared" si="97"/>
        <v>0</v>
      </c>
      <c r="ES101" s="164"/>
      <c r="ET101" s="164"/>
      <c r="EU101" s="186">
        <f t="shared" si="98"/>
        <v>0</v>
      </c>
      <c r="EV101" s="186">
        <f t="shared" si="99"/>
        <v>0</v>
      </c>
      <c r="EW101" s="186">
        <f t="shared" si="100"/>
        <v>0</v>
      </c>
      <c r="EX101" s="186">
        <f t="shared" si="101"/>
        <v>0</v>
      </c>
      <c r="EY101" s="131"/>
      <c r="EZ101" s="187">
        <f t="shared" si="102"/>
        <v>0</v>
      </c>
      <c r="FA101" s="188" t="e">
        <f t="shared" si="103"/>
        <v>#DIV/0!</v>
      </c>
      <c r="FB101" s="189"/>
      <c r="FC101" s="131"/>
      <c r="FD101" s="131"/>
      <c r="FE101" s="131"/>
      <c r="FF101" s="131"/>
      <c r="FG101" s="131"/>
    </row>
    <row r="102" spans="1:164" s="169" customFormat="1" ht="16" hidden="1" outlineLevel="1" thickBot="1" x14ac:dyDescent="0.4">
      <c r="B102" s="357"/>
      <c r="C102" s="354"/>
      <c r="D102" s="240"/>
      <c r="E102" s="241"/>
      <c r="F102" s="135"/>
      <c r="G102" s="192"/>
      <c r="H102" s="242"/>
      <c r="I102" s="138">
        <f t="shared" si="56"/>
        <v>0</v>
      </c>
      <c r="J102" s="139"/>
      <c r="K102" s="193">
        <f t="shared" si="107"/>
        <v>0</v>
      </c>
      <c r="L102" s="141"/>
      <c r="M102" s="194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4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6"/>
      <c r="AN102" s="197">
        <f t="shared" si="58"/>
        <v>0</v>
      </c>
      <c r="AO102" s="146"/>
      <c r="AP102" s="147">
        <f t="shared" si="59"/>
        <v>0</v>
      </c>
      <c r="AQ102" s="148"/>
      <c r="AR102" s="198"/>
      <c r="AS102" s="198"/>
      <c r="AT102" s="135"/>
      <c r="AU102" s="199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1"/>
      <c r="BG102" s="201"/>
      <c r="BH102" s="201"/>
      <c r="BI102" s="201"/>
      <c r="BJ102" s="201"/>
      <c r="BK102" s="201"/>
      <c r="BL102" s="201"/>
      <c r="BM102" s="201"/>
      <c r="BN102" s="201"/>
      <c r="BO102" s="201"/>
      <c r="BP102" s="201"/>
      <c r="BQ102" s="201"/>
      <c r="BR102" s="199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2"/>
      <c r="CD102" s="199"/>
      <c r="CE102" s="194"/>
      <c r="CF102" s="195"/>
      <c r="CG102" s="195"/>
      <c r="CH102" s="195"/>
      <c r="CI102" s="195"/>
      <c r="CJ102" s="195"/>
      <c r="CK102" s="195"/>
      <c r="CL102" s="195"/>
      <c r="CM102" s="195"/>
      <c r="CN102" s="196"/>
      <c r="CO102" s="200"/>
      <c r="CP102" s="200"/>
      <c r="CQ102" s="201"/>
      <c r="CR102" s="202"/>
      <c r="CS102" s="203">
        <f t="shared" si="113"/>
        <v>0</v>
      </c>
      <c r="CT102" s="146"/>
      <c r="CU102" s="147">
        <f t="shared" si="61"/>
        <v>0</v>
      </c>
      <c r="CV102" s="156"/>
      <c r="CW102" s="157" t="e">
        <f t="shared" si="62"/>
        <v>#DIV/0!</v>
      </c>
      <c r="CX102" s="157" t="e">
        <f t="shared" si="63"/>
        <v>#DIV/0!</v>
      </c>
      <c r="CY102" s="157" t="e">
        <f t="shared" si="114"/>
        <v>#DIV/0!</v>
      </c>
      <c r="CZ102" s="157" t="e">
        <f t="shared" si="65"/>
        <v>#DIV/0!</v>
      </c>
      <c r="DA102" s="157" t="e">
        <f t="shared" si="66"/>
        <v>#DIV/0!</v>
      </c>
      <c r="DB102" s="158" t="e">
        <f t="shared" si="67"/>
        <v>#DIV/0!</v>
      </c>
      <c r="DC102" s="131"/>
      <c r="DD102" s="159">
        <f t="shared" si="68"/>
        <v>0</v>
      </c>
      <c r="DE102" s="160">
        <f t="shared" si="69"/>
        <v>0</v>
      </c>
      <c r="DF102" s="161">
        <f t="shared" si="70"/>
        <v>0</v>
      </c>
      <c r="DG102" s="162" t="e">
        <f t="shared" si="71"/>
        <v>#DIV/0!</v>
      </c>
      <c r="DH102" s="163">
        <f t="shared" si="72"/>
        <v>0</v>
      </c>
      <c r="DI102" s="164"/>
      <c r="DJ102" s="165">
        <f t="shared" si="55"/>
        <v>0</v>
      </c>
      <c r="DK102" s="166">
        <f t="shared" si="55"/>
        <v>0</v>
      </c>
      <c r="DL102" s="167" t="e">
        <f t="shared" si="73"/>
        <v>#DIV/0!</v>
      </c>
      <c r="DM102" s="168" t="e">
        <f t="shared" si="74"/>
        <v>#DIV/0!</v>
      </c>
      <c r="DN102" s="163" t="e">
        <f t="shared" si="75"/>
        <v>#DIV/0!</v>
      </c>
      <c r="DP102" s="170"/>
      <c r="DQ102" s="171"/>
      <c r="DR102" s="172">
        <f t="shared" si="76"/>
        <v>0</v>
      </c>
      <c r="DS102" s="173" t="e">
        <f t="shared" si="77"/>
        <v>#DIV/0!</v>
      </c>
      <c r="DT102" s="163" t="e">
        <f t="shared" si="78"/>
        <v>#DIV/0!</v>
      </c>
      <c r="DU102" s="174"/>
      <c r="DV102" s="175" t="e">
        <f t="shared" si="79"/>
        <v>#DIV/0!</v>
      </c>
      <c r="DW102" s="163">
        <f t="shared" si="80"/>
        <v>0</v>
      </c>
      <c r="DX102" s="164"/>
      <c r="DY102" s="176">
        <f t="shared" si="81"/>
        <v>0</v>
      </c>
      <c r="DZ102" s="177">
        <f t="shared" si="82"/>
        <v>0</v>
      </c>
      <c r="EA102" s="178">
        <f t="shared" si="83"/>
        <v>0</v>
      </c>
      <c r="EB102" s="179">
        <f t="shared" si="84"/>
        <v>0</v>
      </c>
      <c r="EC102" s="180"/>
      <c r="ED102" s="175" t="e">
        <f t="shared" si="85"/>
        <v>#DIV/0!</v>
      </c>
      <c r="EE102" s="163">
        <f t="shared" si="86"/>
        <v>0</v>
      </c>
      <c r="EF102" s="164"/>
      <c r="EG102" s="181">
        <f t="shared" si="87"/>
        <v>0</v>
      </c>
      <c r="EH102" s="182">
        <f t="shared" si="88"/>
        <v>0</v>
      </c>
      <c r="EI102" s="182">
        <f t="shared" si="89"/>
        <v>0</v>
      </c>
      <c r="EJ102" s="182">
        <f t="shared" si="90"/>
        <v>0</v>
      </c>
      <c r="EK102" s="183">
        <f t="shared" si="91"/>
        <v>0</v>
      </c>
      <c r="EL102" s="184" t="e">
        <f t="shared" si="92"/>
        <v>#DIV/0!</v>
      </c>
      <c r="EM102" s="185">
        <f t="shared" si="93"/>
        <v>0</v>
      </c>
      <c r="EN102" s="164"/>
      <c r="EO102" s="181">
        <f t="shared" si="94"/>
        <v>0</v>
      </c>
      <c r="EP102" s="183">
        <f t="shared" si="95"/>
        <v>0</v>
      </c>
      <c r="EQ102" s="184" t="e">
        <f t="shared" si="96"/>
        <v>#DIV/0!</v>
      </c>
      <c r="ER102" s="185">
        <f t="shared" si="97"/>
        <v>0</v>
      </c>
      <c r="ES102" s="164"/>
      <c r="ET102" s="164"/>
      <c r="EU102" s="186">
        <f t="shared" si="98"/>
        <v>0</v>
      </c>
      <c r="EV102" s="186">
        <f t="shared" si="99"/>
        <v>0</v>
      </c>
      <c r="EW102" s="186">
        <f t="shared" si="100"/>
        <v>0</v>
      </c>
      <c r="EX102" s="186">
        <f t="shared" si="101"/>
        <v>0</v>
      </c>
      <c r="EY102" s="131"/>
      <c r="EZ102" s="187">
        <f t="shared" si="102"/>
        <v>0</v>
      </c>
      <c r="FA102" s="188" t="e">
        <f t="shared" si="103"/>
        <v>#DIV/0!</v>
      </c>
      <c r="FB102" s="189"/>
      <c r="FC102" s="131"/>
      <c r="FD102" s="131"/>
      <c r="FE102" s="131"/>
      <c r="FF102" s="131"/>
      <c r="FG102" s="131"/>
    </row>
    <row r="103" spans="1:164" s="169" customFormat="1" ht="16" hidden="1" outlineLevel="1" thickBot="1" x14ac:dyDescent="0.4">
      <c r="B103" s="358"/>
      <c r="C103" s="355"/>
      <c r="D103" s="243"/>
      <c r="E103" s="244"/>
      <c r="F103" s="135"/>
      <c r="G103" s="192"/>
      <c r="H103" s="245"/>
      <c r="I103" s="138">
        <f t="shared" si="56"/>
        <v>0</v>
      </c>
      <c r="J103" s="139"/>
      <c r="K103" s="208">
        <f t="shared" si="107"/>
        <v>0</v>
      </c>
      <c r="L103" s="141"/>
      <c r="M103" s="209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09"/>
      <c r="AB103" s="210"/>
      <c r="AC103" s="210"/>
      <c r="AD103" s="210"/>
      <c r="AE103" s="210"/>
      <c r="AF103" s="210"/>
      <c r="AG103" s="210"/>
      <c r="AH103" s="210"/>
      <c r="AI103" s="210"/>
      <c r="AJ103" s="210"/>
      <c r="AK103" s="210"/>
      <c r="AL103" s="210"/>
      <c r="AM103" s="211"/>
      <c r="AN103" s="212">
        <f t="shared" si="58"/>
        <v>0</v>
      </c>
      <c r="AO103" s="146"/>
      <c r="AP103" s="147">
        <f t="shared" si="59"/>
        <v>0</v>
      </c>
      <c r="AQ103" s="148"/>
      <c r="AR103" s="213"/>
      <c r="AS103" s="213"/>
      <c r="AT103" s="135"/>
      <c r="AU103" s="214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215"/>
      <c r="BF103" s="216"/>
      <c r="BG103" s="216"/>
      <c r="BH103" s="216"/>
      <c r="BI103" s="216"/>
      <c r="BJ103" s="216"/>
      <c r="BK103" s="216"/>
      <c r="BL103" s="216"/>
      <c r="BM103" s="216"/>
      <c r="BN103" s="216"/>
      <c r="BO103" s="216"/>
      <c r="BP103" s="216"/>
      <c r="BQ103" s="216"/>
      <c r="BR103" s="214"/>
      <c r="BS103" s="215"/>
      <c r="BT103" s="215"/>
      <c r="BU103" s="215"/>
      <c r="BV103" s="215"/>
      <c r="BW103" s="215"/>
      <c r="BX103" s="215"/>
      <c r="BY103" s="215"/>
      <c r="BZ103" s="215"/>
      <c r="CA103" s="215"/>
      <c r="CB103" s="215"/>
      <c r="CC103" s="217"/>
      <c r="CD103" s="214"/>
      <c r="CE103" s="209"/>
      <c r="CF103" s="210"/>
      <c r="CG103" s="210"/>
      <c r="CH103" s="210"/>
      <c r="CI103" s="210"/>
      <c r="CJ103" s="210"/>
      <c r="CK103" s="210"/>
      <c r="CL103" s="210"/>
      <c r="CM103" s="210"/>
      <c r="CN103" s="211"/>
      <c r="CO103" s="215"/>
      <c r="CP103" s="215"/>
      <c r="CQ103" s="216"/>
      <c r="CR103" s="217"/>
      <c r="CS103" s="218">
        <f t="shared" si="113"/>
        <v>0</v>
      </c>
      <c r="CT103" s="146"/>
      <c r="CU103" s="147">
        <f t="shared" si="61"/>
        <v>0</v>
      </c>
      <c r="CV103" s="156"/>
      <c r="CW103" s="157" t="e">
        <f t="shared" si="62"/>
        <v>#DIV/0!</v>
      </c>
      <c r="CX103" s="157" t="e">
        <f t="shared" si="63"/>
        <v>#DIV/0!</v>
      </c>
      <c r="CY103" s="157" t="e">
        <f t="shared" si="114"/>
        <v>#DIV/0!</v>
      </c>
      <c r="CZ103" s="157" t="e">
        <f t="shared" si="65"/>
        <v>#DIV/0!</v>
      </c>
      <c r="DA103" s="157" t="e">
        <f t="shared" si="66"/>
        <v>#DIV/0!</v>
      </c>
      <c r="DB103" s="158" t="e">
        <f t="shared" si="67"/>
        <v>#DIV/0!</v>
      </c>
      <c r="DC103" s="131"/>
      <c r="DD103" s="159">
        <f t="shared" si="68"/>
        <v>0</v>
      </c>
      <c r="DE103" s="160">
        <f t="shared" si="69"/>
        <v>0</v>
      </c>
      <c r="DF103" s="161">
        <f t="shared" si="70"/>
        <v>0</v>
      </c>
      <c r="DG103" s="162" t="e">
        <f t="shared" si="71"/>
        <v>#DIV/0!</v>
      </c>
      <c r="DH103" s="163">
        <f t="shared" si="72"/>
        <v>0</v>
      </c>
      <c r="DI103" s="164"/>
      <c r="DJ103" s="165">
        <f t="shared" si="55"/>
        <v>0</v>
      </c>
      <c r="DK103" s="166">
        <f t="shared" si="55"/>
        <v>0</v>
      </c>
      <c r="DL103" s="167" t="e">
        <f t="shared" si="73"/>
        <v>#DIV/0!</v>
      </c>
      <c r="DM103" s="168" t="e">
        <f t="shared" si="74"/>
        <v>#DIV/0!</v>
      </c>
      <c r="DN103" s="163" t="e">
        <f t="shared" si="75"/>
        <v>#DIV/0!</v>
      </c>
      <c r="DP103" s="170"/>
      <c r="DQ103" s="171"/>
      <c r="DR103" s="172">
        <f t="shared" si="76"/>
        <v>0</v>
      </c>
      <c r="DS103" s="173" t="e">
        <f t="shared" si="77"/>
        <v>#DIV/0!</v>
      </c>
      <c r="DT103" s="163" t="e">
        <f t="shared" si="78"/>
        <v>#DIV/0!</v>
      </c>
      <c r="DU103" s="174"/>
      <c r="DV103" s="175" t="e">
        <f t="shared" si="79"/>
        <v>#DIV/0!</v>
      </c>
      <c r="DW103" s="163">
        <f t="shared" si="80"/>
        <v>0</v>
      </c>
      <c r="DX103" s="164"/>
      <c r="DY103" s="176">
        <f t="shared" si="81"/>
        <v>0</v>
      </c>
      <c r="DZ103" s="177">
        <f t="shared" si="82"/>
        <v>0</v>
      </c>
      <c r="EA103" s="178">
        <f t="shared" si="83"/>
        <v>0</v>
      </c>
      <c r="EB103" s="179">
        <f t="shared" si="84"/>
        <v>0</v>
      </c>
      <c r="EC103" s="180"/>
      <c r="ED103" s="175" t="e">
        <f t="shared" si="85"/>
        <v>#DIV/0!</v>
      </c>
      <c r="EE103" s="163">
        <f t="shared" si="86"/>
        <v>0</v>
      </c>
      <c r="EF103" s="164"/>
      <c r="EG103" s="181">
        <f t="shared" si="87"/>
        <v>0</v>
      </c>
      <c r="EH103" s="182">
        <f t="shared" si="88"/>
        <v>0</v>
      </c>
      <c r="EI103" s="182">
        <f t="shared" si="89"/>
        <v>0</v>
      </c>
      <c r="EJ103" s="182">
        <f t="shared" si="90"/>
        <v>0</v>
      </c>
      <c r="EK103" s="183">
        <f t="shared" si="91"/>
        <v>0</v>
      </c>
      <c r="EL103" s="184" t="e">
        <f t="shared" si="92"/>
        <v>#DIV/0!</v>
      </c>
      <c r="EM103" s="185">
        <f t="shared" si="93"/>
        <v>0</v>
      </c>
      <c r="EN103" s="164"/>
      <c r="EO103" s="181">
        <f t="shared" si="94"/>
        <v>0</v>
      </c>
      <c r="EP103" s="183">
        <f t="shared" si="95"/>
        <v>0</v>
      </c>
      <c r="EQ103" s="184" t="e">
        <f t="shared" si="96"/>
        <v>#DIV/0!</v>
      </c>
      <c r="ER103" s="185">
        <f t="shared" si="97"/>
        <v>0</v>
      </c>
      <c r="ES103" s="164"/>
      <c r="ET103" s="164"/>
      <c r="EU103" s="186">
        <f t="shared" si="98"/>
        <v>0</v>
      </c>
      <c r="EV103" s="186">
        <f t="shared" si="99"/>
        <v>0</v>
      </c>
      <c r="EW103" s="186">
        <f t="shared" si="100"/>
        <v>0</v>
      </c>
      <c r="EX103" s="186">
        <f t="shared" si="101"/>
        <v>0</v>
      </c>
      <c r="EY103" s="131"/>
      <c r="EZ103" s="187">
        <f t="shared" si="102"/>
        <v>0</v>
      </c>
      <c r="FA103" s="188" t="e">
        <f t="shared" si="103"/>
        <v>#DIV/0!</v>
      </c>
      <c r="FB103" s="189"/>
      <c r="FC103" s="131"/>
      <c r="FD103" s="131"/>
      <c r="FE103" s="131"/>
      <c r="FF103" s="131"/>
      <c r="FG103" s="131"/>
    </row>
    <row r="104" spans="1:164" s="169" customFormat="1" ht="16" hidden="1" outlineLevel="1" thickBot="1" x14ac:dyDescent="0.4">
      <c r="B104" s="356">
        <v>44865</v>
      </c>
      <c r="C104" s="353"/>
      <c r="D104" s="133"/>
      <c r="E104" s="134"/>
      <c r="F104" s="135"/>
      <c r="G104" s="136"/>
      <c r="H104" s="137"/>
      <c r="I104" s="138">
        <f t="shared" si="56"/>
        <v>0</v>
      </c>
      <c r="J104" s="139"/>
      <c r="K104" s="140">
        <f>E104*60</f>
        <v>0</v>
      </c>
      <c r="L104" s="141"/>
      <c r="M104" s="142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2"/>
      <c r="AB104" s="143"/>
      <c r="AC104" s="143"/>
      <c r="AD104" s="143"/>
      <c r="AE104" s="143"/>
      <c r="AF104" s="143"/>
      <c r="AG104" s="143"/>
      <c r="AH104" s="143"/>
      <c r="AI104" s="143"/>
      <c r="AJ104" s="143"/>
      <c r="AK104" s="143"/>
      <c r="AL104" s="143"/>
      <c r="AM104" s="144"/>
      <c r="AN104" s="145">
        <f t="shared" si="58"/>
        <v>0</v>
      </c>
      <c r="AO104" s="146"/>
      <c r="AP104" s="147">
        <f t="shared" si="59"/>
        <v>0</v>
      </c>
      <c r="AQ104" s="148"/>
      <c r="AR104" s="149"/>
      <c r="AS104" s="149"/>
      <c r="AT104" s="135"/>
      <c r="AU104" s="150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52"/>
      <c r="BG104" s="152"/>
      <c r="BH104" s="152"/>
      <c r="BI104" s="152"/>
      <c r="BJ104" s="152"/>
      <c r="BK104" s="152"/>
      <c r="BL104" s="152"/>
      <c r="BM104" s="152"/>
      <c r="BN104" s="152"/>
      <c r="BO104" s="152"/>
      <c r="BP104" s="152"/>
      <c r="BQ104" s="152"/>
      <c r="BR104" s="150"/>
      <c r="BS104" s="151"/>
      <c r="BT104" s="151"/>
      <c r="BU104" s="151"/>
      <c r="BV104" s="151"/>
      <c r="BW104" s="151"/>
      <c r="BX104" s="151"/>
      <c r="BY104" s="151"/>
      <c r="BZ104" s="151"/>
      <c r="CA104" s="151"/>
      <c r="CB104" s="151"/>
      <c r="CC104" s="154"/>
      <c r="CD104" s="150"/>
      <c r="CE104" s="142"/>
      <c r="CF104" s="143"/>
      <c r="CG104" s="143"/>
      <c r="CH104" s="143"/>
      <c r="CI104" s="143"/>
      <c r="CJ104" s="143"/>
      <c r="CK104" s="143"/>
      <c r="CL104" s="143"/>
      <c r="CM104" s="143"/>
      <c r="CN104" s="144"/>
      <c r="CO104" s="151"/>
      <c r="CP104" s="151"/>
      <c r="CQ104" s="152"/>
      <c r="CR104" s="154"/>
      <c r="CS104" s="155">
        <f t="shared" si="113"/>
        <v>0</v>
      </c>
      <c r="CT104" s="146"/>
      <c r="CU104" s="147">
        <f t="shared" si="61"/>
        <v>0</v>
      </c>
      <c r="CV104" s="156"/>
      <c r="CW104" s="157" t="e">
        <f t="shared" si="62"/>
        <v>#DIV/0!</v>
      </c>
      <c r="CX104" s="157" t="e">
        <f t="shared" si="63"/>
        <v>#DIV/0!</v>
      </c>
      <c r="CY104" s="157" t="e">
        <f t="shared" si="114"/>
        <v>#DIV/0!</v>
      </c>
      <c r="CZ104" s="157" t="e">
        <f t="shared" si="65"/>
        <v>#DIV/0!</v>
      </c>
      <c r="DA104" s="157" t="e">
        <f t="shared" si="66"/>
        <v>#DIV/0!</v>
      </c>
      <c r="DB104" s="158" t="e">
        <f t="shared" si="67"/>
        <v>#DIV/0!</v>
      </c>
      <c r="DC104" s="131"/>
      <c r="DD104" s="159">
        <f t="shared" si="68"/>
        <v>0</v>
      </c>
      <c r="DE104" s="160">
        <f t="shared" si="69"/>
        <v>0</v>
      </c>
      <c r="DF104" s="161">
        <f t="shared" si="70"/>
        <v>0</v>
      </c>
      <c r="DG104" s="162" t="e">
        <f t="shared" si="71"/>
        <v>#DIV/0!</v>
      </c>
      <c r="DH104" s="163">
        <f t="shared" si="72"/>
        <v>0</v>
      </c>
      <c r="DI104" s="164"/>
      <c r="DJ104" s="165">
        <f t="shared" ref="DJ104:DK106" si="115">H104</f>
        <v>0</v>
      </c>
      <c r="DK104" s="166">
        <f t="shared" si="115"/>
        <v>0</v>
      </c>
      <c r="DL104" s="167" t="e">
        <f t="shared" si="73"/>
        <v>#DIV/0!</v>
      </c>
      <c r="DM104" s="168" t="e">
        <f t="shared" si="74"/>
        <v>#DIV/0!</v>
      </c>
      <c r="DN104" s="163" t="e">
        <f t="shared" si="75"/>
        <v>#DIV/0!</v>
      </c>
      <c r="DP104" s="170"/>
      <c r="DQ104" s="171"/>
      <c r="DR104" s="172">
        <f t="shared" si="76"/>
        <v>0</v>
      </c>
      <c r="DS104" s="173" t="e">
        <f t="shared" si="77"/>
        <v>#DIV/0!</v>
      </c>
      <c r="DT104" s="163" t="e">
        <f t="shared" si="78"/>
        <v>#DIV/0!</v>
      </c>
      <c r="DU104" s="174"/>
      <c r="DV104" s="175" t="e">
        <f t="shared" si="79"/>
        <v>#DIV/0!</v>
      </c>
      <c r="DW104" s="163">
        <f t="shared" si="80"/>
        <v>0</v>
      </c>
      <c r="DX104" s="164"/>
      <c r="DY104" s="176">
        <f t="shared" si="81"/>
        <v>0</v>
      </c>
      <c r="DZ104" s="177">
        <f t="shared" si="82"/>
        <v>0</v>
      </c>
      <c r="EA104" s="178">
        <f t="shared" si="83"/>
        <v>0</v>
      </c>
      <c r="EB104" s="179">
        <f t="shared" si="84"/>
        <v>0</v>
      </c>
      <c r="EC104" s="180"/>
      <c r="ED104" s="175" t="e">
        <f t="shared" si="85"/>
        <v>#DIV/0!</v>
      </c>
      <c r="EE104" s="163">
        <f t="shared" si="86"/>
        <v>0</v>
      </c>
      <c r="EF104" s="164"/>
      <c r="EG104" s="181">
        <f t="shared" si="87"/>
        <v>0</v>
      </c>
      <c r="EH104" s="182">
        <f t="shared" si="88"/>
        <v>0</v>
      </c>
      <c r="EI104" s="182">
        <f t="shared" si="89"/>
        <v>0</v>
      </c>
      <c r="EJ104" s="182">
        <f t="shared" si="90"/>
        <v>0</v>
      </c>
      <c r="EK104" s="183">
        <f t="shared" si="91"/>
        <v>0</v>
      </c>
      <c r="EL104" s="184" t="e">
        <f t="shared" si="92"/>
        <v>#DIV/0!</v>
      </c>
      <c r="EM104" s="185">
        <f t="shared" si="93"/>
        <v>0</v>
      </c>
      <c r="EN104" s="164"/>
      <c r="EO104" s="181">
        <f t="shared" si="94"/>
        <v>0</v>
      </c>
      <c r="EP104" s="183">
        <f t="shared" si="95"/>
        <v>0</v>
      </c>
      <c r="EQ104" s="184" t="e">
        <f t="shared" si="96"/>
        <v>#DIV/0!</v>
      </c>
      <c r="ER104" s="185">
        <f t="shared" si="97"/>
        <v>0</v>
      </c>
      <c r="ES104" s="164"/>
      <c r="ET104" s="164"/>
      <c r="EU104" s="186">
        <f t="shared" si="98"/>
        <v>0</v>
      </c>
      <c r="EV104" s="186">
        <f t="shared" si="99"/>
        <v>0</v>
      </c>
      <c r="EW104" s="186">
        <f t="shared" si="100"/>
        <v>0</v>
      </c>
      <c r="EX104" s="186">
        <f t="shared" si="101"/>
        <v>0</v>
      </c>
      <c r="EY104" s="131"/>
      <c r="EZ104" s="187">
        <f t="shared" si="102"/>
        <v>0</v>
      </c>
      <c r="FA104" s="188" t="e">
        <f t="shared" si="103"/>
        <v>#DIV/0!</v>
      </c>
      <c r="FB104" s="189"/>
      <c r="FC104" s="131"/>
      <c r="FD104" s="131"/>
      <c r="FE104" s="131"/>
      <c r="FF104" s="131"/>
      <c r="FG104" s="131"/>
    </row>
    <row r="105" spans="1:164" s="169" customFormat="1" ht="16" hidden="1" outlineLevel="1" thickBot="1" x14ac:dyDescent="0.4">
      <c r="B105" s="357"/>
      <c r="C105" s="354"/>
      <c r="D105" s="240"/>
      <c r="E105" s="241"/>
      <c r="F105" s="135"/>
      <c r="G105" s="192"/>
      <c r="H105" s="242"/>
      <c r="I105" s="138">
        <f t="shared" si="56"/>
        <v>0</v>
      </c>
      <c r="J105" s="139"/>
      <c r="K105" s="193">
        <f t="shared" ref="K105:K106" si="116">E105*60</f>
        <v>0</v>
      </c>
      <c r="L105" s="141"/>
      <c r="M105" s="194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4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6"/>
      <c r="AN105" s="197">
        <f t="shared" si="58"/>
        <v>0</v>
      </c>
      <c r="AO105" s="146"/>
      <c r="AP105" s="147">
        <f t="shared" si="59"/>
        <v>0</v>
      </c>
      <c r="AQ105" s="148"/>
      <c r="AR105" s="198"/>
      <c r="AS105" s="198"/>
      <c r="AT105" s="135"/>
      <c r="AU105" s="199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1"/>
      <c r="BG105" s="201"/>
      <c r="BH105" s="201"/>
      <c r="BI105" s="201"/>
      <c r="BJ105" s="201"/>
      <c r="BK105" s="201"/>
      <c r="BL105" s="201"/>
      <c r="BM105" s="201"/>
      <c r="BN105" s="201"/>
      <c r="BO105" s="201"/>
      <c r="BP105" s="201"/>
      <c r="BQ105" s="201"/>
      <c r="BR105" s="199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2"/>
      <c r="CD105" s="199"/>
      <c r="CE105" s="194"/>
      <c r="CF105" s="195"/>
      <c r="CG105" s="195"/>
      <c r="CH105" s="195"/>
      <c r="CI105" s="195"/>
      <c r="CJ105" s="195"/>
      <c r="CK105" s="195"/>
      <c r="CL105" s="195"/>
      <c r="CM105" s="195"/>
      <c r="CN105" s="196"/>
      <c r="CO105" s="200"/>
      <c r="CP105" s="200"/>
      <c r="CQ105" s="201"/>
      <c r="CR105" s="202"/>
      <c r="CS105" s="203">
        <f t="shared" si="113"/>
        <v>0</v>
      </c>
      <c r="CT105" s="146"/>
      <c r="CU105" s="147">
        <f t="shared" si="61"/>
        <v>0</v>
      </c>
      <c r="CV105" s="156"/>
      <c r="CW105" s="157" t="e">
        <f t="shared" si="62"/>
        <v>#DIV/0!</v>
      </c>
      <c r="CX105" s="157" t="e">
        <f t="shared" si="63"/>
        <v>#DIV/0!</v>
      </c>
      <c r="CY105" s="157" t="e">
        <f t="shared" si="114"/>
        <v>#DIV/0!</v>
      </c>
      <c r="CZ105" s="157" t="e">
        <f t="shared" si="65"/>
        <v>#DIV/0!</v>
      </c>
      <c r="DA105" s="157" t="e">
        <f t="shared" si="66"/>
        <v>#DIV/0!</v>
      </c>
      <c r="DB105" s="158" t="e">
        <f t="shared" si="67"/>
        <v>#DIV/0!</v>
      </c>
      <c r="DC105" s="131"/>
      <c r="DD105" s="159">
        <f t="shared" si="68"/>
        <v>0</v>
      </c>
      <c r="DE105" s="160">
        <f t="shared" si="69"/>
        <v>0</v>
      </c>
      <c r="DF105" s="161">
        <f t="shared" si="70"/>
        <v>0</v>
      </c>
      <c r="DG105" s="162" t="e">
        <f t="shared" si="71"/>
        <v>#DIV/0!</v>
      </c>
      <c r="DH105" s="163">
        <f t="shared" si="72"/>
        <v>0</v>
      </c>
      <c r="DI105" s="164"/>
      <c r="DJ105" s="165">
        <f t="shared" si="115"/>
        <v>0</v>
      </c>
      <c r="DK105" s="166">
        <f t="shared" si="115"/>
        <v>0</v>
      </c>
      <c r="DL105" s="167" t="e">
        <f t="shared" si="73"/>
        <v>#DIV/0!</v>
      </c>
      <c r="DM105" s="168" t="e">
        <f t="shared" si="74"/>
        <v>#DIV/0!</v>
      </c>
      <c r="DN105" s="163" t="e">
        <f t="shared" si="75"/>
        <v>#DIV/0!</v>
      </c>
      <c r="DP105" s="170"/>
      <c r="DQ105" s="171"/>
      <c r="DR105" s="172">
        <f t="shared" si="76"/>
        <v>0</v>
      </c>
      <c r="DS105" s="173" t="e">
        <f t="shared" si="77"/>
        <v>#DIV/0!</v>
      </c>
      <c r="DT105" s="163" t="e">
        <f t="shared" si="78"/>
        <v>#DIV/0!</v>
      </c>
      <c r="DU105" s="174"/>
      <c r="DV105" s="175" t="e">
        <f t="shared" si="79"/>
        <v>#DIV/0!</v>
      </c>
      <c r="DW105" s="163">
        <f t="shared" si="80"/>
        <v>0</v>
      </c>
      <c r="DX105" s="164"/>
      <c r="DY105" s="176">
        <f t="shared" si="81"/>
        <v>0</v>
      </c>
      <c r="DZ105" s="177">
        <f t="shared" si="82"/>
        <v>0</v>
      </c>
      <c r="EA105" s="178">
        <f t="shared" si="83"/>
        <v>0</v>
      </c>
      <c r="EB105" s="179">
        <f t="shared" si="84"/>
        <v>0</v>
      </c>
      <c r="EC105" s="180"/>
      <c r="ED105" s="175" t="e">
        <f t="shared" si="85"/>
        <v>#DIV/0!</v>
      </c>
      <c r="EE105" s="163">
        <f t="shared" si="86"/>
        <v>0</v>
      </c>
      <c r="EF105" s="164"/>
      <c r="EG105" s="181">
        <f t="shared" si="87"/>
        <v>0</v>
      </c>
      <c r="EH105" s="182">
        <f t="shared" si="88"/>
        <v>0</v>
      </c>
      <c r="EI105" s="182">
        <f t="shared" si="89"/>
        <v>0</v>
      </c>
      <c r="EJ105" s="182">
        <f t="shared" si="90"/>
        <v>0</v>
      </c>
      <c r="EK105" s="183">
        <f t="shared" si="91"/>
        <v>0</v>
      </c>
      <c r="EL105" s="184" t="e">
        <f t="shared" si="92"/>
        <v>#DIV/0!</v>
      </c>
      <c r="EM105" s="185">
        <f t="shared" si="93"/>
        <v>0</v>
      </c>
      <c r="EN105" s="164"/>
      <c r="EO105" s="181">
        <f t="shared" si="94"/>
        <v>0</v>
      </c>
      <c r="EP105" s="183">
        <f t="shared" si="95"/>
        <v>0</v>
      </c>
      <c r="EQ105" s="184" t="e">
        <f t="shared" si="96"/>
        <v>#DIV/0!</v>
      </c>
      <c r="ER105" s="185">
        <f t="shared" si="97"/>
        <v>0</v>
      </c>
      <c r="ES105" s="164"/>
      <c r="ET105" s="164"/>
      <c r="EU105" s="186">
        <f t="shared" si="98"/>
        <v>0</v>
      </c>
      <c r="EV105" s="186">
        <f t="shared" si="99"/>
        <v>0</v>
      </c>
      <c r="EW105" s="186">
        <f t="shared" si="100"/>
        <v>0</v>
      </c>
      <c r="EX105" s="186">
        <f t="shared" si="101"/>
        <v>0</v>
      </c>
      <c r="EY105" s="131"/>
      <c r="EZ105" s="187">
        <f t="shared" si="102"/>
        <v>0</v>
      </c>
      <c r="FA105" s="188" t="e">
        <f t="shared" si="103"/>
        <v>#DIV/0!</v>
      </c>
      <c r="FB105" s="189"/>
      <c r="FC105" s="131"/>
      <c r="FD105" s="131"/>
      <c r="FE105" s="131"/>
      <c r="FF105" s="131"/>
      <c r="FG105" s="131"/>
    </row>
    <row r="106" spans="1:164" s="169" customFormat="1" ht="16" hidden="1" outlineLevel="1" thickBot="1" x14ac:dyDescent="0.4">
      <c r="B106" s="358"/>
      <c r="C106" s="355"/>
      <c r="D106" s="243"/>
      <c r="E106" s="244"/>
      <c r="F106" s="135"/>
      <c r="G106" s="192"/>
      <c r="H106" s="245"/>
      <c r="I106" s="138">
        <f t="shared" si="56"/>
        <v>0</v>
      </c>
      <c r="J106" s="139"/>
      <c r="K106" s="208">
        <f t="shared" si="116"/>
        <v>0</v>
      </c>
      <c r="L106" s="141"/>
      <c r="M106" s="209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09"/>
      <c r="AB106" s="210"/>
      <c r="AC106" s="210"/>
      <c r="AD106" s="210"/>
      <c r="AE106" s="210"/>
      <c r="AF106" s="210"/>
      <c r="AG106" s="210"/>
      <c r="AH106" s="210"/>
      <c r="AI106" s="210"/>
      <c r="AJ106" s="210"/>
      <c r="AK106" s="210"/>
      <c r="AL106" s="210"/>
      <c r="AM106" s="211"/>
      <c r="AN106" s="212">
        <f t="shared" si="58"/>
        <v>0</v>
      </c>
      <c r="AO106" s="146"/>
      <c r="AP106" s="147">
        <f t="shared" si="59"/>
        <v>0</v>
      </c>
      <c r="AQ106" s="148"/>
      <c r="AR106" s="213"/>
      <c r="AS106" s="213"/>
      <c r="AT106" s="135"/>
      <c r="AU106" s="214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6"/>
      <c r="BG106" s="216"/>
      <c r="BH106" s="216"/>
      <c r="BI106" s="216"/>
      <c r="BJ106" s="216"/>
      <c r="BK106" s="216"/>
      <c r="BL106" s="216"/>
      <c r="BM106" s="216"/>
      <c r="BN106" s="216"/>
      <c r="BO106" s="216"/>
      <c r="BP106" s="216"/>
      <c r="BQ106" s="216"/>
      <c r="BR106" s="214"/>
      <c r="BS106" s="215"/>
      <c r="BT106" s="215"/>
      <c r="BU106" s="215"/>
      <c r="BV106" s="215"/>
      <c r="BW106" s="215"/>
      <c r="BX106" s="215"/>
      <c r="BY106" s="215"/>
      <c r="BZ106" s="215"/>
      <c r="CA106" s="215"/>
      <c r="CB106" s="215"/>
      <c r="CC106" s="217"/>
      <c r="CD106" s="214"/>
      <c r="CE106" s="209"/>
      <c r="CF106" s="210"/>
      <c r="CG106" s="210"/>
      <c r="CH106" s="210"/>
      <c r="CI106" s="210"/>
      <c r="CJ106" s="210"/>
      <c r="CK106" s="210"/>
      <c r="CL106" s="210"/>
      <c r="CM106" s="210"/>
      <c r="CN106" s="211"/>
      <c r="CO106" s="215"/>
      <c r="CP106" s="215"/>
      <c r="CQ106" s="216"/>
      <c r="CR106" s="217"/>
      <c r="CS106" s="218">
        <f t="shared" si="113"/>
        <v>0</v>
      </c>
      <c r="CT106" s="146"/>
      <c r="CU106" s="147">
        <f t="shared" si="61"/>
        <v>0</v>
      </c>
      <c r="CV106" s="156"/>
      <c r="CW106" s="157" t="e">
        <f t="shared" si="62"/>
        <v>#DIV/0!</v>
      </c>
      <c r="CX106" s="157" t="e">
        <f t="shared" si="63"/>
        <v>#DIV/0!</v>
      </c>
      <c r="CY106" s="157" t="e">
        <f t="shared" si="114"/>
        <v>#DIV/0!</v>
      </c>
      <c r="CZ106" s="157" t="e">
        <f t="shared" si="65"/>
        <v>#DIV/0!</v>
      </c>
      <c r="DA106" s="157" t="e">
        <f t="shared" si="66"/>
        <v>#DIV/0!</v>
      </c>
      <c r="DB106" s="158" t="e">
        <f t="shared" si="67"/>
        <v>#DIV/0!</v>
      </c>
      <c r="DC106" s="131"/>
      <c r="DD106" s="159">
        <f t="shared" si="68"/>
        <v>0</v>
      </c>
      <c r="DE106" s="160">
        <f t="shared" si="69"/>
        <v>0</v>
      </c>
      <c r="DF106" s="161">
        <f t="shared" si="70"/>
        <v>0</v>
      </c>
      <c r="DG106" s="162" t="e">
        <f t="shared" si="71"/>
        <v>#DIV/0!</v>
      </c>
      <c r="DH106" s="163">
        <f t="shared" si="72"/>
        <v>0</v>
      </c>
      <c r="DI106" s="164"/>
      <c r="DJ106" s="165">
        <f t="shared" si="115"/>
        <v>0</v>
      </c>
      <c r="DK106" s="166">
        <f t="shared" si="115"/>
        <v>0</v>
      </c>
      <c r="DL106" s="167" t="e">
        <f t="shared" si="73"/>
        <v>#DIV/0!</v>
      </c>
      <c r="DM106" s="168" t="e">
        <f t="shared" si="74"/>
        <v>#DIV/0!</v>
      </c>
      <c r="DN106" s="163" t="e">
        <f t="shared" si="75"/>
        <v>#DIV/0!</v>
      </c>
      <c r="DP106" s="170"/>
      <c r="DQ106" s="171"/>
      <c r="DR106" s="172">
        <f t="shared" si="76"/>
        <v>0</v>
      </c>
      <c r="DS106" s="173" t="e">
        <f t="shared" si="77"/>
        <v>#DIV/0!</v>
      </c>
      <c r="DT106" s="163" t="e">
        <f t="shared" si="78"/>
        <v>#DIV/0!</v>
      </c>
      <c r="DU106" s="174"/>
      <c r="DV106" s="175" t="e">
        <f t="shared" si="79"/>
        <v>#DIV/0!</v>
      </c>
      <c r="DW106" s="163">
        <f t="shared" si="80"/>
        <v>0</v>
      </c>
      <c r="DX106" s="164"/>
      <c r="DY106" s="176">
        <f t="shared" si="81"/>
        <v>0</v>
      </c>
      <c r="DZ106" s="177">
        <f t="shared" si="82"/>
        <v>0</v>
      </c>
      <c r="EA106" s="178">
        <f t="shared" si="83"/>
        <v>0</v>
      </c>
      <c r="EB106" s="179">
        <f t="shared" si="84"/>
        <v>0</v>
      </c>
      <c r="EC106" s="180"/>
      <c r="ED106" s="175" t="e">
        <f t="shared" si="85"/>
        <v>#DIV/0!</v>
      </c>
      <c r="EE106" s="163">
        <f t="shared" si="86"/>
        <v>0</v>
      </c>
      <c r="EF106" s="164"/>
      <c r="EG106" s="181">
        <f t="shared" si="87"/>
        <v>0</v>
      </c>
      <c r="EH106" s="182">
        <f t="shared" si="88"/>
        <v>0</v>
      </c>
      <c r="EI106" s="182">
        <f t="shared" si="89"/>
        <v>0</v>
      </c>
      <c r="EJ106" s="182">
        <f t="shared" si="90"/>
        <v>0</v>
      </c>
      <c r="EK106" s="183">
        <f t="shared" si="91"/>
        <v>0</v>
      </c>
      <c r="EL106" s="184" t="e">
        <f t="shared" si="92"/>
        <v>#DIV/0!</v>
      </c>
      <c r="EM106" s="185">
        <f t="shared" si="93"/>
        <v>0</v>
      </c>
      <c r="EN106" s="164"/>
      <c r="EO106" s="181">
        <f t="shared" si="94"/>
        <v>0</v>
      </c>
      <c r="EP106" s="183">
        <f t="shared" si="95"/>
        <v>0</v>
      </c>
      <c r="EQ106" s="184" t="e">
        <f t="shared" si="96"/>
        <v>#DIV/0!</v>
      </c>
      <c r="ER106" s="185">
        <f t="shared" si="97"/>
        <v>0</v>
      </c>
      <c r="ES106" s="164"/>
      <c r="ET106" s="164"/>
      <c r="EU106" s="186">
        <f t="shared" si="98"/>
        <v>0</v>
      </c>
      <c r="EV106" s="186">
        <f t="shared" si="99"/>
        <v>0</v>
      </c>
      <c r="EW106" s="186">
        <f t="shared" si="100"/>
        <v>0</v>
      </c>
      <c r="EX106" s="186">
        <f t="shared" si="101"/>
        <v>0</v>
      </c>
      <c r="EY106" s="131"/>
      <c r="EZ106" s="187">
        <f t="shared" si="102"/>
        <v>0</v>
      </c>
      <c r="FA106" s="188" t="e">
        <f t="shared" si="103"/>
        <v>#DIV/0!</v>
      </c>
      <c r="FB106" s="189"/>
      <c r="FC106" s="131"/>
      <c r="FD106" s="131"/>
      <c r="FE106" s="131"/>
      <c r="FF106" s="131"/>
      <c r="FG106" s="131"/>
    </row>
    <row r="107" spans="1:164" s="220" customFormat="1" ht="69" customHeight="1" thickBot="1" x14ac:dyDescent="0.35">
      <c r="B107" s="329"/>
      <c r="C107" s="132"/>
      <c r="D107" s="131"/>
      <c r="E107" s="246">
        <f>SUM(E5:E106)</f>
        <v>0</v>
      </c>
      <c r="F107" s="247"/>
      <c r="G107" s="248">
        <f>SUM(G5:G103)</f>
        <v>0</v>
      </c>
      <c r="H107" s="249"/>
      <c r="I107" s="250"/>
      <c r="J107" s="251"/>
      <c r="K107" s="252">
        <f>SUMIF(K5:K106,"&gt;0")</f>
        <v>0</v>
      </c>
      <c r="L107" s="253">
        <f>SUM(L5:L103)</f>
        <v>0</v>
      </c>
      <c r="M107" s="254">
        <f t="shared" ref="M107:AN107" si="117">SUM(M5:M106)</f>
        <v>0</v>
      </c>
      <c r="N107" s="254">
        <f t="shared" si="117"/>
        <v>0</v>
      </c>
      <c r="O107" s="254">
        <f t="shared" si="117"/>
        <v>0</v>
      </c>
      <c r="P107" s="254">
        <f t="shared" si="117"/>
        <v>0</v>
      </c>
      <c r="Q107" s="254">
        <f t="shared" si="117"/>
        <v>0</v>
      </c>
      <c r="R107" s="254">
        <f t="shared" si="117"/>
        <v>480</v>
      </c>
      <c r="S107" s="254">
        <f t="shared" si="117"/>
        <v>0</v>
      </c>
      <c r="T107" s="254">
        <f t="shared" si="117"/>
        <v>0</v>
      </c>
      <c r="U107" s="254">
        <f t="shared" si="117"/>
        <v>0</v>
      </c>
      <c r="V107" s="254">
        <f t="shared" si="117"/>
        <v>0</v>
      </c>
      <c r="W107" s="254">
        <f t="shared" si="117"/>
        <v>0</v>
      </c>
      <c r="X107" s="254">
        <f t="shared" si="117"/>
        <v>0</v>
      </c>
      <c r="Y107" s="254">
        <f t="shared" si="117"/>
        <v>0</v>
      </c>
      <c r="Z107" s="254">
        <f t="shared" si="117"/>
        <v>0</v>
      </c>
      <c r="AA107" s="254">
        <f t="shared" si="117"/>
        <v>0</v>
      </c>
      <c r="AB107" s="254">
        <f t="shared" si="117"/>
        <v>0</v>
      </c>
      <c r="AC107" s="254">
        <f t="shared" si="117"/>
        <v>0</v>
      </c>
      <c r="AD107" s="254">
        <f t="shared" si="117"/>
        <v>0</v>
      </c>
      <c r="AE107" s="254">
        <f t="shared" si="117"/>
        <v>0</v>
      </c>
      <c r="AF107" s="254">
        <f t="shared" si="117"/>
        <v>0</v>
      </c>
      <c r="AG107" s="254">
        <f t="shared" si="117"/>
        <v>0</v>
      </c>
      <c r="AH107" s="254">
        <f t="shared" si="117"/>
        <v>0</v>
      </c>
      <c r="AI107" s="254">
        <f t="shared" si="117"/>
        <v>0</v>
      </c>
      <c r="AJ107" s="254">
        <f t="shared" si="117"/>
        <v>0</v>
      </c>
      <c r="AK107" s="254">
        <f t="shared" si="117"/>
        <v>0</v>
      </c>
      <c r="AL107" s="254">
        <f t="shared" si="117"/>
        <v>0</v>
      </c>
      <c r="AM107" s="255">
        <f t="shared" si="117"/>
        <v>0</v>
      </c>
      <c r="AN107" s="252">
        <f t="shared" si="117"/>
        <v>480</v>
      </c>
      <c r="AO107" s="256"/>
      <c r="AP107" s="333">
        <f>K107-(SUM(M107:AM107))</f>
        <v>-480</v>
      </c>
      <c r="AQ107" s="257"/>
      <c r="AR107" s="258">
        <f>SUMIF(AR5:AR106,"&gt;0")</f>
        <v>0</v>
      </c>
      <c r="AS107" s="259"/>
      <c r="AT107" s="257"/>
      <c r="AU107" s="260">
        <f t="shared" ref="AU107:BZ107" si="118">SUM(AU5:AU106)</f>
        <v>0</v>
      </c>
      <c r="AV107" s="260">
        <f t="shared" si="118"/>
        <v>0</v>
      </c>
      <c r="AW107" s="260">
        <f t="shared" si="118"/>
        <v>0</v>
      </c>
      <c r="AX107" s="260">
        <f t="shared" si="118"/>
        <v>0</v>
      </c>
      <c r="AY107" s="260">
        <f t="shared" si="118"/>
        <v>0</v>
      </c>
      <c r="AZ107" s="260">
        <f t="shared" si="118"/>
        <v>0</v>
      </c>
      <c r="BA107" s="260">
        <f t="shared" si="118"/>
        <v>0</v>
      </c>
      <c r="BB107" s="260">
        <f t="shared" si="118"/>
        <v>0</v>
      </c>
      <c r="BC107" s="260">
        <f t="shared" si="118"/>
        <v>0</v>
      </c>
      <c r="BD107" s="260">
        <f t="shared" si="118"/>
        <v>0</v>
      </c>
      <c r="BE107" s="260">
        <f t="shared" si="118"/>
        <v>0</v>
      </c>
      <c r="BF107" s="260">
        <f t="shared" si="118"/>
        <v>0</v>
      </c>
      <c r="BG107" s="260">
        <f t="shared" si="118"/>
        <v>0</v>
      </c>
      <c r="BH107" s="260">
        <f t="shared" si="118"/>
        <v>0</v>
      </c>
      <c r="BI107" s="260">
        <f t="shared" si="118"/>
        <v>0</v>
      </c>
      <c r="BJ107" s="260">
        <f t="shared" si="118"/>
        <v>0</v>
      </c>
      <c r="BK107" s="260">
        <f t="shared" si="118"/>
        <v>0</v>
      </c>
      <c r="BL107" s="260">
        <f t="shared" si="118"/>
        <v>0</v>
      </c>
      <c r="BM107" s="260">
        <f t="shared" si="118"/>
        <v>0</v>
      </c>
      <c r="BN107" s="260">
        <f t="shared" si="118"/>
        <v>0</v>
      </c>
      <c r="BO107" s="260">
        <f t="shared" si="118"/>
        <v>0</v>
      </c>
      <c r="BP107" s="260">
        <f t="shared" si="118"/>
        <v>0</v>
      </c>
      <c r="BQ107" s="260">
        <f t="shared" si="118"/>
        <v>0</v>
      </c>
      <c r="BR107" s="260">
        <f t="shared" si="118"/>
        <v>0</v>
      </c>
      <c r="BS107" s="260">
        <f t="shared" si="118"/>
        <v>0</v>
      </c>
      <c r="BT107" s="260">
        <f t="shared" si="118"/>
        <v>0</v>
      </c>
      <c r="BU107" s="260">
        <f t="shared" si="118"/>
        <v>0</v>
      </c>
      <c r="BV107" s="260">
        <f t="shared" si="118"/>
        <v>0</v>
      </c>
      <c r="BW107" s="260">
        <f t="shared" si="118"/>
        <v>0</v>
      </c>
      <c r="BX107" s="260">
        <f t="shared" si="118"/>
        <v>0</v>
      </c>
      <c r="BY107" s="260">
        <f t="shared" si="118"/>
        <v>0</v>
      </c>
      <c r="BZ107" s="260">
        <f t="shared" si="118"/>
        <v>0</v>
      </c>
      <c r="CA107" s="260">
        <f t="shared" ref="CA107:CR107" si="119">SUM(CA5:CA106)</f>
        <v>0</v>
      </c>
      <c r="CB107" s="260">
        <f t="shared" si="119"/>
        <v>0</v>
      </c>
      <c r="CC107" s="260">
        <f t="shared" si="119"/>
        <v>0</v>
      </c>
      <c r="CD107" s="260">
        <f t="shared" si="119"/>
        <v>0</v>
      </c>
      <c r="CE107" s="254">
        <f t="shared" si="119"/>
        <v>0</v>
      </c>
      <c r="CF107" s="254">
        <f t="shared" si="119"/>
        <v>0</v>
      </c>
      <c r="CG107" s="254">
        <f t="shared" si="119"/>
        <v>0</v>
      </c>
      <c r="CH107" s="254">
        <f t="shared" si="119"/>
        <v>0</v>
      </c>
      <c r="CI107" s="254">
        <f t="shared" si="119"/>
        <v>0</v>
      </c>
      <c r="CJ107" s="254">
        <f t="shared" si="119"/>
        <v>0</v>
      </c>
      <c r="CK107" s="254">
        <f t="shared" si="119"/>
        <v>0</v>
      </c>
      <c r="CL107" s="254">
        <f t="shared" si="119"/>
        <v>0</v>
      </c>
      <c r="CM107" s="254">
        <f t="shared" si="119"/>
        <v>0</v>
      </c>
      <c r="CN107" s="255">
        <f t="shared" si="119"/>
        <v>0</v>
      </c>
      <c r="CO107" s="260">
        <f t="shared" si="119"/>
        <v>0</v>
      </c>
      <c r="CP107" s="260">
        <f t="shared" si="119"/>
        <v>0</v>
      </c>
      <c r="CQ107" s="260">
        <f t="shared" si="119"/>
        <v>0</v>
      </c>
      <c r="CR107" s="260">
        <f t="shared" si="119"/>
        <v>0</v>
      </c>
      <c r="CS107" s="261">
        <f>SUMIF(CS5:CS106,"&gt;0")</f>
        <v>0</v>
      </c>
      <c r="CT107" s="262"/>
      <c r="CU107" s="263">
        <f>SUMIF(CU5:CU106,"&gt;0")</f>
        <v>0</v>
      </c>
      <c r="CV107" s="264"/>
      <c r="CW107" s="265" t="e">
        <f>(SUM(M107:Z107))/K107</f>
        <v>#DIV/0!</v>
      </c>
      <c r="CX107" s="265" t="e">
        <f t="shared" si="63"/>
        <v>#DIV/0!</v>
      </c>
      <c r="CY107" s="265" t="e">
        <f t="shared" si="64"/>
        <v>#DIV/0!</v>
      </c>
      <c r="CZ107" s="265" t="e">
        <f t="shared" si="65"/>
        <v>#DIV/0!</v>
      </c>
      <c r="DA107" s="265" t="e">
        <f t="shared" si="66"/>
        <v>#DIV/0!</v>
      </c>
      <c r="DB107" s="266" t="e">
        <f t="shared" si="67"/>
        <v>#DIV/0!</v>
      </c>
      <c r="DC107" s="267"/>
      <c r="DD107" s="268">
        <f>SUMIF(DD5:DD106,"&gt;0")</f>
        <v>0</v>
      </c>
      <c r="DE107" s="268">
        <f>SUMIF(DE5:DE106,"&gt;0")</f>
        <v>0</v>
      </c>
      <c r="DF107" s="269">
        <f t="shared" si="70"/>
        <v>0</v>
      </c>
      <c r="DG107" s="270" t="e">
        <f>(SUMIF(DG5:DG106,"&gt;0"))/DH107</f>
        <v>#DIV/0!</v>
      </c>
      <c r="DH107" s="271">
        <f>COUNTIF(DH5:DH106,1)</f>
        <v>0</v>
      </c>
      <c r="DI107" s="272"/>
      <c r="DJ107" s="273"/>
      <c r="DK107" s="274">
        <f>SUMIF(DK5:DK106,"&gt;0")</f>
        <v>0</v>
      </c>
      <c r="DL107" s="268">
        <f>SUMIF(DL5:DL106,"&gt;0")</f>
        <v>0</v>
      </c>
      <c r="DM107" s="270" t="e">
        <f>(SUMIF(DM5:DM106,"&gt;0"))/DN107</f>
        <v>#DIV/0!</v>
      </c>
      <c r="DN107" s="331">
        <f>COUNTIF(DN5:DN106,1)</f>
        <v>0</v>
      </c>
      <c r="DO107" s="275"/>
      <c r="DP107" s="276">
        <f>SUMIF(DP5:DP106,"&gt;0")</f>
        <v>0</v>
      </c>
      <c r="DQ107" s="277">
        <f>SUMIF(DQ5:DQ106,"&gt;0")</f>
        <v>0</v>
      </c>
      <c r="DR107" s="278">
        <f t="shared" si="76"/>
        <v>0</v>
      </c>
      <c r="DS107" s="270" t="e">
        <f>(SUMIF(DS5:DS106,"&gt;0"))/DT107</f>
        <v>#DIV/0!</v>
      </c>
      <c r="DT107" s="331">
        <f>COUNTIF(DT5:DT106,1)</f>
        <v>0</v>
      </c>
      <c r="DU107" s="279"/>
      <c r="DV107" s="280" t="e">
        <f>(SUMIF(DV5:DV106,"&gt;0"))/DW107</f>
        <v>#DIV/0!</v>
      </c>
      <c r="DW107" s="331">
        <f>COUNTIF(DW5:DW106,1)</f>
        <v>0</v>
      </c>
      <c r="DX107" s="279"/>
      <c r="DY107" s="277">
        <f t="shared" si="81"/>
        <v>0</v>
      </c>
      <c r="DZ107" s="281">
        <v>2.0299999999999998</v>
      </c>
      <c r="EA107" s="282">
        <f>SUMIF(EA5:EA103,"&gt;0")</f>
        <v>0</v>
      </c>
      <c r="EB107" s="277">
        <f>SUMIF(EB5:EB106,"&gt;0")</f>
        <v>0</v>
      </c>
      <c r="EC107" s="283"/>
      <c r="ED107" s="280" t="e">
        <f>(SUMIF(ED5:ED106,"&gt;0"))/EE107</f>
        <v>#DIV/0!</v>
      </c>
      <c r="EE107" s="331">
        <f>COUNTIF(EE5:EE106,1)</f>
        <v>0</v>
      </c>
      <c r="EF107" s="272"/>
      <c r="EG107" s="284">
        <f>SUMIF(EG5:EG106,"&gt;0")</f>
        <v>0</v>
      </c>
      <c r="EH107" s="284">
        <f>SUMIF(EH5:EH106,"&gt;0")</f>
        <v>0</v>
      </c>
      <c r="EI107" s="284">
        <f>SUMIF(EI5:EI106,"&gt;0")</f>
        <v>480</v>
      </c>
      <c r="EJ107" s="285"/>
      <c r="EK107" s="284">
        <f>SUMIF(EK5:EK106,"&gt;0")</f>
        <v>0</v>
      </c>
      <c r="EL107" s="280" t="e">
        <f>(SUMIF(EL5:EL106,"&gt;0"))/EM107</f>
        <v>#DIV/0!</v>
      </c>
      <c r="EM107" s="271">
        <f>COUNTIF(EM5:EM106,1)</f>
        <v>0</v>
      </c>
      <c r="EN107" s="272"/>
      <c r="EO107" s="284">
        <f>SUMIF(EO5:EO106,"&gt;0")</f>
        <v>0</v>
      </c>
      <c r="EP107" s="284">
        <f>SUMIF(EP5:EP106,"&gt;0")</f>
        <v>0</v>
      </c>
      <c r="EQ107" s="280" t="e">
        <f>(SUMIF(EQ5:EQ106,"&gt;0"))/ER107</f>
        <v>#DIV/0!</v>
      </c>
      <c r="ER107" s="271">
        <f>COUNTIF(ER5:ER106,1)</f>
        <v>0</v>
      </c>
      <c r="ES107" s="272"/>
      <c r="ET107" s="272"/>
      <c r="EU107" s="286">
        <f t="shared" si="98"/>
        <v>0</v>
      </c>
      <c r="EV107" s="286">
        <f>SUMIF(EV5:EV106,"&gt;0")</f>
        <v>0</v>
      </c>
      <c r="EW107" s="286">
        <f>SUMIF(EW5:EW106,"&gt;0")</f>
        <v>0</v>
      </c>
      <c r="EX107" s="286">
        <f>SUMIF(EX5:EX106,"&gt;0")</f>
        <v>0</v>
      </c>
      <c r="EY107" s="287"/>
      <c r="EZ107" s="286">
        <f>SUMIF(EZ5:EZ106,"&gt;0")</f>
        <v>0</v>
      </c>
      <c r="FA107" s="288">
        <f>SUMIF(FA5:FA106,"&gt;0")</f>
        <v>0</v>
      </c>
      <c r="FB107" s="332"/>
      <c r="FC107" s="267"/>
      <c r="FD107" s="131"/>
      <c r="FE107" s="219"/>
      <c r="FF107" s="219"/>
      <c r="FG107" s="219"/>
    </row>
    <row r="108" spans="1:164" s="302" customFormat="1" ht="54" customHeight="1" thickBot="1" x14ac:dyDescent="0.3">
      <c r="A108" s="289"/>
      <c r="B108" s="329"/>
      <c r="C108" s="132"/>
      <c r="D108" s="131"/>
      <c r="E108" s="421" t="s">
        <v>73</v>
      </c>
      <c r="F108" s="422"/>
      <c r="G108" s="422"/>
      <c r="H108" s="422"/>
      <c r="I108" s="422"/>
      <c r="J108" s="422"/>
      <c r="K108" s="423"/>
      <c r="L108" s="290"/>
      <c r="M108" s="291">
        <f t="shared" ref="M108:AM108" si="120">M107/($AN107+$CS107)</f>
        <v>0</v>
      </c>
      <c r="N108" s="291">
        <f t="shared" si="120"/>
        <v>0</v>
      </c>
      <c r="O108" s="291">
        <f t="shared" si="120"/>
        <v>0</v>
      </c>
      <c r="P108" s="291">
        <f t="shared" si="120"/>
        <v>0</v>
      </c>
      <c r="Q108" s="291">
        <f t="shared" si="120"/>
        <v>0</v>
      </c>
      <c r="R108" s="291">
        <f t="shared" si="120"/>
        <v>1</v>
      </c>
      <c r="S108" s="291">
        <f t="shared" si="120"/>
        <v>0</v>
      </c>
      <c r="T108" s="291">
        <f t="shared" si="120"/>
        <v>0</v>
      </c>
      <c r="U108" s="291">
        <f t="shared" si="120"/>
        <v>0</v>
      </c>
      <c r="V108" s="291">
        <f t="shared" si="120"/>
        <v>0</v>
      </c>
      <c r="W108" s="291">
        <f t="shared" si="120"/>
        <v>0</v>
      </c>
      <c r="X108" s="291">
        <f t="shared" si="120"/>
        <v>0</v>
      </c>
      <c r="Y108" s="291">
        <f t="shared" si="120"/>
        <v>0</v>
      </c>
      <c r="Z108" s="291">
        <f t="shared" si="120"/>
        <v>0</v>
      </c>
      <c r="AA108" s="291">
        <f t="shared" si="120"/>
        <v>0</v>
      </c>
      <c r="AB108" s="291">
        <f t="shared" si="120"/>
        <v>0</v>
      </c>
      <c r="AC108" s="291">
        <f t="shared" si="120"/>
        <v>0</v>
      </c>
      <c r="AD108" s="291">
        <f t="shared" si="120"/>
        <v>0</v>
      </c>
      <c r="AE108" s="291">
        <f t="shared" si="120"/>
        <v>0</v>
      </c>
      <c r="AF108" s="291">
        <f t="shared" si="120"/>
        <v>0</v>
      </c>
      <c r="AG108" s="291">
        <f t="shared" si="120"/>
        <v>0</v>
      </c>
      <c r="AH108" s="291">
        <f t="shared" si="120"/>
        <v>0</v>
      </c>
      <c r="AI108" s="291">
        <f t="shared" si="120"/>
        <v>0</v>
      </c>
      <c r="AJ108" s="291">
        <f t="shared" si="120"/>
        <v>0</v>
      </c>
      <c r="AK108" s="291">
        <f t="shared" si="120"/>
        <v>0</v>
      </c>
      <c r="AL108" s="291">
        <f t="shared" si="120"/>
        <v>0</v>
      </c>
      <c r="AM108" s="291">
        <f t="shared" si="120"/>
        <v>0</v>
      </c>
      <c r="AN108" s="292"/>
      <c r="AO108" s="292"/>
      <c r="AP108" s="293"/>
      <c r="AQ108" s="293"/>
      <c r="AR108" s="292"/>
      <c r="AS108" s="292"/>
      <c r="AT108" s="293"/>
      <c r="AU108" s="291">
        <f t="shared" ref="AU108:CR108" si="121">AU107/($AN107+$CS107)</f>
        <v>0</v>
      </c>
      <c r="AV108" s="291">
        <f t="shared" si="121"/>
        <v>0</v>
      </c>
      <c r="AW108" s="291">
        <f t="shared" si="121"/>
        <v>0</v>
      </c>
      <c r="AX108" s="291">
        <f t="shared" si="121"/>
        <v>0</v>
      </c>
      <c r="AY108" s="291">
        <f t="shared" si="121"/>
        <v>0</v>
      </c>
      <c r="AZ108" s="291">
        <f t="shared" si="121"/>
        <v>0</v>
      </c>
      <c r="BA108" s="291">
        <f t="shared" si="121"/>
        <v>0</v>
      </c>
      <c r="BB108" s="291">
        <f t="shared" si="121"/>
        <v>0</v>
      </c>
      <c r="BC108" s="291">
        <f t="shared" si="121"/>
        <v>0</v>
      </c>
      <c r="BD108" s="291">
        <f t="shared" si="121"/>
        <v>0</v>
      </c>
      <c r="BE108" s="291">
        <f t="shared" si="121"/>
        <v>0</v>
      </c>
      <c r="BF108" s="291">
        <f t="shared" si="121"/>
        <v>0</v>
      </c>
      <c r="BG108" s="291">
        <f t="shared" si="121"/>
        <v>0</v>
      </c>
      <c r="BH108" s="291">
        <f t="shared" si="121"/>
        <v>0</v>
      </c>
      <c r="BI108" s="291">
        <f t="shared" si="121"/>
        <v>0</v>
      </c>
      <c r="BJ108" s="291">
        <f t="shared" si="121"/>
        <v>0</v>
      </c>
      <c r="BK108" s="291">
        <f t="shared" si="121"/>
        <v>0</v>
      </c>
      <c r="BL108" s="291">
        <f t="shared" si="121"/>
        <v>0</v>
      </c>
      <c r="BM108" s="291">
        <f t="shared" si="121"/>
        <v>0</v>
      </c>
      <c r="BN108" s="291">
        <f t="shared" si="121"/>
        <v>0</v>
      </c>
      <c r="BO108" s="291">
        <f t="shared" si="121"/>
        <v>0</v>
      </c>
      <c r="BP108" s="291">
        <f t="shared" si="121"/>
        <v>0</v>
      </c>
      <c r="BQ108" s="291">
        <f t="shared" si="121"/>
        <v>0</v>
      </c>
      <c r="BR108" s="291">
        <f t="shared" si="121"/>
        <v>0</v>
      </c>
      <c r="BS108" s="291">
        <f t="shared" si="121"/>
        <v>0</v>
      </c>
      <c r="BT108" s="291">
        <f t="shared" si="121"/>
        <v>0</v>
      </c>
      <c r="BU108" s="291">
        <f t="shared" si="121"/>
        <v>0</v>
      </c>
      <c r="BV108" s="291">
        <f t="shared" si="121"/>
        <v>0</v>
      </c>
      <c r="BW108" s="291">
        <f t="shared" si="121"/>
        <v>0</v>
      </c>
      <c r="BX108" s="291">
        <f t="shared" si="121"/>
        <v>0</v>
      </c>
      <c r="BY108" s="291">
        <f t="shared" si="121"/>
        <v>0</v>
      </c>
      <c r="BZ108" s="291">
        <f t="shared" si="121"/>
        <v>0</v>
      </c>
      <c r="CA108" s="291">
        <f t="shared" si="121"/>
        <v>0</v>
      </c>
      <c r="CB108" s="291">
        <f t="shared" si="121"/>
        <v>0</v>
      </c>
      <c r="CC108" s="291">
        <f t="shared" si="121"/>
        <v>0</v>
      </c>
      <c r="CD108" s="291">
        <f t="shared" si="121"/>
        <v>0</v>
      </c>
      <c r="CE108" s="291">
        <f t="shared" si="121"/>
        <v>0</v>
      </c>
      <c r="CF108" s="291">
        <f t="shared" si="121"/>
        <v>0</v>
      </c>
      <c r="CG108" s="291">
        <f t="shared" si="121"/>
        <v>0</v>
      </c>
      <c r="CH108" s="291">
        <f t="shared" si="121"/>
        <v>0</v>
      </c>
      <c r="CI108" s="291">
        <f t="shared" si="121"/>
        <v>0</v>
      </c>
      <c r="CJ108" s="291">
        <f t="shared" si="121"/>
        <v>0</v>
      </c>
      <c r="CK108" s="291">
        <f t="shared" si="121"/>
        <v>0</v>
      </c>
      <c r="CL108" s="291">
        <f t="shared" si="121"/>
        <v>0</v>
      </c>
      <c r="CM108" s="291">
        <f t="shared" si="121"/>
        <v>0</v>
      </c>
      <c r="CN108" s="291">
        <f t="shared" si="121"/>
        <v>0</v>
      </c>
      <c r="CO108" s="291">
        <f t="shared" si="121"/>
        <v>0</v>
      </c>
      <c r="CP108" s="291">
        <f t="shared" si="121"/>
        <v>0</v>
      </c>
      <c r="CQ108" s="291">
        <f t="shared" si="121"/>
        <v>0</v>
      </c>
      <c r="CR108" s="291">
        <f t="shared" si="121"/>
        <v>0</v>
      </c>
      <c r="CS108" s="292"/>
      <c r="CT108" s="292"/>
      <c r="CU108" s="292"/>
      <c r="CV108" s="292"/>
      <c r="CW108" s="294"/>
      <c r="CX108" s="295"/>
      <c r="CY108" s="296"/>
      <c r="CZ108" s="296"/>
      <c r="DA108" s="296"/>
      <c r="DB108" s="272"/>
      <c r="DC108" s="292"/>
      <c r="DD108" s="272"/>
      <c r="DE108" s="272"/>
      <c r="DF108" s="272"/>
      <c r="DG108" s="297"/>
      <c r="DH108" s="298"/>
      <c r="DI108" s="272"/>
      <c r="DJ108" s="272"/>
      <c r="DK108" s="272"/>
      <c r="DL108" s="272"/>
      <c r="DM108" s="297"/>
      <c r="DN108" s="298"/>
      <c r="DO108" s="272"/>
      <c r="DP108" s="272"/>
      <c r="DQ108" s="272"/>
      <c r="DR108" s="272"/>
      <c r="DS108" s="297"/>
      <c r="DT108" s="298"/>
      <c r="DU108" s="272"/>
      <c r="DV108" s="272"/>
      <c r="DW108" s="298"/>
      <c r="DX108" s="272"/>
      <c r="DY108" s="272"/>
      <c r="DZ108" s="272"/>
      <c r="EA108" s="272"/>
      <c r="EB108" s="272"/>
      <c r="EC108" s="272"/>
      <c r="ED108" s="272"/>
      <c r="EE108" s="298"/>
      <c r="EF108" s="272"/>
      <c r="EG108" s="272"/>
      <c r="EH108" s="272"/>
      <c r="EI108" s="272"/>
      <c r="EJ108" s="272"/>
      <c r="EK108" s="272"/>
      <c r="EL108" s="272"/>
      <c r="EM108" s="298"/>
      <c r="EN108" s="272"/>
      <c r="EO108" s="272"/>
      <c r="EP108" s="272"/>
      <c r="EQ108" s="272"/>
      <c r="ER108" s="298"/>
      <c r="ES108" s="272"/>
      <c r="ET108" s="272"/>
      <c r="EU108" s="272"/>
      <c r="EV108" s="272"/>
      <c r="EW108" s="272"/>
      <c r="EX108" s="272"/>
      <c r="EY108" s="272"/>
      <c r="EZ108" s="272"/>
      <c r="FA108" s="299"/>
      <c r="FB108" s="300"/>
      <c r="FC108" s="272"/>
      <c r="FD108" s="272"/>
      <c r="FE108" s="301"/>
      <c r="FF108" s="301"/>
      <c r="FG108" s="301"/>
      <c r="FH108" s="289"/>
    </row>
    <row r="109" spans="1:164" s="302" customFormat="1" ht="54" customHeight="1" thickBot="1" x14ac:dyDescent="0.3">
      <c r="A109" s="289"/>
      <c r="B109" s="329"/>
      <c r="C109" s="132"/>
      <c r="D109" s="131"/>
      <c r="E109" s="424" t="s">
        <v>74</v>
      </c>
      <c r="F109" s="425"/>
      <c r="G109" s="425"/>
      <c r="H109" s="425"/>
      <c r="I109" s="425"/>
      <c r="J109" s="425"/>
      <c r="K109" s="426"/>
      <c r="L109" s="303"/>
      <c r="M109" s="304" t="e">
        <f t="shared" ref="M109:AM109" si="122">M107/$K107</f>
        <v>#DIV/0!</v>
      </c>
      <c r="N109" s="304" t="e">
        <f t="shared" si="122"/>
        <v>#DIV/0!</v>
      </c>
      <c r="O109" s="304" t="e">
        <f t="shared" si="122"/>
        <v>#DIV/0!</v>
      </c>
      <c r="P109" s="304" t="e">
        <f t="shared" si="122"/>
        <v>#DIV/0!</v>
      </c>
      <c r="Q109" s="304" t="e">
        <f t="shared" si="122"/>
        <v>#DIV/0!</v>
      </c>
      <c r="R109" s="304" t="e">
        <f t="shared" si="122"/>
        <v>#DIV/0!</v>
      </c>
      <c r="S109" s="304" t="e">
        <f t="shared" si="122"/>
        <v>#DIV/0!</v>
      </c>
      <c r="T109" s="304" t="e">
        <f t="shared" si="122"/>
        <v>#DIV/0!</v>
      </c>
      <c r="U109" s="304" t="e">
        <f t="shared" si="122"/>
        <v>#DIV/0!</v>
      </c>
      <c r="V109" s="304" t="e">
        <f t="shared" si="122"/>
        <v>#DIV/0!</v>
      </c>
      <c r="W109" s="304" t="e">
        <f t="shared" si="122"/>
        <v>#DIV/0!</v>
      </c>
      <c r="X109" s="304" t="e">
        <f t="shared" si="122"/>
        <v>#DIV/0!</v>
      </c>
      <c r="Y109" s="304" t="e">
        <f t="shared" si="122"/>
        <v>#DIV/0!</v>
      </c>
      <c r="Z109" s="304" t="e">
        <f t="shared" si="122"/>
        <v>#DIV/0!</v>
      </c>
      <c r="AA109" s="304" t="e">
        <f t="shared" si="122"/>
        <v>#DIV/0!</v>
      </c>
      <c r="AB109" s="304" t="e">
        <f t="shared" si="122"/>
        <v>#DIV/0!</v>
      </c>
      <c r="AC109" s="304" t="e">
        <f t="shared" si="122"/>
        <v>#DIV/0!</v>
      </c>
      <c r="AD109" s="304" t="e">
        <f t="shared" si="122"/>
        <v>#DIV/0!</v>
      </c>
      <c r="AE109" s="304" t="e">
        <f t="shared" si="122"/>
        <v>#DIV/0!</v>
      </c>
      <c r="AF109" s="304" t="e">
        <f t="shared" si="122"/>
        <v>#DIV/0!</v>
      </c>
      <c r="AG109" s="304" t="e">
        <f t="shared" si="122"/>
        <v>#DIV/0!</v>
      </c>
      <c r="AH109" s="304" t="e">
        <f>AH107/$K107</f>
        <v>#DIV/0!</v>
      </c>
      <c r="AI109" s="304" t="e">
        <f>AI107/$K107</f>
        <v>#DIV/0!</v>
      </c>
      <c r="AJ109" s="304" t="e">
        <f>AJ107/$K107</f>
        <v>#DIV/0!</v>
      </c>
      <c r="AK109" s="304" t="e">
        <f t="shared" si="122"/>
        <v>#DIV/0!</v>
      </c>
      <c r="AL109" s="304" t="e">
        <f t="shared" si="122"/>
        <v>#DIV/0!</v>
      </c>
      <c r="AM109" s="304" t="e">
        <f t="shared" si="122"/>
        <v>#DIV/0!</v>
      </c>
      <c r="AN109" s="292"/>
      <c r="AO109" s="292"/>
      <c r="AP109" s="293"/>
      <c r="AQ109" s="293"/>
      <c r="AR109" s="292"/>
      <c r="AS109" s="292"/>
      <c r="AT109" s="293"/>
      <c r="AU109" s="305" t="e">
        <f t="shared" ref="AU109:CR109" si="123">AU107/$K107</f>
        <v>#DIV/0!</v>
      </c>
      <c r="AV109" s="305" t="e">
        <f t="shared" si="123"/>
        <v>#DIV/0!</v>
      </c>
      <c r="AW109" s="305" t="e">
        <f t="shared" si="123"/>
        <v>#DIV/0!</v>
      </c>
      <c r="AX109" s="305" t="e">
        <f t="shared" si="123"/>
        <v>#DIV/0!</v>
      </c>
      <c r="AY109" s="305" t="e">
        <f t="shared" si="123"/>
        <v>#DIV/0!</v>
      </c>
      <c r="AZ109" s="305" t="e">
        <f t="shared" si="123"/>
        <v>#DIV/0!</v>
      </c>
      <c r="BA109" s="305" t="e">
        <f t="shared" si="123"/>
        <v>#DIV/0!</v>
      </c>
      <c r="BB109" s="305" t="e">
        <f t="shared" si="123"/>
        <v>#DIV/0!</v>
      </c>
      <c r="BC109" s="305" t="e">
        <f t="shared" si="123"/>
        <v>#DIV/0!</v>
      </c>
      <c r="BD109" s="305" t="e">
        <f t="shared" si="123"/>
        <v>#DIV/0!</v>
      </c>
      <c r="BE109" s="305" t="e">
        <f t="shared" si="123"/>
        <v>#DIV/0!</v>
      </c>
      <c r="BF109" s="305" t="e">
        <f t="shared" si="123"/>
        <v>#DIV/0!</v>
      </c>
      <c r="BG109" s="305" t="e">
        <f t="shared" si="123"/>
        <v>#DIV/0!</v>
      </c>
      <c r="BH109" s="305" t="e">
        <f t="shared" si="123"/>
        <v>#DIV/0!</v>
      </c>
      <c r="BI109" s="305" t="e">
        <f t="shared" si="123"/>
        <v>#DIV/0!</v>
      </c>
      <c r="BJ109" s="305" t="e">
        <f t="shared" si="123"/>
        <v>#DIV/0!</v>
      </c>
      <c r="BK109" s="305" t="e">
        <f t="shared" si="123"/>
        <v>#DIV/0!</v>
      </c>
      <c r="BL109" s="305" t="e">
        <f t="shared" si="123"/>
        <v>#DIV/0!</v>
      </c>
      <c r="BM109" s="305" t="e">
        <f t="shared" si="123"/>
        <v>#DIV/0!</v>
      </c>
      <c r="BN109" s="305" t="e">
        <f t="shared" si="123"/>
        <v>#DIV/0!</v>
      </c>
      <c r="BO109" s="305" t="e">
        <f t="shared" si="123"/>
        <v>#DIV/0!</v>
      </c>
      <c r="BP109" s="305" t="e">
        <f t="shared" si="123"/>
        <v>#DIV/0!</v>
      </c>
      <c r="BQ109" s="305" t="e">
        <f t="shared" si="123"/>
        <v>#DIV/0!</v>
      </c>
      <c r="BR109" s="305" t="e">
        <f t="shared" si="123"/>
        <v>#DIV/0!</v>
      </c>
      <c r="BS109" s="305" t="e">
        <f t="shared" si="123"/>
        <v>#DIV/0!</v>
      </c>
      <c r="BT109" s="305" t="e">
        <f t="shared" si="123"/>
        <v>#DIV/0!</v>
      </c>
      <c r="BU109" s="305" t="e">
        <f t="shared" si="123"/>
        <v>#DIV/0!</v>
      </c>
      <c r="BV109" s="305" t="e">
        <f t="shared" si="123"/>
        <v>#DIV/0!</v>
      </c>
      <c r="BW109" s="305" t="e">
        <f t="shared" si="123"/>
        <v>#DIV/0!</v>
      </c>
      <c r="BX109" s="305" t="e">
        <f t="shared" si="123"/>
        <v>#DIV/0!</v>
      </c>
      <c r="BY109" s="305" t="e">
        <f t="shared" si="123"/>
        <v>#DIV/0!</v>
      </c>
      <c r="BZ109" s="305" t="e">
        <f t="shared" si="123"/>
        <v>#DIV/0!</v>
      </c>
      <c r="CA109" s="305" t="e">
        <f t="shared" si="123"/>
        <v>#DIV/0!</v>
      </c>
      <c r="CB109" s="305" t="e">
        <f t="shared" si="123"/>
        <v>#DIV/0!</v>
      </c>
      <c r="CC109" s="305" t="e">
        <f t="shared" si="123"/>
        <v>#DIV/0!</v>
      </c>
      <c r="CD109" s="305" t="e">
        <f t="shared" si="123"/>
        <v>#DIV/0!</v>
      </c>
      <c r="CE109" s="304" t="e">
        <f t="shared" si="123"/>
        <v>#DIV/0!</v>
      </c>
      <c r="CF109" s="304" t="e">
        <f t="shared" si="123"/>
        <v>#DIV/0!</v>
      </c>
      <c r="CG109" s="304" t="e">
        <f t="shared" si="123"/>
        <v>#DIV/0!</v>
      </c>
      <c r="CH109" s="304" t="e">
        <f t="shared" si="123"/>
        <v>#DIV/0!</v>
      </c>
      <c r="CI109" s="304" t="e">
        <f t="shared" si="123"/>
        <v>#DIV/0!</v>
      </c>
      <c r="CJ109" s="304" t="e">
        <f t="shared" si="123"/>
        <v>#DIV/0!</v>
      </c>
      <c r="CK109" s="304" t="e">
        <f t="shared" si="123"/>
        <v>#DIV/0!</v>
      </c>
      <c r="CL109" s="304" t="e">
        <f t="shared" si="123"/>
        <v>#DIV/0!</v>
      </c>
      <c r="CM109" s="304" t="e">
        <f t="shared" si="123"/>
        <v>#DIV/0!</v>
      </c>
      <c r="CN109" s="304" t="e">
        <f t="shared" si="123"/>
        <v>#DIV/0!</v>
      </c>
      <c r="CO109" s="305" t="e">
        <f t="shared" si="123"/>
        <v>#DIV/0!</v>
      </c>
      <c r="CP109" s="305" t="e">
        <f t="shared" si="123"/>
        <v>#DIV/0!</v>
      </c>
      <c r="CQ109" s="305" t="e">
        <f t="shared" si="123"/>
        <v>#DIV/0!</v>
      </c>
      <c r="CR109" s="305" t="e">
        <f t="shared" si="123"/>
        <v>#DIV/0!</v>
      </c>
      <c r="CS109" s="292"/>
      <c r="CT109" s="292"/>
      <c r="CU109" s="292"/>
      <c r="CV109" s="292"/>
      <c r="CW109" s="295"/>
      <c r="CX109" s="295"/>
      <c r="CY109" s="296"/>
      <c r="CZ109" s="296"/>
      <c r="DA109" s="296"/>
      <c r="DB109" s="272"/>
      <c r="DC109" s="292"/>
      <c r="DD109" s="272"/>
      <c r="DE109" s="272"/>
      <c r="DF109" s="272"/>
      <c r="DG109" s="297"/>
      <c r="DH109" s="298"/>
      <c r="DI109" s="272"/>
      <c r="DJ109" s="272"/>
      <c r="DK109" s="272"/>
      <c r="DL109" s="272"/>
      <c r="DM109" s="297"/>
      <c r="DN109" s="298"/>
      <c r="DO109" s="272"/>
      <c r="DP109" s="272"/>
      <c r="DQ109" s="272"/>
      <c r="DR109" s="272"/>
      <c r="DS109" s="297"/>
      <c r="DT109" s="298"/>
      <c r="DU109" s="272"/>
      <c r="DV109" s="272"/>
      <c r="DW109" s="298"/>
      <c r="DX109" s="272"/>
      <c r="DY109" s="272"/>
      <c r="DZ109" s="272"/>
      <c r="EA109" s="272"/>
      <c r="EB109" s="272"/>
      <c r="EC109" s="272"/>
      <c r="ED109" s="272"/>
      <c r="EE109" s="298"/>
      <c r="EF109" s="272"/>
      <c r="EG109" s="272"/>
      <c r="EH109" s="272"/>
      <c r="EI109" s="272"/>
      <c r="EJ109" s="272"/>
      <c r="EK109" s="272"/>
      <c r="EL109" s="272"/>
      <c r="EM109" s="298"/>
      <c r="EN109" s="272"/>
      <c r="EO109" s="272"/>
      <c r="EP109" s="272"/>
      <c r="EQ109" s="272"/>
      <c r="ER109" s="298"/>
      <c r="ES109" s="272"/>
      <c r="ET109" s="272"/>
      <c r="EU109" s="272"/>
      <c r="EV109" s="272"/>
      <c r="EW109" s="272"/>
      <c r="EX109" s="272"/>
      <c r="EY109" s="272"/>
      <c r="EZ109" s="272"/>
      <c r="FA109" s="299"/>
      <c r="FB109" s="300"/>
      <c r="FC109" s="272"/>
      <c r="FD109" s="272"/>
      <c r="FE109" s="301"/>
      <c r="FF109" s="301"/>
      <c r="FG109" s="301"/>
      <c r="FH109" s="289"/>
    </row>
    <row r="110" spans="1:164" s="15" customFormat="1" ht="54" customHeight="1" thickBot="1" x14ac:dyDescent="0.3">
      <c r="B110" s="329"/>
      <c r="C110" s="132"/>
      <c r="D110" s="131"/>
      <c r="E110" s="427" t="s">
        <v>75</v>
      </c>
      <c r="F110" s="428"/>
      <c r="G110" s="428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/>
      <c r="R110" s="428"/>
      <c r="S110" s="428"/>
      <c r="T110" s="428"/>
      <c r="U110" s="428"/>
      <c r="V110" s="428"/>
      <c r="W110" s="428"/>
      <c r="X110" s="428"/>
      <c r="Y110" s="428"/>
      <c r="Z110" s="428"/>
      <c r="AA110" s="428"/>
      <c r="AB110" s="428"/>
      <c r="AC110" s="428"/>
      <c r="AD110" s="428"/>
      <c r="AE110" s="428"/>
      <c r="AF110" s="428"/>
      <c r="AG110" s="428"/>
      <c r="AH110" s="428"/>
      <c r="AI110" s="428"/>
      <c r="AJ110" s="428"/>
      <c r="AK110" s="428"/>
      <c r="AL110" s="428"/>
      <c r="AM110" s="428"/>
      <c r="AN110" s="428"/>
      <c r="AO110" s="428"/>
      <c r="AP110" s="428"/>
      <c r="AQ110" s="428"/>
      <c r="AR110" s="428"/>
      <c r="AS110" s="428"/>
      <c r="AT110" s="429"/>
      <c r="AU110" s="306">
        <f>AU107/$AP107</f>
        <v>0</v>
      </c>
      <c r="AV110" s="306">
        <f t="shared" ref="AV110:CR110" si="124">AV107/$AP107</f>
        <v>0</v>
      </c>
      <c r="AW110" s="306">
        <f t="shared" si="124"/>
        <v>0</v>
      </c>
      <c r="AX110" s="306">
        <f t="shared" si="124"/>
        <v>0</v>
      </c>
      <c r="AY110" s="306">
        <f t="shared" si="124"/>
        <v>0</v>
      </c>
      <c r="AZ110" s="306">
        <f t="shared" si="124"/>
        <v>0</v>
      </c>
      <c r="BA110" s="306">
        <f t="shared" si="124"/>
        <v>0</v>
      </c>
      <c r="BB110" s="306">
        <f t="shared" si="124"/>
        <v>0</v>
      </c>
      <c r="BC110" s="306">
        <f t="shared" si="124"/>
        <v>0</v>
      </c>
      <c r="BD110" s="306">
        <f t="shared" si="124"/>
        <v>0</v>
      </c>
      <c r="BE110" s="306">
        <f t="shared" si="124"/>
        <v>0</v>
      </c>
      <c r="BF110" s="306">
        <f t="shared" si="124"/>
        <v>0</v>
      </c>
      <c r="BG110" s="306">
        <f t="shared" si="124"/>
        <v>0</v>
      </c>
      <c r="BH110" s="306">
        <f t="shared" si="124"/>
        <v>0</v>
      </c>
      <c r="BI110" s="306">
        <f t="shared" si="124"/>
        <v>0</v>
      </c>
      <c r="BJ110" s="306">
        <f t="shared" si="124"/>
        <v>0</v>
      </c>
      <c r="BK110" s="306">
        <f t="shared" si="124"/>
        <v>0</v>
      </c>
      <c r="BL110" s="306">
        <f t="shared" si="124"/>
        <v>0</v>
      </c>
      <c r="BM110" s="306">
        <f t="shared" si="124"/>
        <v>0</v>
      </c>
      <c r="BN110" s="306">
        <f t="shared" si="124"/>
        <v>0</v>
      </c>
      <c r="BO110" s="306">
        <f t="shared" si="124"/>
        <v>0</v>
      </c>
      <c r="BP110" s="306">
        <f t="shared" si="124"/>
        <v>0</v>
      </c>
      <c r="BQ110" s="306">
        <f t="shared" si="124"/>
        <v>0</v>
      </c>
      <c r="BR110" s="306">
        <f t="shared" si="124"/>
        <v>0</v>
      </c>
      <c r="BS110" s="306">
        <f t="shared" si="124"/>
        <v>0</v>
      </c>
      <c r="BT110" s="306">
        <f t="shared" si="124"/>
        <v>0</v>
      </c>
      <c r="BU110" s="306">
        <f t="shared" si="124"/>
        <v>0</v>
      </c>
      <c r="BV110" s="306">
        <f t="shared" si="124"/>
        <v>0</v>
      </c>
      <c r="BW110" s="306">
        <f t="shared" si="124"/>
        <v>0</v>
      </c>
      <c r="BX110" s="306">
        <f t="shared" si="124"/>
        <v>0</v>
      </c>
      <c r="BY110" s="306">
        <f t="shared" si="124"/>
        <v>0</v>
      </c>
      <c r="BZ110" s="306">
        <f t="shared" si="124"/>
        <v>0</v>
      </c>
      <c r="CA110" s="306">
        <f t="shared" si="124"/>
        <v>0</v>
      </c>
      <c r="CB110" s="306">
        <f t="shared" si="124"/>
        <v>0</v>
      </c>
      <c r="CC110" s="306">
        <f t="shared" si="124"/>
        <v>0</v>
      </c>
      <c r="CD110" s="306">
        <f t="shared" si="124"/>
        <v>0</v>
      </c>
      <c r="CE110" s="306">
        <f t="shared" si="124"/>
        <v>0</v>
      </c>
      <c r="CF110" s="306">
        <f t="shared" si="124"/>
        <v>0</v>
      </c>
      <c r="CG110" s="306">
        <f t="shared" si="124"/>
        <v>0</v>
      </c>
      <c r="CH110" s="306">
        <f t="shared" si="124"/>
        <v>0</v>
      </c>
      <c r="CI110" s="306">
        <f t="shared" si="124"/>
        <v>0</v>
      </c>
      <c r="CJ110" s="306">
        <f t="shared" si="124"/>
        <v>0</v>
      </c>
      <c r="CK110" s="306">
        <f t="shared" si="124"/>
        <v>0</v>
      </c>
      <c r="CL110" s="306">
        <f t="shared" si="124"/>
        <v>0</v>
      </c>
      <c r="CM110" s="306">
        <f t="shared" si="124"/>
        <v>0</v>
      </c>
      <c r="CN110" s="306">
        <f t="shared" si="124"/>
        <v>0</v>
      </c>
      <c r="CO110" s="306">
        <f t="shared" si="124"/>
        <v>0</v>
      </c>
      <c r="CP110" s="306">
        <f t="shared" si="124"/>
        <v>0</v>
      </c>
      <c r="CQ110" s="306">
        <f t="shared" si="124"/>
        <v>0</v>
      </c>
      <c r="CR110" s="306">
        <f t="shared" si="124"/>
        <v>0</v>
      </c>
      <c r="CS110" s="307"/>
      <c r="CT110" s="308"/>
      <c r="CV110" s="309"/>
      <c r="CW110" s="310"/>
      <c r="CX110" s="310"/>
      <c r="CY110" s="311"/>
      <c r="CZ110" s="311"/>
      <c r="DA110" s="311"/>
      <c r="DB110" s="310"/>
      <c r="DF110" s="15" t="s">
        <v>76</v>
      </c>
      <c r="DH110" s="312"/>
      <c r="DL110" s="313"/>
      <c r="DN110" s="312"/>
      <c r="DT110" s="312"/>
      <c r="DV110" s="310"/>
      <c r="DW110" s="312"/>
      <c r="EE110" s="312"/>
      <c r="EM110" s="312"/>
      <c r="ER110" s="312"/>
      <c r="FB110" s="314"/>
    </row>
    <row r="111" spans="1:164" x14ac:dyDescent="0.25">
      <c r="D111" s="131"/>
      <c r="FB111" s="318"/>
    </row>
    <row r="112" spans="1:164" x14ac:dyDescent="0.25">
      <c r="D112" s="131"/>
    </row>
    <row r="113" spans="4:4" x14ac:dyDescent="0.25">
      <c r="D113" s="131"/>
    </row>
    <row r="114" spans="4:4" x14ac:dyDescent="0.25">
      <c r="D114" s="131"/>
    </row>
    <row r="115" spans="4:4" x14ac:dyDescent="0.25">
      <c r="D115" s="131"/>
    </row>
    <row r="116" spans="4:4" x14ac:dyDescent="0.25">
      <c r="D116" s="131"/>
    </row>
    <row r="117" spans="4:4" x14ac:dyDescent="0.25">
      <c r="D117" s="131"/>
    </row>
    <row r="118" spans="4:4" x14ac:dyDescent="0.25">
      <c r="D118" s="131"/>
    </row>
  </sheetData>
  <protectedRanges>
    <protectedRange sqref="FB5:FB22 FB51:FB73 FB24:FB49 FB75:FB111" name="just"/>
    <protectedRange sqref="DP34:DQ49 DP5:DQ6 DQ7:DQ22 DP7:DP33 DQ24:DQ33 DP51:DQ106" name="output_2"/>
    <protectedRange sqref="AR72:CD73 AR71:AX71 BQ71:CD71 CO5:CR73 AR24:CD49 AR5:CD22 AR51:CD70 CO75:CR106 AR75:CD106" name="bd1"/>
    <protectedRange sqref="M99:R100 M102:R103 M15:R16 M57:R58 M60:R61 M63:R64 M66:R67 M69:R70 M72:R73 M75:R76 M78:R79 M81:R82 CE51:CN73 CE5:CN22 CE24:CN49 M105:R106 S5:AM106 CE75:CN106" name="uncontrol"/>
    <protectedRange sqref="F99:H100 F102:H103 F105:H106" name="type"/>
    <protectedRange sqref="M53:R54 M71:R71 M74:R74 O55:R55 M68:R68 M5:R14 M17:R47 M50:R50 M56:R56 M59:R59 M62:R62 M83:R97" name="uncontrol_1_1_7"/>
    <protectedRange sqref="M48:R49 M51:R52" name="uncontrol_2_1"/>
    <protectedRange sqref="FB50" name="just_1_2"/>
    <protectedRange sqref="DP50:DQ50" name="output_1_1"/>
    <protectedRange sqref="AR50:CD50 CO50:CR50" name="bd1_1_1"/>
    <protectedRange sqref="CE50:CN50" name="uncontrol_3_1"/>
    <protectedRange sqref="FB23" name="just_3"/>
    <protectedRange sqref="DQ23" name="output_3"/>
    <protectedRange sqref="AR23:CD23 CO23:CR23" name="bd1_3"/>
    <protectedRange sqref="CE23:CN23" name="uncontrol_5"/>
    <protectedRange sqref="E99:E100 E102:E103 E105:E106" name="type_2_1_9"/>
    <protectedRange sqref="AR74:CD74" name="bd1_4"/>
    <protectedRange sqref="FB74" name="just_2_1_1"/>
    <protectedRange sqref="CO74:CR74 AR74:CD74" name="bd1_2_1"/>
    <protectedRange sqref="CE74:CN74" name="uncontrol_4_1_1"/>
    <protectedRange sqref="AY71:BP71" name="bd1_2"/>
    <protectedRange sqref="M55:N55" name="uncontrol_1_1_4_1"/>
    <protectedRange sqref="M77:Q77 M80:Q80 M98:Q98 M101:Q101 M104:Q104" name="uncontrol_1_1_2_2_3"/>
    <protectedRange sqref="R77 R80 R98 R101 R104" name="uncontrol_1_1_1_3"/>
    <protectedRange sqref="F98:G98 F101:G101 F104:G104" name="type_1_1_1_9_8_2_3_1_3"/>
    <protectedRange sqref="H98 H101 H104" name="type_1_1_1_2_7_8_2_3_1_3"/>
    <protectedRange sqref="E98 E101 E104" name="type_2_1_8_8_2_3_1_3"/>
    <protectedRange sqref="M65:R65" name="uncontrol_1_1_3"/>
    <protectedRange sqref="F57:G58 F15:H16 F81:H82 F60:H61 F63:H64 F66:H67 F69:H70 F72:H73 F76:H76 F78:H79" name="type_2"/>
    <protectedRange sqref="F6:H7 F54:G54 F96:H97 F24:H25 F27:H28 F71:G71 F74:G74 F9:H10 F12:H13 F18:H19 F42:H43 F45:H46 F84:H85 F83:G83 F21:H22 F30:H31 F39:H40 F36:H37 F68:G68 F95:G95 F33:G34 F93:H94 F92:G92 F90:H91 F89:G89 F87:H88 F86:G86" name="type_1_1_1_10_1"/>
    <protectedRange sqref="F49:H49 F51:H52 F48:G48" name="type_1_1_2"/>
    <protectedRange sqref="H71 H74 H83 H68 H95 H33:H34 H48 H54:H55 H57:H58 H77 H80 H92 H89 H86" name="type_1_1_1_2_8_1"/>
    <protectedRange sqref="E57:E58 E6:E7 E30:E31 E36:E37 E33:E34 E39:E40 E42:E43 E45:E46 E48:E49 E51:E52 E54 E60:E61 E63:E64 E66:E74 E78:E79 E9:E10 E12:E13 E15:E16 E18:E19 E21:E22 E24:E25 E27:E28 E76 E81:E97" name="type_2_1_9_1"/>
    <protectedRange sqref="F55:G55" name="type_1_1_1_4_1_1"/>
    <protectedRange sqref="E55" name="type_2_1_4_1_1"/>
    <protectedRange sqref="F32:G32" name="type_1_1_1_9_3_2"/>
    <protectedRange sqref="H32" name="type_1_1_1_2_7_3"/>
    <protectedRange sqref="E32" name="type_2_1_8_3_2"/>
    <protectedRange sqref="F38:G38 F41:G41 F44:G44" name="type_1_1_1_9_8_3_1"/>
    <protectedRange sqref="H38 H41 H44" name="type_1_1_1_2_7_8_3_1"/>
    <protectedRange sqref="E38 E41 E44" name="type_2_1_8_8_3_1"/>
    <protectedRange sqref="F47:G47 F50:G50 F53:G53 F56:G56 F59:G59 F62:G62 F65:G65" name="type_1_1_1_9_8_2_2_2"/>
    <protectedRange sqref="H47 H50 H53 H56 H59 H62 H65" name="type_1_1_1_2_7_8_2_2_2"/>
    <protectedRange sqref="E47 E50 E53 E56 E59 E62 E65" name="type_2_1_8_8_2_2_2"/>
    <protectedRange sqref="F77:G77 F80:G80" name="type_1_1_1_9_8_2_3_1_4"/>
    <protectedRange sqref="E77 E80" name="type_2_1_8_8_2_3_1_4"/>
    <protectedRange sqref="F5:G5" name="type_1_1_1_11"/>
    <protectedRange sqref="H5" name="type_1_1_1_2_10"/>
    <protectedRange sqref="E5" name="type_2_1_10"/>
    <protectedRange sqref="F8:G8" name="type_1_1_1_1_1"/>
    <protectedRange sqref="H8" name="type_1_1_1_2_1_1"/>
    <protectedRange sqref="E8" name="type_2_1_1_1"/>
    <protectedRange sqref="F11:G11" name="type_1_1_1_3_1"/>
    <protectedRange sqref="H11" name="type_1_1_1_2_2_1"/>
    <protectedRange sqref="E11" name="type_2_1_2_1"/>
    <protectedRange sqref="F14:G14" name="type_1_1_1_4_2"/>
    <protectedRange sqref="H14" name="type_1_1_1_2_3_1"/>
    <protectedRange sqref="E14" name="type_2_1_3_1"/>
    <protectedRange sqref="F17:G17" name="type_1_1_1_5_1"/>
    <protectedRange sqref="H17" name="type_1_1_1_2_4_1"/>
    <protectedRange sqref="E17" name="type_2_1_4_2"/>
    <protectedRange sqref="F20:G20" name="type_1_1_1_6_1"/>
    <protectedRange sqref="H20" name="type_1_1_1_2_5_1"/>
    <protectedRange sqref="E20" name="type_2_1_5_1"/>
    <protectedRange sqref="F23:G23" name="type_1_1_1_7_1"/>
    <protectedRange sqref="H23" name="type_1_1_1_2_6_1"/>
    <protectedRange sqref="E23" name="type_2_1_6_1"/>
    <protectedRange sqref="F26:G26" name="type_1_1_1_8_1"/>
    <protectedRange sqref="H26" name="type_1_1_1_2_7_1"/>
    <protectedRange sqref="E26" name="type_2_1_7_1"/>
    <protectedRange sqref="F29:G29" name="type_1_1_1_9_1"/>
    <protectedRange sqref="H29" name="type_1_1_1_2_9_1"/>
    <protectedRange sqref="E29" name="type_2_1_8_1"/>
    <protectedRange sqref="F35:G35" name="type_1_1_1_9_1_1"/>
    <protectedRange sqref="H35" name="type_1_1_1_2_9_1_1"/>
    <protectedRange sqref="E35" name="type_2_1_8_1_1"/>
    <protectedRange sqref="F75:H75" name="type_2_2"/>
    <protectedRange sqref="E75" name="type_2_1_9_1_1"/>
  </protectedRanges>
  <mergeCells count="104">
    <mergeCell ref="B104:B106"/>
    <mergeCell ref="C104:C106"/>
    <mergeCell ref="E108:K108"/>
    <mergeCell ref="E109:K109"/>
    <mergeCell ref="E110:AT110"/>
    <mergeCell ref="B95:B97"/>
    <mergeCell ref="C95:C97"/>
    <mergeCell ref="B98:B100"/>
    <mergeCell ref="C98:C100"/>
    <mergeCell ref="B101:B103"/>
    <mergeCell ref="C101:C103"/>
    <mergeCell ref="B86:B88"/>
    <mergeCell ref="C86:C88"/>
    <mergeCell ref="B89:B91"/>
    <mergeCell ref="C89:C91"/>
    <mergeCell ref="B92:B94"/>
    <mergeCell ref="C92:C94"/>
    <mergeCell ref="B77:B79"/>
    <mergeCell ref="C77:C79"/>
    <mergeCell ref="B80:B82"/>
    <mergeCell ref="C80:C82"/>
    <mergeCell ref="B83:B85"/>
    <mergeCell ref="C83:C85"/>
    <mergeCell ref="B68:B70"/>
    <mergeCell ref="C68:C70"/>
    <mergeCell ref="B71:B73"/>
    <mergeCell ref="C71:C73"/>
    <mergeCell ref="B74:B76"/>
    <mergeCell ref="C74:C76"/>
    <mergeCell ref="B59:B61"/>
    <mergeCell ref="C59:C61"/>
    <mergeCell ref="B62:B64"/>
    <mergeCell ref="C62:C64"/>
    <mergeCell ref="B65:B67"/>
    <mergeCell ref="C65:C67"/>
    <mergeCell ref="B50:B52"/>
    <mergeCell ref="C50:C52"/>
    <mergeCell ref="B53:B55"/>
    <mergeCell ref="C53:C55"/>
    <mergeCell ref="B56:B58"/>
    <mergeCell ref="C56:C58"/>
    <mergeCell ref="B41:B43"/>
    <mergeCell ref="C41:C43"/>
    <mergeCell ref="B44:B46"/>
    <mergeCell ref="C44:C46"/>
    <mergeCell ref="B47:B49"/>
    <mergeCell ref="C47:C49"/>
    <mergeCell ref="B32:B34"/>
    <mergeCell ref="C32:C34"/>
    <mergeCell ref="B35:B37"/>
    <mergeCell ref="C35:C37"/>
    <mergeCell ref="B38:B40"/>
    <mergeCell ref="C38:C40"/>
    <mergeCell ref="B23:B25"/>
    <mergeCell ref="C23:C25"/>
    <mergeCell ref="B26:B28"/>
    <mergeCell ref="C26:C28"/>
    <mergeCell ref="B29:B31"/>
    <mergeCell ref="C29:C31"/>
    <mergeCell ref="B14:B16"/>
    <mergeCell ref="C14:C16"/>
    <mergeCell ref="B17:B19"/>
    <mergeCell ref="C17:C19"/>
    <mergeCell ref="B20:B22"/>
    <mergeCell ref="C20:C22"/>
    <mergeCell ref="EQ2:EQ3"/>
    <mergeCell ref="B5:B7"/>
    <mergeCell ref="C5:C7"/>
    <mergeCell ref="B8:B10"/>
    <mergeCell ref="C8:C10"/>
    <mergeCell ref="B11:B13"/>
    <mergeCell ref="C11:C13"/>
    <mergeCell ref="ED2:ED3"/>
    <mergeCell ref="EG2:EG3"/>
    <mergeCell ref="EH2:EK2"/>
    <mergeCell ref="EL2:EL3"/>
    <mergeCell ref="EO2:EO3"/>
    <mergeCell ref="EP2:EP3"/>
    <mergeCell ref="DD2:DG2"/>
    <mergeCell ref="DJ2:DM2"/>
    <mergeCell ref="DP2:DS2"/>
    <mergeCell ref="DV2:DV3"/>
    <mergeCell ref="DY2:DY3"/>
    <mergeCell ref="EB2:EB3"/>
    <mergeCell ref="EG1:EL1"/>
    <mergeCell ref="EO1:EQ1"/>
    <mergeCell ref="K2:K3"/>
    <mergeCell ref="M2:Z2"/>
    <mergeCell ref="AA2:AM2"/>
    <mergeCell ref="AN2:AN3"/>
    <mergeCell ref="AP2:AP3"/>
    <mergeCell ref="AR2:AR3"/>
    <mergeCell ref="AS2:AS3"/>
    <mergeCell ref="AU2:BQ2"/>
    <mergeCell ref="K1:AP1"/>
    <mergeCell ref="AR1:AS1"/>
    <mergeCell ref="AU1:CU1"/>
    <mergeCell ref="CW1:DB2"/>
    <mergeCell ref="DD1:DV1"/>
    <mergeCell ref="DY1:ED1"/>
    <mergeCell ref="BR2:CC2"/>
    <mergeCell ref="CD2:CR2"/>
    <mergeCell ref="CS2:CS3"/>
    <mergeCell ref="CU2:CU3"/>
  </mergeCells>
  <conditionalFormatting sqref="C1:C3 C98 C101 C104">
    <cfRule type="cellIs" dxfId="5" priority="4" stopIfTrue="1" operator="equal">
      <formula>"SUN"</formula>
    </cfRule>
  </conditionalFormatting>
  <conditionalFormatting sqref="C5 C8 C11 C14 C17 C20 C23 C26 C29 C32 C35 C38 C41 C44 C47 C50 C53 C56 C59 C62 C65 C68 C71 C74 C77 C80 C83 C86 C89 C92">
    <cfRule type="cellIs" dxfId="4" priority="1" stopIfTrue="1" operator="equal">
      <formula>"SUN"</formula>
    </cfRule>
  </conditionalFormatting>
  <conditionalFormatting sqref="C95">
    <cfRule type="cellIs" dxfId="3" priority="2" stopIfTrue="1" operator="equal">
      <formula>"SUN"</formula>
    </cfRule>
  </conditionalFormatting>
  <conditionalFormatting sqref="DV107 ED107 EL107 EQ107">
    <cfRule type="cellIs" dxfId="2" priority="5" stopIfTrue="1" operator="lessThan">
      <formula>0.75</formula>
    </cfRule>
  </conditionalFormatting>
  <conditionalFormatting sqref="DX3 EL108:EL109 EQ108:EQ109">
    <cfRule type="cellIs" dxfId="1" priority="6" stopIfTrue="1" operator="lessThan">
      <formula>0.75</formula>
    </cfRule>
  </conditionalFormatting>
  <conditionalFormatting sqref="EF3:EF107 EN3:EN107 EL4:EL106 EQ4:EQ106 ES4:ES109 DV5:DV106 ED5:ED106 DX5:DX107">
    <cfRule type="cellIs" dxfId="0" priority="3" stopIfTrue="1" operator="lessThan">
      <formula>0.75</formula>
    </cfRule>
  </conditionalFormatting>
  <pageMargins left="0.7" right="0.7" top="0.75" bottom="0.75" header="0.3" footer="0.3"/>
  <pageSetup paperSize="9"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Filling Manual</vt:lpstr>
      <vt:lpstr>Milling</vt:lpstr>
      <vt:lpstr>Mixing</vt:lpstr>
      <vt:lpstr>Tinting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asst2_prod</dc:creator>
  <cp:lastModifiedBy>Almonte, Erlhyn Jane</cp:lastModifiedBy>
  <cp:lastPrinted>2021-01-13T06:42:37Z</cp:lastPrinted>
  <dcterms:created xsi:type="dcterms:W3CDTF">2019-10-21T21:54:49Z</dcterms:created>
  <dcterms:modified xsi:type="dcterms:W3CDTF">2026-03-10T06:00:35Z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eedsREVERT">
    <vt:lpwstr>FALSE</vt:lpwstr>
  </property>
  <property fmtid="{D5CDD505-2E9C-101B-9397-08002B2CF9AE}" pid="3" name="Jet Reports Drill Button Active">
    <vt:bool>false</vt:bool>
  </property>
</Properties>
</file>